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drawings/charts/chart28.xml" ContentType="application/vnd.openxmlformats-officedocument.drawingml.chart+xml"/>
  <Override PartName="/xl/drawings/charts/chart29.xml" ContentType="application/vnd.openxmlformats-officedocument.drawingml.chart+xml"/>
  <Override PartName="/xl/drawings/charts/chart30.xml" ContentType="application/vnd.openxmlformats-officedocument.drawingml.chart+xml"/>
  <Override PartName="/xl/drawings/charts/chart31.xml" ContentType="application/vnd.openxmlformats-officedocument.drawingml.chart+xml"/>
  <Override PartName="/xl/drawings/charts/chart32.xml" ContentType="application/vnd.openxmlformats-officedocument.drawingml.chart+xml"/>
  <Override PartName="/xl/drawings/charts/chart33.xml" ContentType="application/vnd.openxmlformats-officedocument.drawingml.chart+xml"/>
  <Override PartName="/xl/drawings/charts/chart34.xml" ContentType="application/vnd.openxmlformats-officedocument.drawingml.chart+xml"/>
  <Override PartName="/xl/drawings/charts/chart35.xml" ContentType="application/vnd.openxmlformats-officedocument.drawingml.chart+xml"/>
  <Override PartName="/xl/drawings/charts/chart36.xml" ContentType="application/vnd.openxmlformats-officedocument.drawingml.chart+xml"/>
  <Override PartName="/xl/drawings/charts/chart37.xml" ContentType="application/vnd.openxmlformats-officedocument.drawingml.chart+xml"/>
  <Override PartName="/xl/drawings/charts/chart38.xml" ContentType="application/vnd.openxmlformats-officedocument.drawingml.chart+xml"/>
  <Override PartName="/xl/drawings/charts/chart39.xml" ContentType="application/vnd.openxmlformats-officedocument.drawingml.chart+xml"/>
  <Override PartName="/xl/drawings/charts/chart40.xml" ContentType="application/vnd.openxmlformats-officedocument.drawingml.chart+xml"/>
  <Override PartName="/xl/drawings/charts/chart41.xml" ContentType="application/vnd.openxmlformats-officedocument.drawingml.chart+xml"/>
  <Override PartName="/xl/drawings/charts/chart42.xml" ContentType="application/vnd.openxmlformats-officedocument.drawingml.chart+xml"/>
  <Override PartName="/xl/drawings/charts/chart43.xml" ContentType="application/vnd.openxmlformats-officedocument.drawingml.chart+xml"/>
  <Override PartName="/xl/drawings/charts/chart44.xml" ContentType="application/vnd.openxmlformats-officedocument.drawingml.chart+xml"/>
  <Override PartName="/xl/drawings/charts/chart45.xml" ContentType="application/vnd.openxmlformats-officedocument.drawingml.chart+xml"/>
  <Override PartName="/xl/drawings/charts/chart46.xml" ContentType="application/vnd.openxmlformats-officedocument.drawingml.chart+xml"/>
  <Override PartName="/xl/drawings/charts/chart47.xml" ContentType="application/vnd.openxmlformats-officedocument.drawingml.chart+xml"/>
  <Override PartName="/xl/drawings/charts/chart48.xml" ContentType="application/vnd.openxmlformats-officedocument.drawingml.char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49.xml" ContentType="application/vnd.openxmlformats-officedocument.drawingml.chart+xml"/>
  <Override PartName="/xl/drawings/charts/chart50.xml" ContentType="application/vnd.openxmlformats-officedocument.drawingml.chart+xml"/>
  <Override PartName="/xl/drawings/charts/chart51.xml" ContentType="application/vnd.openxmlformats-officedocument.drawingml.chart+xml"/>
  <Override PartName="/xl/drawings/charts/chart52.xml" ContentType="application/vnd.openxmlformats-officedocument.drawingml.chart+xml"/>
  <Override PartName="/xl/drawings/charts/chart53.xml" ContentType="application/vnd.openxmlformats-officedocument.drawingml.chart+xml"/>
  <Override PartName="/xl/drawings/charts/chart54.xml" ContentType="application/vnd.openxmlformats-officedocument.drawingml.chart+xml"/>
  <Override PartName="/xl/drawings/charts/chart55.xml" ContentType="application/vnd.openxmlformats-officedocument.drawingml.chart+xml"/>
  <Override PartName="/xl/drawings/charts/chart56.xml" ContentType="application/vnd.openxmlformats-officedocument.drawingml.chart+xml"/>
  <Override PartName="/xl/drawings/charts/chart57.xml" ContentType="application/vnd.openxmlformats-officedocument.drawingml.chart+xml"/>
  <Override PartName="/xl/drawings/charts/chart58.xml" ContentType="application/vnd.openxmlformats-officedocument.drawingml.chart+xml"/>
  <Override PartName="/xl/drawings/charts/chart59.xml" ContentType="application/vnd.openxmlformats-officedocument.drawingml.chart+xml"/>
  <Override PartName="/xl/drawings/charts/chart60.xml" ContentType="application/vnd.openxmlformats-officedocument.drawingml.chart+xml"/>
  <Override PartName="/xl/drawings/charts/chart61.xml" ContentType="application/vnd.openxmlformats-officedocument.drawingml.chart+xml"/>
  <Override PartName="/xl/drawings/charts/chart62.xml" ContentType="application/vnd.openxmlformats-officedocument.drawingml.chart+xml"/>
  <Override PartName="/xl/drawings/charts/chart63.xml" ContentType="application/vnd.openxmlformats-officedocument.drawingml.chart+xml"/>
  <Override PartName="/xl/drawings/charts/chart64.xml" ContentType="application/vnd.openxmlformats-officedocument.drawingml.chart+xml"/>
  <Override PartName="/xl/drawings/charts/chart65.xml" ContentType="application/vnd.openxmlformats-officedocument.drawingml.chart+xml"/>
  <Override PartName="/xl/drawings/charts/chart66.xml" ContentType="application/vnd.openxmlformats-officedocument.drawingml.chart+xml"/>
  <Override PartName="/xl/drawings/charts/chart67.xml" ContentType="application/vnd.openxmlformats-officedocument.drawingml.chart+xml"/>
  <Override PartName="/xl/drawings/charts/chart68.xml" ContentType="application/vnd.openxmlformats-officedocument.drawingml.chart+xml"/>
  <Override PartName="/xl/drawings/charts/chart69.xml" ContentType="application/vnd.openxmlformats-officedocument.drawingml.chart+xml"/>
  <Override PartName="/xl/drawings/charts/chart70.xml" ContentType="application/vnd.openxmlformats-officedocument.drawingml.chart+xml"/>
  <Override PartName="/xl/drawings/charts/chart71.xml" ContentType="application/vnd.openxmlformats-officedocument.drawingml.chart+xml"/>
  <Override PartName="/xl/drawings/charts/chart72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drawings/charts/chart73.xml" ContentType="application/vnd.openxmlformats-officedocument.drawingml.chart+xml"/>
  <Override PartName="/xl/drawings/charts/chart74.xml" ContentType="application/vnd.openxmlformats-officedocument.drawingml.chart+xml"/>
  <Override PartName="/xl/drawings/charts/chart75.xml" ContentType="application/vnd.openxmlformats-officedocument.drawingml.chart+xml"/>
  <Override PartName="/xl/drawings/charts/chart76.xml" ContentType="application/vnd.openxmlformats-officedocument.drawingml.chart+xml"/>
  <Override PartName="/xl/drawings/charts/chart77.xml" ContentType="application/vnd.openxmlformats-officedocument.drawingml.chart+xml"/>
  <Override PartName="/xl/drawings/charts/chart78.xml" ContentType="application/vnd.openxmlformats-officedocument.drawingml.chart+xml"/>
  <Override PartName="/xl/drawings/charts/chart79.xml" ContentType="application/vnd.openxmlformats-officedocument.drawingml.chart+xml"/>
  <Override PartName="/xl/drawings/charts/chart80.xml" ContentType="application/vnd.openxmlformats-officedocument.drawingml.chart+xml"/>
  <Override PartName="/xl/drawings/charts/chart81.xml" ContentType="application/vnd.openxmlformats-officedocument.drawingml.chart+xml"/>
  <Override PartName="/xl/drawings/charts/chart82.xml" ContentType="application/vnd.openxmlformats-officedocument.drawingml.chart+xml"/>
  <Override PartName="/xl/drawings/charts/chart83.xml" ContentType="application/vnd.openxmlformats-officedocument.drawingml.chart+xml"/>
  <Override PartName="/xl/drawings/charts/chart84.xml" ContentType="application/vnd.openxmlformats-officedocument.drawingml.chart+xml"/>
  <Override PartName="/xl/drawings/charts/chart85.xml" ContentType="application/vnd.openxmlformats-officedocument.drawingml.chart+xml"/>
  <Override PartName="/xl/drawings/charts/chart86.xml" ContentType="application/vnd.openxmlformats-officedocument.drawingml.chart+xml"/>
  <Override PartName="/xl/drawings/charts/chart87.xml" ContentType="application/vnd.openxmlformats-officedocument.drawingml.chart+xml"/>
  <Override PartName="/xl/drawings/charts/chart88.xml" ContentType="application/vnd.openxmlformats-officedocument.drawingml.chart+xml"/>
  <Override PartName="/xl/drawings/charts/chart89.xml" ContentType="application/vnd.openxmlformats-officedocument.drawingml.chart+xml"/>
  <Override PartName="/xl/drawings/charts/chart90.xml" ContentType="application/vnd.openxmlformats-officedocument.drawingml.chart+xml"/>
  <Override PartName="/xl/drawings/charts/chart91.xml" ContentType="application/vnd.openxmlformats-officedocument.drawingml.chart+xml"/>
  <Override PartName="/xl/drawings/charts/chart92.xml" ContentType="application/vnd.openxmlformats-officedocument.drawingml.chart+xml"/>
  <Override PartName="/xl/drawings/charts/chart93.xml" ContentType="application/vnd.openxmlformats-officedocument.drawingml.chart+xml"/>
  <Override PartName="/xl/drawings/charts/chart94.xml" ContentType="application/vnd.openxmlformats-officedocument.drawingml.chart+xml"/>
  <Override PartName="/xl/drawings/charts/chart95.xml" ContentType="application/vnd.openxmlformats-officedocument.drawingml.chart+xml"/>
  <Override PartName="/xl/drawings/charts/chart96.xml" ContentType="application/vnd.openxmlformats-officedocument.drawingml.char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drawings/charts/chart97.xml" ContentType="application/vnd.openxmlformats-officedocument.drawingml.chart+xml"/>
  <Override PartName="/xl/drawings/charts/chart98.xml" ContentType="application/vnd.openxmlformats-officedocument.drawingml.chart+xml"/>
  <Override PartName="/xl/drawings/charts/chart99.xml" ContentType="application/vnd.openxmlformats-officedocument.drawingml.chart+xml"/>
  <Override PartName="/xl/drawings/charts/chart100.xml" ContentType="application/vnd.openxmlformats-officedocument.drawingml.chart+xml"/>
  <Override PartName="/xl/drawings/charts/chart101.xml" ContentType="application/vnd.openxmlformats-officedocument.drawingml.chart+xml"/>
  <Override PartName="/xl/drawings/charts/chart102.xml" ContentType="application/vnd.openxmlformats-officedocument.drawingml.chart+xml"/>
  <Override PartName="/xl/drawings/charts/chart103.xml" ContentType="application/vnd.openxmlformats-officedocument.drawingml.chart+xml"/>
  <Override PartName="/xl/drawings/charts/chart104.xml" ContentType="application/vnd.openxmlformats-officedocument.drawingml.chart+xml"/>
  <Override PartName="/xl/drawings/charts/chart105.xml" ContentType="application/vnd.openxmlformats-officedocument.drawingml.chart+xml"/>
  <Override PartName="/xl/drawings/charts/chart106.xml" ContentType="application/vnd.openxmlformats-officedocument.drawingml.chart+xml"/>
  <Override PartName="/xl/drawings/charts/chart107.xml" ContentType="application/vnd.openxmlformats-officedocument.drawingml.chart+xml"/>
  <Override PartName="/xl/drawings/charts/chart108.xml" ContentType="application/vnd.openxmlformats-officedocument.drawingml.chart+xml"/>
  <Override PartName="/xl/drawings/charts/chart109.xml" ContentType="application/vnd.openxmlformats-officedocument.drawingml.chart+xml"/>
  <Override PartName="/xl/drawings/charts/chart110.xml" ContentType="application/vnd.openxmlformats-officedocument.drawingml.chart+xml"/>
  <Override PartName="/xl/drawings/charts/chart111.xml" ContentType="application/vnd.openxmlformats-officedocument.drawingml.chart+xml"/>
  <Override PartName="/xl/drawings/charts/chart112.xml" ContentType="application/vnd.openxmlformats-officedocument.drawingml.chart+xml"/>
  <Override PartName="/xl/drawings/charts/chart113.xml" ContentType="application/vnd.openxmlformats-officedocument.drawingml.chart+xml"/>
  <Override PartName="/xl/drawings/charts/chart114.xml" ContentType="application/vnd.openxmlformats-officedocument.drawingml.chart+xml"/>
  <Override PartName="/xl/drawings/charts/chart115.xml" ContentType="application/vnd.openxmlformats-officedocument.drawingml.chart+xml"/>
  <Override PartName="/xl/drawings/charts/chart116.xml" ContentType="application/vnd.openxmlformats-officedocument.drawingml.chart+xml"/>
  <Override PartName="/xl/drawings/charts/chart117.xml" ContentType="application/vnd.openxmlformats-officedocument.drawingml.chart+xml"/>
  <Override PartName="/xl/drawings/charts/chart118.xml" ContentType="application/vnd.openxmlformats-officedocument.drawingml.chart+xml"/>
  <Override PartName="/xl/drawings/charts/chart119.xml" ContentType="application/vnd.openxmlformats-officedocument.drawingml.chart+xml"/>
  <Override PartName="/xl/drawings/charts/chart120.xml" ContentType="application/vnd.openxmlformats-officedocument.drawingml.chart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drawings/charts/chart121.xml" ContentType="application/vnd.openxmlformats-officedocument.drawingml.chart+xml"/>
  <Override PartName="/xl/drawings/charts/chart122.xml" ContentType="application/vnd.openxmlformats-officedocument.drawingml.chart+xml"/>
  <Override PartName="/xl/drawings/charts/chart123.xml" ContentType="application/vnd.openxmlformats-officedocument.drawingml.chart+xml"/>
  <Override PartName="/xl/drawings/charts/chart124.xml" ContentType="application/vnd.openxmlformats-officedocument.drawingml.chart+xml"/>
  <Override PartName="/xl/drawings/charts/chart125.xml" ContentType="application/vnd.openxmlformats-officedocument.drawingml.chart+xml"/>
  <Override PartName="/xl/drawings/charts/chart126.xml" ContentType="application/vnd.openxmlformats-officedocument.drawingml.chart+xml"/>
  <Override PartName="/xl/drawings/charts/chart127.xml" ContentType="application/vnd.openxmlformats-officedocument.drawingml.chart+xml"/>
  <Override PartName="/xl/drawings/charts/chart128.xml" ContentType="application/vnd.openxmlformats-officedocument.drawingml.chart+xml"/>
  <Override PartName="/xl/drawings/charts/chart129.xml" ContentType="application/vnd.openxmlformats-officedocument.drawingml.chart+xml"/>
  <Override PartName="/xl/drawings/charts/chart130.xml" ContentType="application/vnd.openxmlformats-officedocument.drawingml.chart+xml"/>
  <Override PartName="/xl/drawings/charts/chart131.xml" ContentType="application/vnd.openxmlformats-officedocument.drawingml.chart+xml"/>
  <Override PartName="/xl/drawings/charts/chart132.xml" ContentType="application/vnd.openxmlformats-officedocument.drawingml.chart+xml"/>
  <Override PartName="/xl/drawings/charts/chart133.xml" ContentType="application/vnd.openxmlformats-officedocument.drawingml.chart+xml"/>
  <Override PartName="/xl/drawings/charts/chart134.xml" ContentType="application/vnd.openxmlformats-officedocument.drawingml.chart+xml"/>
  <Override PartName="/xl/drawings/charts/chart135.xml" ContentType="application/vnd.openxmlformats-officedocument.drawingml.chart+xml"/>
  <Override PartName="/xl/drawings/charts/chart136.xml" ContentType="application/vnd.openxmlformats-officedocument.drawingml.chart+xml"/>
  <Override PartName="/xl/drawings/charts/chart137.xml" ContentType="application/vnd.openxmlformats-officedocument.drawingml.chart+xml"/>
  <Override PartName="/xl/drawings/charts/chart138.xml" ContentType="application/vnd.openxmlformats-officedocument.drawingml.chart+xml"/>
  <Override PartName="/xl/drawings/charts/chart139.xml" ContentType="application/vnd.openxmlformats-officedocument.drawingml.chart+xml"/>
  <Override PartName="/xl/drawings/charts/chart140.xml" ContentType="application/vnd.openxmlformats-officedocument.drawingml.chart+xml"/>
  <Override PartName="/xl/drawings/charts/chart141.xml" ContentType="application/vnd.openxmlformats-officedocument.drawingml.chart+xml"/>
  <Override PartName="/xl/drawings/charts/chart142.xml" ContentType="application/vnd.openxmlformats-officedocument.drawingml.chart+xml"/>
  <Override PartName="/xl/drawings/charts/chart143.xml" ContentType="application/vnd.openxmlformats-officedocument.drawingml.chart+xml"/>
  <Override PartName="/xl/drawings/charts/chart14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8ddb5d8a341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ates" sheetId="1" r:id="R3ca211ef97c04e49"/>
    <x:sheet xmlns:r="http://schemas.openxmlformats.org/officeDocument/2006/relationships" name="Simulated data" sheetId="2" r:id="Re720aa1a0aac42b7"/>
    <x:sheet xmlns:r="http://schemas.openxmlformats.org/officeDocument/2006/relationships" name="Empirical data" sheetId="3" r:id="Rca1ef8a270fb4203"/>
    <x:sheet xmlns:r="http://schemas.openxmlformats.org/officeDocument/2006/relationships" name="Gaussian data" sheetId="4" r:id="R6c023cbc43184150"/>
    <x:sheet xmlns:r="http://schemas.openxmlformats.org/officeDocument/2006/relationships" name="Method" sheetId="5" r:id="R77a4f8e8d90f46b7"/>
    <x:sheet xmlns:r="http://schemas.openxmlformats.org/officeDocument/2006/relationships" name="Chart data" sheetId="6" r:id="R9ff00043edfb4634"/>
    <x:sheet xmlns:r="http://schemas.openxmlformats.org/officeDocument/2006/relationships" name="Plots - Simulated" sheetId="7" r:id="Rd3e2aba2d59947be"/>
    <x:sheet xmlns:r="http://schemas.openxmlformats.org/officeDocument/2006/relationships" name="Plots - Empirical" sheetId="8" r:id="Re64bd91d91f84ff7"/>
    <x:sheet xmlns:r="http://schemas.openxmlformats.org/officeDocument/2006/relationships" name="Plots - Gaussian" sheetId="9" r:id="Re4ebcffc192e4d79"/>
    <x:sheet xmlns:r="http://schemas.openxmlformats.org/officeDocument/2006/relationships" name="Diagnostic chart data" sheetId="10" r:id="Rcaee87382708483e"/>
    <x:sheet xmlns:r="http://schemas.openxmlformats.org/officeDocument/2006/relationships" name="Diagnostic - Simulated" sheetId="11" r:id="R2ab7292dcf0f40c9"/>
    <x:sheet xmlns:r="http://schemas.openxmlformats.org/officeDocument/2006/relationships" name="Diagnostic - Empirical" sheetId="12" r:id="Reac8e94e5cfd4778"/>
    <x:sheet xmlns:r="http://schemas.openxmlformats.org/officeDocument/2006/relationships" name="Diagnostic - Gaussian" sheetId="13" r:id="Ra4df92102bb347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000"/>
    <x:numFmt numFmtId="202" formatCode="0"/>
    <x:numFmt numFmtId="203" formatCode="0.0"/>
  </x:numFmts>
  <x:fonts count="30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3"/>
      <x:color rgb="FF203864"/>
      <x:name val="Carlito"/>
    </x:font>
    <x:font>
      <x:b/>
      <x:sz val="10"/>
      <x:color rgb="FF1F2937"/>
      <x:name val="Carlito"/>
    </x:font>
    <x:font>
      <x:sz val="10"/>
      <x:color rgb="FF263442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  <x:font>
      <x:i/>
      <x:sz val="9"/>
      <x:color rgb="FF5D6B78"/>
      <x:name val="Carlito"/>
    </x:font>
    <x:font>
      <x:b/>
      <x:sz val="11"/>
      <x:color rgb="FF203864"/>
      <x:name val="Carlito"/>
    </x:font>
    <x:font>
      <x:b/>
      <x:sz val="10"/>
      <x:color rgb="FF263442"/>
      <x:name val="Carlito"/>
    </x:font>
    <x:font>
      <x:b/>
      <x:sz val="10"/>
      <x:color rgb="FF203864"/>
      <x:name val="Carlito"/>
    </x:font>
    <x:font>
      <x:sz val="10"/>
      <x:color rgb="FF263442"/>
      <x:name val="Carlito"/>
    </x:font>
    <x:font>
      <x:sz val="10"/>
      <x:color rgb="FF263442"/>
      <x:name val="Carlito"/>
    </x:font>
    <x:font>
      <x:b/>
      <x:sz val="11"/>
      <x:color rgb="FF263442"/>
      <x:name val="Carlito"/>
    </x:font>
    <x:font>
      <x:b/>
      <x:sz val="11"/>
      <x:color rgb="FF0072B2"/>
      <x:name val="Carlito"/>
    </x:font>
    <x:font>
      <x:b/>
      <x:sz val="11"/>
      <x:color rgb="FFD55E00"/>
      <x:name val="Carlito"/>
    </x:font>
    <x:font>
      <x:b/>
      <x:sz val="11"/>
      <x:color rgb="FF009E73"/>
      <x:name val="Carlito"/>
    </x:font>
    <x:font>
      <x:b/>
      <x:sz val="11"/>
      <x:color rgb="FFCC79A7"/>
      <x:name val="Carlito"/>
    </x:font>
    <x:font>
      <x:b/>
      <x:sz val="11"/>
      <x:color rgb="FF334155"/>
      <x:name val="Carlito"/>
    </x:font>
    <x:font>
      <x:sz val="11"/>
      <x:color rgb="FF334155"/>
      <x:name val="Carlito"/>
    </x:font>
    <x:font>
      <x:sz val="10"/>
      <x:color rgb="FF263442"/>
      <x:name val="Carlito"/>
    </x:font>
    <x:font>
      <x:i/>
      <x:sz val="11"/>
      <x:color rgb="FF5D6B78"/>
      <x:name val="Carlito"/>
    </x:font>
    <x:font>
      <x:sz val="11"/>
      <x:color rgb="FF263442"/>
      <x:name val="Carlito"/>
    </x:font>
    <x:font>
      <x:sz val="11"/>
      <x:color rgb="FF334155"/>
      <x:name val="Carlito"/>
    </x:font>
    <x:font>
      <x:b/>
      <x:sz val="11"/>
      <x:color rgb="FF44546A"/>
      <x:name val="Carlito"/>
    </x:font>
    <x:font>
      <x:sz val="10"/>
      <x:color rgb="FF203864"/>
      <x:name val="Carlito"/>
    </x:font>
    <x:font>
      <x:sz val="10"/>
      <x:color rgb="FF263442"/>
      <x:name val="Carlito"/>
    </x:font>
  </x:fonts>
  <x:fills count="25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EEF3F8"/>
      </x:patternFill>
    </x:fill>
    <x:fill>
      <x:patternFill patternType="solid">
        <x:fgColor rgb="FFD9E7F5"/>
      </x:patternFill>
    </x:fill>
    <x:fill>
      <x:patternFill patternType="solid">
        <x:fgColor rgb="FFE7E9ED"/>
      </x:patternFill>
    </x:fill>
    <x:fill>
      <x:patternFill patternType="solid">
        <x:fgColor rgb="FFFAFBFC"/>
      </x:patternFill>
    </x:fill>
    <x:fill>
      <x:patternFill patternType="solid">
        <x:fgColor rgb="FFF3F7FC"/>
      </x:patternFill>
    </x:fill>
    <x:fill>
      <x:patternFill patternType="solid">
        <x:fgColor rgb="FF203864"/>
      </x:patternFill>
    </x:fill>
    <x:fill>
      <x:patternFill patternType="solid">
        <x:fgColor rgb="FFEEF3F8"/>
      </x:patternFill>
    </x:fill>
    <x:fill>
      <x:patternFill patternType="solid">
        <x:fgColor rgb="FFD9E7F5"/>
      </x:patternFill>
    </x:fill>
    <x:fill>
      <x:patternFill patternType="solid">
        <x:fgColor rgb="FFF4F7FA"/>
      </x:patternFill>
    </x:fill>
    <x:fill>
      <x:patternFill patternType="solid">
        <x:fgColor rgb="FFE7E9ED"/>
      </x:patternFill>
    </x:fill>
    <x:fill>
      <x:patternFill patternType="solid">
        <x:fgColor rgb="FFF8FAFC"/>
      </x:patternFill>
    </x:fill>
    <x:fill>
      <x:patternFill patternType="solid">
        <x:fgColor rgb="FF203864"/>
      </x:patternFill>
    </x:fill>
    <x:fill>
      <x:patternFill patternType="solid">
        <x:fgColor rgb="FFD9E5F3"/>
      </x:patternFill>
    </x:fill>
    <x:fill>
      <x:patternFill patternType="solid">
        <x:fgColor rgb="FFE7EBF0"/>
      </x:patternFill>
    </x:fill>
    <x:fill>
      <x:patternFill patternType="solid">
        <x:fgColor rgb="FF203864"/>
      </x:patternFill>
    </x:fill>
    <x:fill>
      <x:patternFill patternType="solid">
        <x:fgColor rgb="FFD9E5F3"/>
      </x:patternFill>
    </x:fill>
    <x:fill>
      <x:patternFill patternType="solid">
        <x:fgColor rgb="FFE7EBF0"/>
      </x:patternFill>
    </x:fill>
    <x:fill>
      <x:patternFill patternType="solid">
        <x:fgColor rgb="FFD9E7F5"/>
      </x:patternFill>
    </x:fill>
    <x:fill>
      <x:patternFill patternType="solid">
        <x:fgColor rgb="FFF4F7FA"/>
      </x:patternFill>
    </x:fill>
    <x:fill>
      <x:patternFill patternType="solid">
        <x:fgColor rgb="FFE7E9ED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46">
    <x:border/>
    <x:border>
      <x:top style="medium">
        <x:color rgb="FF4472C4"/>
      </x:top>
      <x:bottom style="thin">
        <x:color rgb="FFA6AFBB"/>
      </x:bottom>
    </x:border>
    <x:border>
      <x:right style="thin">
        <x:color rgb="FFA6AFBB"/>
      </x:right>
    </x:border>
    <x:border>
      <x:left style="thin">
        <x:color rgb="FFA6AFBB"/>
      </x:left>
      <x:right style="thin">
        <x:color rgb="FFA6AFBB"/>
      </x:right>
    </x:border>
    <x:border>
      <x:left style="thin">
        <x:color rgb="FFA6AFBB"/>
      </x:left>
    </x:border>
    <x:border>
      <x:right style="thin">
        <x:color rgb="FFA6AFBB"/>
      </x:right>
      <x:bottom style="thin">
        <x:color rgb="FFA6AFBB"/>
      </x:bottom>
    </x:border>
    <x:border>
      <x:left style="thin">
        <x:color rgb="FFA6AFBB"/>
      </x:left>
      <x:right style="thin">
        <x:color rgb="FFA6AFBB"/>
      </x:right>
      <x:bottom style="thin">
        <x:color rgb="FFA6AFBB"/>
      </x:bottom>
    </x:border>
    <x:border>
      <x:left style="thin">
        <x:color rgb="FFA6AFBB"/>
      </x:left>
      <x:bottom style="thin">
        <x:color rgb="FFA6AFBB"/>
      </x:bottom>
    </x:border>
    <x:border>
      <x:right style="thin">
        <x:color rgb="FFD9DEE5"/>
      </x:right>
      <x:bottom style="thin">
        <x:color rgb="FFD9DEE5"/>
      </x:bottom>
    </x:border>
    <x:border>
      <x:left style="thin">
        <x:color rgb="FFD9DEE5"/>
      </x:left>
      <x:right style="thin">
        <x:color rgb="FFD9DEE5"/>
      </x:right>
      <x:bottom style="thin">
        <x:color rgb="FFD9DEE5"/>
      </x:bottom>
    </x:border>
    <x:border>
      <x:left style="thin">
        <x:color rgb="FFD9DEE5"/>
      </x:left>
      <x:bottom style="thin">
        <x:color rgb="FFD9DEE5"/>
      </x:bottom>
    </x:border>
    <x:border>
      <x:right style="thin">
        <x:color rgb="FFD9DEE5"/>
      </x:right>
      <x:top style="thin">
        <x:color rgb="FFD9DEE5"/>
      </x:top>
      <x:bottom style="thin">
        <x:color rgb="FFD9DEE5"/>
      </x:bottom>
    </x:border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  <x:border>
      <x:left style="thin">
        <x:color rgb="FFD9DEE5"/>
      </x:left>
      <x:top style="thin">
        <x:color rgb="FFD9DEE5"/>
      </x:top>
      <x:bottom style="thin">
        <x:color rgb="FFD9DEE5"/>
      </x:bottom>
    </x:border>
    <x:border>
      <x:right style="thin">
        <x:color rgb="FFD9DEE5"/>
      </x:right>
      <x:top style="thin">
        <x:color rgb="FFD9DEE5"/>
      </x:top>
      <x:bottom style="thin">
        <x:color rgb="FFA6AFBB"/>
      </x:bottom>
    </x:border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A6AFBB"/>
      </x:bottom>
    </x:border>
    <x:border>
      <x:left style="thin">
        <x:color rgb="FFD9DEE5"/>
      </x:left>
      <x:top style="thin">
        <x:color rgb="FFD9DEE5"/>
      </x:top>
      <x:bottom style="thin">
        <x:color rgb="FFA6AFBB"/>
      </x:bottom>
    </x:border>
    <x:border>
      <x:left style="medium">
        <x:color rgb="FFA6AFBB"/>
      </x:left>
      <x:top style="medium">
        <x:color rgb="FF4472C4"/>
      </x:top>
      <x:bottom style="thin">
        <x:color rgb="FFA6AFBB"/>
      </x:bottom>
    </x:border>
    <x:border>
      <x:right style="medium">
        <x:color rgb="FFA6AFBB"/>
      </x:right>
      <x:top style="medium">
        <x:color rgb="FF4472C4"/>
      </x:top>
      <x:bottom style="thin">
        <x:color rgb="FFA6AFBB"/>
      </x:bottom>
    </x:border>
    <x:border>
      <x:left style="medium">
        <x:color rgb="FFA6AFBB"/>
      </x:left>
      <x:right style="thin">
        <x:color rgb="FFA6AFBB"/>
      </x:right>
    </x:border>
    <x:border>
      <x:left style="thin">
        <x:color rgb="FFA6AFBB"/>
      </x:left>
      <x:right style="medium">
        <x:color rgb="FFA6AFBB"/>
      </x:right>
    </x:border>
    <x:border>
      <x:left style="medium">
        <x:color rgb="FFA6AFBB"/>
      </x:left>
      <x:right style="thin">
        <x:color rgb="FFA6AFBB"/>
      </x:right>
      <x:bottom style="thin">
        <x:color rgb="FFA6AFBB"/>
      </x:bottom>
    </x:border>
    <x:border>
      <x:left style="thin">
        <x:color rgb="FFA6AFBB"/>
      </x:left>
      <x:right style="medium">
        <x:color rgb="FFA6AFBB"/>
      </x:right>
      <x:bottom style="thin">
        <x:color rgb="FFA6AFBB"/>
      </x:bottom>
    </x:border>
    <x:border>
      <x:left style="medium">
        <x:color rgb="FFA6AFBB"/>
      </x:left>
      <x:right style="thin">
        <x:color rgb="FFD9DEE5"/>
      </x:right>
      <x:bottom style="thin">
        <x:color rgb="FFD9DEE5"/>
      </x:bottom>
    </x:border>
    <x:border>
      <x:left style="thin">
        <x:color rgb="FFD9DEE5"/>
      </x:left>
      <x:right style="medium">
        <x:color rgb="FFA6AFBB"/>
      </x:right>
      <x:bottom style="thin">
        <x:color rgb="FFD9DEE5"/>
      </x:bottom>
    </x:border>
    <x:border>
      <x:left style="medium">
        <x:color rgb="FFA6AFBB"/>
      </x:left>
      <x:right style="thin">
        <x:color rgb="FFD9DEE5"/>
      </x:right>
      <x:top style="thin">
        <x:color rgb="FFD9DEE5"/>
      </x:top>
      <x:bottom style="thin">
        <x:color rgb="FFD9DEE5"/>
      </x:bottom>
    </x:border>
    <x:border>
      <x:left style="thin">
        <x:color rgb="FFD9DEE5"/>
      </x:left>
      <x:right style="medium">
        <x:color rgb="FFA6AFBB"/>
      </x:right>
      <x:top style="thin">
        <x:color rgb="FFD9DEE5"/>
      </x:top>
      <x:bottom style="thin">
        <x:color rgb="FFD9DEE5"/>
      </x:bottom>
    </x:border>
    <x:border>
      <x:left style="medium">
        <x:color rgb="FFA6AFBB"/>
      </x:left>
      <x:right style="thin">
        <x:color rgb="FFD9DEE5"/>
      </x:right>
      <x:top style="thin">
        <x:color rgb="FFD9DEE5"/>
      </x:top>
      <x:bottom style="thin">
        <x:color rgb="FFA6AFBB"/>
      </x:bottom>
    </x:border>
    <x:border>
      <x:left style="thin">
        <x:color rgb="FFD9DEE5"/>
      </x:left>
      <x:right style="medium">
        <x:color rgb="FFA6AFBB"/>
      </x:right>
      <x:top style="thin">
        <x:color rgb="FFD9DEE5"/>
      </x:top>
      <x:bottom style="thin">
        <x:color rgb="FFA6AFBB"/>
      </x:bottom>
    </x:border>
    <x:border>
      <x:left style="medium">
        <x:color rgb="FFA6AFBB"/>
      </x:left>
      <x:right style="thin">
        <x:color rgb="FFD9DEE5"/>
      </x:right>
      <x:top style="thin">
        <x:color rgb="FFD9DEE5"/>
      </x:top>
      <x:bottom style="medium">
        <x:color rgb="FFA6AFBB"/>
      </x:bottom>
    </x:border>
    <x:border>
      <x:left style="thin">
        <x:color rgb="FFD9DEE5"/>
      </x:left>
      <x:right style="thin">
        <x:color rgb="FFD9DEE5"/>
      </x:right>
      <x:top style="thin">
        <x:color rgb="FFD9DEE5"/>
      </x:top>
      <x:bottom style="medium">
        <x:color rgb="FFA6AFBB"/>
      </x:bottom>
    </x:border>
    <x:border>
      <x:left style="thin">
        <x:color rgb="FFD9DEE5"/>
      </x:left>
      <x:right style="medium">
        <x:color rgb="FFA6AFBB"/>
      </x:right>
      <x:top style="thin">
        <x:color rgb="FFD9DEE5"/>
      </x:top>
      <x:bottom style="medium">
        <x:color rgb="FFA6AFBB"/>
      </x:bottom>
    </x:border>
    <x:border>
      <x:bottom style="thin">
        <x:color rgb="FFE6EBF0"/>
      </x:bottom>
    </x:border>
    <x:border>
      <x:top style="medium">
        <x:color rgb="FF4472C4"/>
      </x:top>
      <x:bottom style="thin">
        <x:color rgb="FFCFD8E3"/>
      </x:bottom>
    </x:border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3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left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2" fillId="6" borderId="8" xfId="0" applyNumberFormat="1" applyFont="1" applyFill="1" applyBorder="1"/>
    <x:xf numFmtId="0" fontId="2" fillId="6" borderId="9" xfId="0" applyNumberFormat="1" applyFont="1" applyFill="1" applyBorder="1"/>
    <x:xf numFmtId="0" fontId="2" fillId="6" borderId="11" xfId="0" applyNumberFormat="1" applyFont="1" applyFill="1" applyBorder="1"/>
    <x:xf numFmtId="0" fontId="2" fillId="6" borderId="12" xfId="0" applyNumberFormat="1" applyFont="1" applyFill="1" applyBorder="1"/>
    <x:xf numFmtId="0" fontId="2" fillId="6" borderId="14" xfId="0" applyNumberFormat="1" applyFont="1" applyFill="1" applyBorder="1"/>
    <x:xf numFmtId="0" fontId="2" fillId="6" borderId="15" xfId="0" applyNumberFormat="1" applyFont="1" applyFill="1" applyBorder="1"/>
    <x:xf numFmtId="0" fontId="2" fillId="6" borderId="8" xfId="0" applyNumberFormat="1" applyFont="1" applyFill="1" applyBorder="1" applyAlignment="1">
      <x:alignment horizontal="center"/>
    </x:xf>
    <x:xf numFmtId="0" fontId="2" fillId="6" borderId="9" xfId="0" applyNumberFormat="1" applyFont="1" applyFill="1" applyBorder="1" applyAlignment="1">
      <x:alignment horizontal="center"/>
    </x:xf>
    <x:xf numFmtId="0" fontId="2" fillId="6" borderId="11" xfId="0" applyNumberFormat="1" applyFont="1" applyFill="1" applyBorder="1" applyAlignment="1">
      <x:alignment horizontal="center"/>
    </x:xf>
    <x:xf numFmtId="0" fontId="2" fillId="6" borderId="12" xfId="0" applyNumberFormat="1" applyFont="1" applyFill="1" applyBorder="1" applyAlignment="1">
      <x:alignment horizontal="center"/>
    </x:xf>
    <x:xf numFmtId="0" fontId="2" fillId="6" borderId="14" xfId="0" applyNumberFormat="1" applyFont="1" applyFill="1" applyBorder="1" applyAlignment="1">
      <x:alignment horizontal="center"/>
    </x:xf>
    <x:xf numFmtId="0" fontId="2" fillId="6" borderId="15" xfId="0" applyNumberFormat="1" applyFont="1" applyFill="1" applyBorder="1" applyAlignment="1">
      <x:alignment horizontal="center"/>
    </x:xf>
    <x:xf numFmtId="0" fontId="2" fillId="6" borderId="8" xfId="0" applyNumberFormat="1" applyFont="1" applyFill="1" applyBorder="1" applyAlignment="1">
      <x:alignment horizontal="center" vertical="center"/>
    </x:xf>
    <x:xf numFmtId="0" fontId="2" fillId="6" borderId="9" xfId="0" applyNumberFormat="1" applyFont="1" applyFill="1" applyBorder="1" applyAlignment="1">
      <x:alignment horizontal="center" vertical="center"/>
    </x:xf>
    <x:xf numFmtId="0" fontId="2" fillId="6" borderId="11" xfId="0" applyNumberFormat="1" applyFont="1" applyFill="1" applyBorder="1" applyAlignment="1">
      <x:alignment horizontal="center" vertical="center"/>
    </x:xf>
    <x:xf numFmtId="0" fontId="2" fillId="6" borderId="12" xfId="0" applyNumberFormat="1" applyFont="1" applyFill="1" applyBorder="1" applyAlignment="1">
      <x:alignment horizontal="center" vertical="center"/>
    </x:xf>
    <x:xf numFmtId="0" fontId="2" fillId="6" borderId="14" xfId="0" applyNumberFormat="1" applyFont="1" applyFill="1" applyBorder="1" applyAlignment="1">
      <x:alignment horizontal="center" vertical="center"/>
    </x:xf>
    <x:xf numFmtId="0" fontId="2" fillId="6" borderId="15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200" fontId="2" fillId="0" borderId="9" xfId="0" applyNumberFormat="1" applyFont="1" applyFill="1" applyBorder="1"/>
    <x:xf numFmtId="200" fontId="2" fillId="0" borderId="10" xfId="0" applyNumberFormat="1" applyFont="1" applyFill="1" applyBorder="1"/>
    <x:xf numFmtId="200" fontId="2" fillId="0" borderId="12" xfId="0" applyNumberFormat="1" applyFont="1" applyFill="1" applyBorder="1"/>
    <x:xf numFmtId="200" fontId="2" fillId="0" borderId="13" xfId="0" applyNumberFormat="1" applyFont="1" applyFill="1" applyBorder="1"/>
    <x:xf numFmtId="200" fontId="2" fillId="0" borderId="15" xfId="0" applyNumberFormat="1" applyFont="1" applyFill="1" applyBorder="1"/>
    <x:xf numFmtId="200" fontId="2" fillId="0" borderId="16" xfId="0" applyNumberFormat="1" applyFont="1" applyFill="1" applyBorder="1"/>
    <x:xf numFmtId="200" fontId="2" fillId="0" borderId="9" xfId="0" applyNumberFormat="1" applyFont="1" applyFill="1" applyBorder="1" applyAlignment="1">
      <x:alignment horizontal="right"/>
    </x:xf>
    <x:xf numFmtId="200" fontId="2" fillId="0" borderId="10" xfId="0" applyNumberFormat="1" applyFont="1" applyFill="1" applyBorder="1" applyAlignment="1">
      <x:alignment horizontal="right"/>
    </x:xf>
    <x:xf numFmtId="200" fontId="2" fillId="0" borderId="12" xfId="0" applyNumberFormat="1" applyFont="1" applyFill="1" applyBorder="1" applyAlignment="1">
      <x:alignment horizontal="right"/>
    </x:xf>
    <x:xf numFmtId="200" fontId="2" fillId="0" borderId="13" xfId="0" applyNumberFormat="1" applyFont="1" applyFill="1" applyBorder="1" applyAlignment="1">
      <x:alignment horizontal="right"/>
    </x:xf>
    <x:xf numFmtId="200" fontId="2" fillId="0" borderId="15" xfId="0" applyNumberFormat="1" applyFont="1" applyFill="1" applyBorder="1" applyAlignment="1">
      <x:alignment horizontal="right"/>
    </x:xf>
    <x:xf numFmtId="200" fontId="2" fillId="0" borderId="16" xfId="0" applyNumberFormat="1" applyFont="1" applyFill="1" applyBorder="1" applyAlignment="1">
      <x:alignment horizontal="right"/>
    </x:xf>
    <x:xf numFmtId="200" fontId="2" fillId="0" borderId="9" xfId="0" applyNumberFormat="1" applyFont="1" applyFill="1" applyBorder="1" applyAlignment="1">
      <x:alignment horizontal="right" vertical="center"/>
    </x:xf>
    <x:xf numFmtId="200" fontId="2" fillId="0" borderId="10" xfId="0" applyNumberFormat="1" applyFont="1" applyFill="1" applyBorder="1" applyAlignment="1">
      <x:alignment horizontal="right" vertical="center"/>
    </x:xf>
    <x:xf numFmtId="200" fontId="2" fillId="0" borderId="12" xfId="0" applyNumberFormat="1" applyFont="1" applyFill="1" applyBorder="1" applyAlignment="1">
      <x:alignment horizontal="right" vertical="center"/>
    </x:xf>
    <x:xf numFmtId="200" fontId="2" fillId="0" borderId="13" xfId="0" applyNumberFormat="1" applyFont="1" applyFill="1" applyBorder="1" applyAlignment="1">
      <x:alignment horizontal="right" vertical="center"/>
    </x:xf>
    <x:xf numFmtId="200" fontId="2" fillId="0" borderId="15" xfId="0" applyNumberFormat="1" applyFont="1" applyFill="1" applyBorder="1" applyAlignment="1">
      <x:alignment horizontal="right" vertical="center"/>
    </x:xf>
    <x:xf numFmtId="200" fontId="2" fillId="0" borderId="16" xfId="0" applyNumberFormat="1" applyFont="1" applyFill="1" applyBorder="1" applyAlignment="1">
      <x:alignment horizontal="right" vertical="center"/>
    </x:xf>
    <x:xf numFmtId="200" fontId="2" fillId="7" borderId="9" xfId="0" applyNumberFormat="1" applyFont="1" applyFill="1" applyBorder="1" applyAlignment="1">
      <x:alignment horizontal="right" vertical="center"/>
    </x:xf>
    <x:xf numFmtId="200" fontId="2" fillId="7" borderId="12" xfId="0" applyNumberFormat="1" applyFont="1" applyFill="1" applyBorder="1" applyAlignment="1">
      <x:alignment horizontal="right" vertical="center"/>
    </x:xf>
    <x:xf numFmtId="200" fontId="2" fillId="7" borderId="15" xfId="0" applyNumberFormat="1" applyFont="1" applyFill="1" applyBorder="1" applyAlignment="1">
      <x:alignment horizontal="right" vertical="center"/>
    </x:xf>
    <x:xf numFmtId="0" fontId="5" fillId="4" borderId="17" xfId="0" applyNumberFormat="1" applyFont="1" applyFill="1" applyBorder="1" applyAlignment="1">
      <x:alignment horizontal="center" vertical="center"/>
    </x:xf>
    <x:xf numFmtId="0" fontId="5" fillId="4" borderId="18" xfId="0" applyNumberFormat="1" applyFont="1" applyFill="1" applyBorder="1" applyAlignment="1">
      <x:alignment horizontal="center" vertical="center"/>
    </x:xf>
    <x:xf numFmtId="0" fontId="6" fillId="5" borderId="19" xfId="0" applyNumberFormat="1" applyFont="1" applyFill="1" applyBorder="1" applyAlignment="1">
      <x:alignment horizontal="center" vertical="center" wrapText="1"/>
    </x:xf>
    <x:xf numFmtId="0" fontId="6" fillId="5" borderId="20" xfId="0" applyNumberFormat="1" applyFont="1" applyFill="1" applyBorder="1" applyAlignment="1">
      <x:alignment horizontal="center" vertical="center" wrapText="1"/>
    </x:xf>
    <x:xf numFmtId="0" fontId="6" fillId="5" borderId="21" xfId="0" applyNumberFormat="1" applyFont="1" applyFill="1" applyBorder="1" applyAlignment="1">
      <x:alignment horizontal="center" vertical="center" wrapText="1"/>
    </x:xf>
    <x:xf numFmtId="0" fontId="6" fillId="5" borderId="22" xfId="0" applyNumberFormat="1" applyFont="1" applyFill="1" applyBorder="1" applyAlignment="1">
      <x:alignment horizontal="center" vertical="center" wrapText="1"/>
    </x:xf>
    <x:xf numFmtId="0" fontId="2" fillId="6" borderId="23" xfId="0" applyNumberFormat="1" applyFont="1" applyFill="1" applyBorder="1" applyAlignment="1">
      <x:alignment horizontal="center" vertical="center"/>
    </x:xf>
    <x:xf numFmtId="200" fontId="2" fillId="0" borderId="24" xfId="0" applyNumberFormat="1" applyFont="1" applyFill="1" applyBorder="1" applyAlignment="1">
      <x:alignment horizontal="right" vertical="center"/>
    </x:xf>
    <x:xf numFmtId="0" fontId="2" fillId="6" borderId="25" xfId="0" applyNumberFormat="1" applyFont="1" applyFill="1" applyBorder="1" applyAlignment="1">
      <x:alignment horizontal="center" vertical="center"/>
    </x:xf>
    <x:xf numFmtId="200" fontId="2" fillId="0" borderId="26" xfId="0" applyNumberFormat="1" applyFont="1" applyFill="1" applyBorder="1" applyAlignment="1">
      <x:alignment horizontal="right" vertical="center"/>
    </x:xf>
    <x:xf numFmtId="0" fontId="2" fillId="6" borderId="27" xfId="0" applyNumberFormat="1" applyFont="1" applyFill="1" applyBorder="1" applyAlignment="1">
      <x:alignment horizontal="center" vertical="center"/>
    </x:xf>
    <x:xf numFmtId="200" fontId="2" fillId="0" borderId="28" xfId="0" applyNumberFormat="1" applyFont="1" applyFill="1" applyBorder="1" applyAlignment="1">
      <x:alignment horizontal="right" vertical="center"/>
    </x:xf>
    <x:xf numFmtId="0" fontId="2" fillId="6" borderId="29" xfId="0" applyNumberFormat="1" applyFont="1" applyFill="1" applyBorder="1" applyAlignment="1">
      <x:alignment horizontal="center" vertical="center"/>
    </x:xf>
    <x:xf numFmtId="0" fontId="2" fillId="6" borderId="30" xfId="0" applyNumberFormat="1" applyFont="1" applyFill="1" applyBorder="1" applyAlignment="1">
      <x:alignment horizontal="center" vertical="center"/>
    </x:xf>
    <x:xf numFmtId="200" fontId="2" fillId="7" borderId="30" xfId="0" applyNumberFormat="1" applyFont="1" applyFill="1" applyBorder="1" applyAlignment="1">
      <x:alignment horizontal="right" vertical="center"/>
    </x:xf>
    <x:xf numFmtId="200" fontId="2" fillId="0" borderId="30" xfId="0" applyNumberFormat="1" applyFont="1" applyFill="1" applyBorder="1" applyAlignment="1">
      <x:alignment horizontal="right" vertical="center"/>
    </x:xf>
    <x:xf numFmtId="200" fontId="2" fillId="0" borderId="31" xfId="0" applyNumberFormat="1" applyFont="1" applyFill="1" applyBorder="1" applyAlignment="1">
      <x:alignment horizontal="right" vertical="center"/>
    </x:xf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2" fillId="7" borderId="9" xfId="0" applyNumberFormat="1" applyFont="1" applyFill="1" applyBorder="1"/>
    <x:xf numFmtId="0" fontId="2" fillId="7" borderId="10" xfId="0" applyNumberFormat="1" applyFont="1" applyFill="1" applyBorder="1"/>
    <x:xf numFmtId="0" fontId="2" fillId="7" borderId="12" xfId="0" applyNumberFormat="1" applyFont="1" applyFill="1" applyBorder="1"/>
    <x:xf numFmtId="0" fontId="2" fillId="7" borderId="13" xfId="0" applyNumberFormat="1" applyFont="1" applyFill="1" applyBorder="1"/>
    <x:xf numFmtId="0" fontId="2" fillId="7" borderId="15" xfId="0" applyNumberFormat="1" applyFont="1" applyFill="1" applyBorder="1"/>
    <x:xf numFmtId="0" fontId="2" fillId="7" borderId="16" xfId="0" applyNumberFormat="1" applyFont="1" applyFill="1" applyBorder="1"/>
    <x:xf numFmtId="200" fontId="2" fillId="7" borderId="9" xfId="0" applyNumberFormat="1" applyFont="1" applyFill="1" applyBorder="1"/>
    <x:xf numFmtId="200" fontId="2" fillId="7" borderId="10" xfId="0" applyNumberFormat="1" applyFont="1" applyFill="1" applyBorder="1"/>
    <x:xf numFmtId="200" fontId="2" fillId="7" borderId="12" xfId="0" applyNumberFormat="1" applyFont="1" applyFill="1" applyBorder="1"/>
    <x:xf numFmtId="200" fontId="2" fillId="7" borderId="13" xfId="0" applyNumberFormat="1" applyFont="1" applyFill="1" applyBorder="1"/>
    <x:xf numFmtId="200" fontId="2" fillId="7" borderId="15" xfId="0" applyNumberFormat="1" applyFont="1" applyFill="1" applyBorder="1"/>
    <x:xf numFmtId="200" fontId="2" fillId="7" borderId="16" xfId="0" applyNumberFormat="1" applyFont="1" applyFill="1" applyBorder="1"/>
    <x:xf numFmtId="200" fontId="2" fillId="7" borderId="9" xfId="0" applyNumberFormat="1" applyFont="1" applyFill="1" applyBorder="1" applyAlignment="1">
      <x:alignment horizontal="right"/>
    </x:xf>
    <x:xf numFmtId="200" fontId="2" fillId="7" borderId="10" xfId="0" applyNumberFormat="1" applyFont="1" applyFill="1" applyBorder="1" applyAlignment="1">
      <x:alignment horizontal="right"/>
    </x:xf>
    <x:xf numFmtId="200" fontId="2" fillId="7" borderId="12" xfId="0" applyNumberFormat="1" applyFont="1" applyFill="1" applyBorder="1" applyAlignment="1">
      <x:alignment horizontal="right"/>
    </x:xf>
    <x:xf numFmtId="200" fontId="2" fillId="7" borderId="13" xfId="0" applyNumberFormat="1" applyFont="1" applyFill="1" applyBorder="1" applyAlignment="1">
      <x:alignment horizontal="right"/>
    </x:xf>
    <x:xf numFmtId="200" fontId="2" fillId="7" borderId="15" xfId="0" applyNumberFormat="1" applyFont="1" applyFill="1" applyBorder="1" applyAlignment="1">
      <x:alignment horizontal="right"/>
    </x:xf>
    <x:xf numFmtId="200" fontId="2" fillId="7" borderId="16" xfId="0" applyNumberFormat="1" applyFont="1" applyFill="1" applyBorder="1" applyAlignment="1">
      <x:alignment horizontal="right"/>
    </x:xf>
    <x:xf numFmtId="200" fontId="2" fillId="7" borderId="10" xfId="0" applyNumberFormat="1" applyFont="1" applyFill="1" applyBorder="1" applyAlignment="1">
      <x:alignment horizontal="right" vertical="center"/>
    </x:xf>
    <x:xf numFmtId="200" fontId="2" fillId="7" borderId="13" xfId="0" applyNumberFormat="1" applyFont="1" applyFill="1" applyBorder="1" applyAlignment="1">
      <x:alignment horizontal="right" vertical="center"/>
    </x:xf>
    <x:xf numFmtId="200" fontId="2" fillId="7" borderId="16" xfId="0" applyNumberFormat="1" applyFont="1" applyFill="1" applyBorder="1" applyAlignment="1">
      <x:alignment horizontal="right" vertical="center"/>
    </x:xf>
    <x:xf numFmtId="200" fontId="2" fillId="7" borderId="24" xfId="0" applyNumberFormat="1" applyFont="1" applyFill="1" applyBorder="1" applyAlignment="1">
      <x:alignment horizontal="right" vertical="center"/>
    </x:xf>
    <x:xf numFmtId="200" fontId="2" fillId="7" borderId="26" xfId="0" applyNumberFormat="1" applyFont="1" applyFill="1" applyBorder="1" applyAlignment="1">
      <x:alignment horizontal="right" vertical="center"/>
    </x:xf>
    <x:xf numFmtId="200" fontId="2" fillId="7" borderId="28" xfId="0" applyNumberFormat="1" applyFont="1" applyFill="1" applyBorder="1" applyAlignment="1">
      <x:alignment horizontal="right" vertical="center"/>
    </x:xf>
    <x:xf numFmtId="200" fontId="2" fillId="7" borderId="31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7" fillId="0" xfId="0" applyNumberFormat="1" applyFont="1" applyFill="1" applyBorder="0" applyAlignment="1">
      <x:alignment vertical="center"/>
    </x:xf>
    <x:xf numFmtId="201" fontId="7" fillId="0" xfId="0" applyNumberFormat="1" applyFont="1" applyFill="1" applyBorder="0" applyAlignment="1">
      <x:alignment vertical="center"/>
    </x:xf>
    <x:xf numFmtId="202" fontId="7" fillId="0" xfId="0" applyNumberFormat="1" applyFont="1" applyFill="1" applyBorder="0" applyAlignment="1">
      <x:alignment vertical="center"/>
    </x:xf>
    <x:xf numFmtId="200" fontId="7" fillId="0" xfId="0" applyNumberFormat="1" applyFont="1" applyFill="1" applyBorder="0" applyAlignment="1">
      <x:alignment vertical="center"/>
    </x:xf>
    <x:xf numFmtId="0" fontId="7" fillId="0" borderId="32" xfId="0" applyNumberFormat="1" applyFont="1" applyFill="1" applyBorder="1" applyAlignment="1">
      <x:alignment vertical="center"/>
    </x:xf>
    <x:xf numFmtId="201" fontId="7" fillId="0" borderId="32" xfId="0" applyNumberFormat="1" applyFont="1" applyFill="1" applyBorder="1" applyAlignment="1">
      <x:alignment vertical="center"/>
    </x:xf>
    <x:xf numFmtId="202" fontId="7" fillId="0" borderId="32" xfId="0" applyNumberFormat="1" applyFont="1" applyFill="1" applyBorder="1" applyAlignment="1">
      <x:alignment vertical="center"/>
    </x:xf>
    <x:xf numFmtId="200" fontId="7" fillId="0" borderId="32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horizontal="center"/>
    </x:xf>
    <x:xf numFmtId="0" fontId="11" fillId="10" borderId="0" xfId="0" applyNumberFormat="1" applyFont="1" applyFill="1" applyBorder="1" applyAlignment="1">
      <x:alignment horizontal="center" vertical="center"/>
    </x:xf>
    <x:xf numFmtId="0" fontId="11" fillId="10" borderId="33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center"/>
    </x:xf>
    <x:xf numFmtId="0" fontId="12" fillId="12" borderId="34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7" fillId="0" borderId="0" xfId="0" applyNumberFormat="1" applyFont="1" applyFill="1" applyBorder="1" applyAlignment="1">
      <x:alignment horizontal="center" vertical="center"/>
    </x:xf>
    <x:xf numFmtId="0" fontId="7" fillId="0" borderId="34" xfId="0" applyNumberFormat="1" applyFont="1" applyFill="1" applyBorder="1" applyAlignment="1">
      <x:alignment vertical="center"/>
    </x:xf>
    <x:xf numFmtId="0" fontId="7" fillId="0" borderId="34" xfId="0" applyNumberFormat="1" applyFont="1" applyFill="1" applyBorder="1" applyAlignment="1">
      <x:alignment horizontal="center" vertical="center"/>
    </x:xf>
    <x:xf numFmtId="200" fontId="7" fillId="0" borderId="34" xfId="0" applyNumberFormat="1" applyFont="1" applyFill="1" applyBorder="1" applyAlignment="1">
      <x:alignment horizontal="center" vertical="center"/>
    </x:xf>
    <x:xf numFmtId="200" fontId="13" fillId="0" borderId="34" xfId="0" applyNumberFormat="1" applyFont="1" applyFill="1" applyBorder="1" applyAlignment="1">
      <x:alignment horizontal="center" vertical="center"/>
    </x:xf>
    <x:xf numFmtId="0" fontId="7" fillId="13" borderId="34" xfId="0" applyNumberFormat="1" applyFont="1" applyFill="1" applyBorder="1" applyAlignment="1">
      <x:alignment horizontal="center" vertical="center"/>
    </x:xf>
    <x:xf numFmtId="200" fontId="7" fillId="13" borderId="34" xfId="0" applyNumberFormat="1" applyFont="1" applyFill="1" applyBorder="1" applyAlignment="1">
      <x:alignment horizontal="center" vertical="center"/>
    </x:xf>
    <x:xf numFmtId="200" fontId="13" fillId="13" borderId="34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10" fillId="11" borderId="0" xfId="0" applyNumberFormat="1" applyFont="1" applyFill="1" applyBorder="1" applyAlignment="1">
      <x:alignment horizontal="center" vertical="center"/>
    </x:xf>
    <x:xf numFmtId="0" fontId="12" fillId="12" borderId="34" xfId="0" applyNumberFormat="1" applyFont="1" applyFill="1" applyBorder="1" applyAlignment="1">
      <x:alignment horizontal="center" vertical="center"/>
    </x:xf>
    <x:xf numFmtId="0" fontId="7" fillId="12" borderId="0" xfId="0" applyNumberFormat="1" applyFont="1" applyFill="1" applyBorder="1" applyAlignment="1">
      <x:alignment vertical="center"/>
    </x:xf>
    <x:xf numFmtId="0" fontId="12" fillId="12" borderId="0" xfId="0" applyNumberFormat="1" applyFont="1" applyFill="1" applyBorder="1" applyAlignment="1">
      <x:alignment vertical="center"/>
    </x:xf>
    <x:xf numFmtId="0" fontId="12" fillId="12" borderId="34" xfId="0" applyNumberFormat="1" applyFont="1" applyFill="1" applyBorder="1" applyAlignment="1">
      <x:alignment vertical="center"/>
    </x:xf>
    <x:xf numFmtId="0" fontId="7" fillId="9" borderId="34" xfId="0" applyNumberFormat="1" applyFont="1" applyFill="1" applyBorder="1" applyAlignment="1">
      <x:alignment vertical="center"/>
    </x:xf>
    <x:xf numFmtId="0" fontId="13" fillId="9" borderId="34" xfId="0" applyNumberFormat="1" applyFont="1" applyFill="1" applyBorder="1" applyAlignment="1">
      <x:alignment vertical="center"/>
    </x:xf>
    <x:xf numFmtId="0" fontId="12" fillId="12" borderId="34" xfId="0" applyNumberFormat="1" applyFont="1" applyFill="1" applyBorder="1" applyAlignment="1">
      <x:alignment vertical="center" wrapText="1"/>
    </x:xf>
    <x:xf numFmtId="0" fontId="13" fillId="9" borderId="34" xfId="0" applyNumberFormat="1" applyFont="1" applyFill="1" applyBorder="1" applyAlignment="1">
      <x:alignment vertical="center" wrapText="1"/>
    </x:xf>
    <x:xf numFmtId="0" fontId="7" fillId="0" borderId="34" xfId="0" applyNumberFormat="1" applyFont="1" applyFill="1" applyBorder="1" applyAlignment="1">
      <x:alignment vertical="center" wrapText="1"/>
    </x:xf>
    <x:xf numFmtId="200" fontId="14" fillId="0" borderId="34" xfId="0" applyNumberFormat="1" applyFont="1" applyFill="1" applyBorder="1" applyAlignment="1">
      <x:alignment horizontal="center" vertical="center"/>
    </x:xf>
    <x:xf numFmtId="200" fontId="14" fillId="13" borderId="34" xfId="0" applyNumberFormat="1" applyFont="1" applyFill="1" applyBorder="1" applyAlignment="1">
      <x:alignment horizontal="center" vertical="center"/>
    </x:xf>
    <x:xf numFmtId="200" fontId="14" fillId="0" xfId="0" applyNumberFormat="1" applyFont="1" applyFill="1" applyBorder="0" applyAlignment="1">
      <x:alignment vertical="center"/>
    </x:xf>
    <x:xf numFmtId="200" fontId="14" fillId="0" borderId="32" xfId="0" applyNumberFormat="1" applyFont="1" applyFill="1" applyBorder="1" applyAlignment="1">
      <x:alignment vertical="center"/>
    </x:xf>
    <x:xf numFmtId="200" fontId="13" fillId="0" xfId="0" applyNumberFormat="1" applyFont="1" applyFill="1" applyBorder="0" applyAlignment="1">
      <x:alignment vertical="center"/>
    </x:xf>
    <x:xf numFmtId="200" fontId="13" fillId="0" borderId="32" xfId="0" applyNumberFormat="1" applyFont="1" applyFill="1" applyBorder="1" applyAlignment="1">
      <x:alignment vertical="center"/>
    </x:xf>
    <x:xf numFmtId="200" fontId="15" fillId="0" borderId="34" xfId="0" applyNumberFormat="1" applyFont="1" applyFill="1" applyBorder="1" applyAlignment="1">
      <x:alignment horizontal="center" vertical="center"/>
    </x:xf>
    <x:xf numFmtId="200" fontId="15" fillId="13" borderId="34" xfId="0" applyNumberFormat="1" applyFont="1" applyFill="1" applyBorder="1" applyAlignment="1">
      <x:alignment horizontal="center" vertical="center"/>
    </x:xf>
    <x:xf numFmtId="200" fontId="15" fillId="0" xfId="0" applyNumberFormat="1" applyFont="1" applyFill="1" applyBorder="0" applyAlignment="1">
      <x:alignment vertical="center"/>
    </x:xf>
    <x:xf numFmtId="200" fontId="15" fillId="0" borderId="32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horizontal="left"/>
    </x:xf>
    <x:xf numFmtId="0" fontId="0" fillId="16" borderId="0" xfId="0" applyNumberFormat="1" applyFont="1" applyFill="1" applyBorder="1"/>
    <x:xf numFmtId="0" fontId="16" fillId="16" borderId="0" xfId="0" applyNumberFormat="1" applyFont="1" applyFill="1" applyBorder="1"/>
    <x:xf numFmtId="0" fontId="16" fillId="16" borderId="35" xfId="0" applyNumberFormat="1" applyFont="1" applyFill="1" applyBorder="1"/>
    <x:xf numFmtId="0" fontId="16" fillId="16" borderId="36" xfId="0" applyNumberFormat="1" applyFont="1" applyFill="1" applyBorder="1"/>
    <x:xf numFmtId="0" fontId="16" fillId="16" borderId="37" xfId="0" applyNumberFormat="1" applyFont="1" applyFill="1" applyBorder="1"/>
    <x:xf numFmtId="0" fontId="16" fillId="16" borderId="35" xfId="0" applyNumberFormat="1" applyFont="1" applyFill="1" applyBorder="1" applyAlignment="1">
      <x:alignment horizontal="center"/>
    </x:xf>
    <x:xf numFmtId="0" fontId="16" fillId="16" borderId="36" xfId="0" applyNumberFormat="1" applyFont="1" applyFill="1" applyBorder="1" applyAlignment="1">
      <x:alignment horizontal="center"/>
    </x:xf>
    <x:xf numFmtId="0" fontId="16" fillId="16" borderId="37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0" fontId="0" fillId="0" borderId="38" xfId="0" applyNumberFormat="1" applyFont="1" applyFill="1" applyBorder="1"/>
    <x:xf numFmtId="203" fontId="0" fillId="0" borderId="39" xfId="0" applyNumberFormat="1" applyFont="1" applyFill="1" applyBorder="1"/>
    <x:xf numFmtId="203" fontId="0" fillId="0" borderId="40" xfId="0" applyNumberFormat="1" applyFont="1" applyFill="1" applyBorder="1"/>
    <x:xf numFmtId="0" fontId="0" fillId="0" borderId="41" xfId="0" applyNumberFormat="1" applyFont="1" applyFill="1" applyBorder="1"/>
    <x:xf numFmtId="203" fontId="0" fillId="0" xfId="0" applyNumberFormat="1" applyFont="1" applyFill="1" applyBorder="0"/>
    <x:xf numFmtId="203" fontId="0" fillId="0" borderId="42" xfId="0" applyNumberFormat="1" applyFont="1" applyFill="1" applyBorder="1"/>
    <x:xf numFmtId="0" fontId="0" fillId="0" borderId="43" xfId="0" applyNumberFormat="1" applyFont="1" applyFill="1" applyBorder="1"/>
    <x:xf numFmtId="203" fontId="0" fillId="0" borderId="44" xfId="0" applyNumberFormat="1" applyFont="1" applyFill="1" applyBorder="1"/>
    <x:xf numFmtId="203" fontId="0" fillId="0" borderId="45" xfId="0" applyNumberFormat="1" applyFont="1" applyFill="1" applyBorder="1"/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horizontal="center"/>
    </x:xf>
    <x:xf numFmtId="0" fontId="17" fillId="0" borderId="0" xfId="0" applyNumberFormat="1" applyFont="1" applyFill="1" applyBorder="1" applyAlignment="1">
      <x:alignment horizontal="center" vertical="center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horizontal="center"/>
    </x:xf>
    <x:xf numFmtId="0" fontId="18" fillId="0" borderId="0" xfId="0" applyNumberFormat="1" applyFont="1" applyFill="1" applyBorder="1" applyAlignment="1">
      <x:alignment horizontal="center" vertical="center"/>
    </x:xf>
    <x:xf numFmtId="0" fontId="19" fillId="0" borderId="0" xfId="0" applyNumberFormat="1" applyFont="1" applyFill="1" applyBorder="1"/>
    <x:xf numFmtId="0" fontId="19" fillId="0" borderId="0" xfId="0" applyNumberFormat="1" applyFont="1" applyFill="1" applyBorder="1" applyAlignment="1">
      <x:alignment horizontal="center"/>
    </x:xf>
    <x:xf numFmtId="0" fontId="19" fillId="0" borderId="0" xfId="0" applyNumberFormat="1" applyFont="1" applyFill="1" applyBorder="1" applyAlignment="1">
      <x:alignment horizontal="center" vertical="center"/>
    </x:xf>
    <x:xf numFmtId="0" fontId="20" fillId="0" borderId="0" xfId="0" applyNumberFormat="1" applyFont="1" applyFill="1" applyBorder="1"/>
    <x:xf numFmtId="0" fontId="20" fillId="0" borderId="0" xfId="0" applyNumberFormat="1" applyFont="1" applyFill="1" applyBorder="1" applyAlignment="1">
      <x:alignment horizontal="center"/>
    </x:xf>
    <x:xf numFmtId="0" fontId="20" fillId="0" borderId="0" xfId="0" applyNumberFormat="1" applyFont="1" applyFill="1" applyBorder="1" applyAlignment="1">
      <x:alignment horizontal="center" vertical="center"/>
    </x:xf>
    <x:xf numFmtId="0" fontId="21" fillId="0" borderId="0" xfId="0" applyNumberFormat="1" applyFont="1" applyFill="1" applyBorder="1"/>
    <x:xf numFmtId="0" fontId="21" fillId="0" borderId="0" xfId="0" applyNumberFormat="1" applyFont="1" applyFill="1" applyBorder="1" applyAlignment="1">
      <x:alignment horizontal="center"/>
    </x:xf>
    <x:xf numFmtId="0" fontId="21" fillId="0" borderId="0" xfId="0" applyNumberFormat="1" applyFont="1" applyFill="1" applyBorder="1" applyAlignment="1">
      <x:alignment horizontal="center" vertical="center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horizontal="center"/>
    </x:xf>
    <x:xf numFmtId="0" fontId="22" fillId="0" borderId="0" xfId="0" applyNumberFormat="1" applyFont="1" applyFill="1" applyBorder="1" applyAlignment="1">
      <x:alignment horizontal="center" vertical="center"/>
    </x:xf>
    <x:xf numFmtId="200" fontId="23" fillId="0" borderId="34" xfId="0" applyNumberFormat="1" applyFont="1" applyFill="1" applyBorder="1" applyAlignment="1">
      <x:alignment horizontal="center" vertical="center"/>
    </x:xf>
    <x:xf numFmtId="200" fontId="23" fillId="13" borderId="34" xfId="0" applyNumberFormat="1" applyFont="1" applyFill="1" applyBorder="1" applyAlignment="1">
      <x:alignment horizontal="center" vertical="center"/>
    </x:xf>
    <x:xf numFmtId="200" fontId="23" fillId="0" xfId="0" applyNumberFormat="1" applyFont="1" applyFill="1" applyBorder="0" applyAlignment="1">
      <x:alignment vertical="center"/>
    </x:xf>
    <x:xf numFmtId="200" fontId="23" fillId="0" borderId="32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center"/>
    </x:xf>
    <x:xf numFmtId="0" fontId="1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0" xfId="0" applyNumberFormat="1" applyFont="1" applyFill="1" applyBorder="1" applyAlignment="1">
      <x:alignment horizontal="left"/>
    </x:xf>
    <x:xf numFmtId="0" fontId="0" fillId="19" borderId="0" xfId="0" applyNumberFormat="1" applyFont="1" applyFill="1" applyBorder="1"/>
    <x:xf numFmtId="0" fontId="16" fillId="19" borderId="0" xfId="0" applyNumberFormat="1" applyFont="1" applyFill="1" applyBorder="1"/>
    <x:xf numFmtId="0" fontId="16" fillId="19" borderId="35" xfId="0" applyNumberFormat="1" applyFont="1" applyFill="1" applyBorder="1"/>
    <x:xf numFmtId="0" fontId="16" fillId="19" borderId="36" xfId="0" applyNumberFormat="1" applyFont="1" applyFill="1" applyBorder="1"/>
    <x:xf numFmtId="0" fontId="16" fillId="19" borderId="37" xfId="0" applyNumberFormat="1" applyFont="1" applyFill="1" applyBorder="1"/>
    <x:xf numFmtId="0" fontId="16" fillId="19" borderId="35" xfId="0" applyNumberFormat="1" applyFont="1" applyFill="1" applyBorder="1" applyAlignment="1">
      <x:alignment horizontal="center"/>
    </x:xf>
    <x:xf numFmtId="0" fontId="16" fillId="19" borderId="36" xfId="0" applyNumberFormat="1" applyFont="1" applyFill="1" applyBorder="1" applyAlignment="1">
      <x:alignment horizontal="center"/>
    </x:xf>
    <x:xf numFmtId="0" fontId="16" fillId="19" borderId="37" xfId="0" applyNumberFormat="1" applyFont="1" applyFill="1" applyBorder="1" applyAlignment="1">
      <x:alignment horizontal="center"/>
    </x:xf>
    <x:xf numFmtId="0" fontId="11" fillId="18" borderId="35" xfId="0" applyNumberFormat="1" applyFont="1" applyFill="1" applyBorder="1"/>
    <x:xf numFmtId="0" fontId="11" fillId="18" borderId="36" xfId="0" applyNumberFormat="1" applyFont="1" applyFill="1" applyBorder="1"/>
    <x:xf numFmtId="0" fontId="11" fillId="18" borderId="37" xfId="0" applyNumberFormat="1" applyFont="1" applyFill="1" applyBorder="1"/>
    <x:xf numFmtId="0" fontId="11" fillId="18" borderId="35" xfId="0" applyNumberFormat="1" applyFont="1" applyFill="1" applyBorder="1" applyAlignment="1">
      <x:alignment horizontal="center"/>
    </x:xf>
    <x:xf numFmtId="0" fontId="11" fillId="18" borderId="36" xfId="0" applyNumberFormat="1" applyFont="1" applyFill="1" applyBorder="1" applyAlignment="1">
      <x:alignment horizontal="center"/>
    </x:xf>
    <x:xf numFmtId="0" fontId="11" fillId="18" borderId="37" xfId="0" applyNumberFormat="1" applyFont="1" applyFill="1" applyBorder="1" applyAlignment="1">
      <x:alignment horizontal="center"/>
    </x:xf>
    <x:xf numFmtId="0" fontId="11" fillId="18" borderId="35" xfId="0" applyNumberFormat="1" applyFont="1" applyFill="1" applyBorder="1" applyAlignment="1">
      <x:alignment horizontal="center" vertical="center"/>
    </x:xf>
    <x:xf numFmtId="0" fontId="11" fillId="18" borderId="36" xfId="0" applyNumberFormat="1" applyFont="1" applyFill="1" applyBorder="1" applyAlignment="1">
      <x:alignment horizontal="center" vertical="center"/>
    </x:xf>
    <x:xf numFmtId="0" fontId="11" fillId="18" borderId="37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11" fillId="20" borderId="0" xfId="0" applyNumberFormat="1" applyFont="1" applyFill="1" applyBorder="1"/>
    <x:xf numFmtId="0" fontId="11" fillId="20" borderId="33" xfId="0" applyNumberFormat="1" applyFont="1" applyFill="1" applyBorder="1"/>
    <x:xf numFmtId="0" fontId="11" fillId="20" borderId="33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24" fillId="21" borderId="0" xfId="0" applyNumberFormat="1" applyFont="1" applyFill="1" applyBorder="1"/>
    <x:xf numFmtId="0" fontId="24" fillId="21" borderId="0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/>
    <x:xf numFmtId="0" fontId="16" fillId="22" borderId="0" xfId="0" applyNumberFormat="1" applyFont="1" applyFill="1" applyBorder="1"/>
    <x:xf numFmtId="0" fontId="16" fillId="22" borderId="34" xfId="0" applyNumberFormat="1" applyFont="1" applyFill="1" applyBorder="1"/>
    <x:xf numFmtId="0" fontId="16" fillId="22" borderId="34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/>
    <x:xf numFmtId="0" fontId="25" fillId="23" borderId="0" xfId="0" applyNumberFormat="1" applyFont="1" applyFill="1" applyBorder="1"/>
    <x:xf numFmtId="0" fontId="25" fillId="23" borderId="34" xfId="0" applyNumberFormat="1" applyFont="1" applyFill="1" applyBorder="1"/>
    <x:xf numFmtId="0" fontId="25" fillId="23" borderId="34" xfId="0" applyNumberFormat="1" applyFont="1" applyFill="1" applyBorder="1" applyAlignment="1">
      <x:alignment horizontal="center"/>
    </x:xf>
    <x:xf numFmtId="200" fontId="25" fillId="23" borderId="34" xfId="0" applyNumberFormat="1" applyFont="1" applyFill="1" applyBorder="1" applyAlignment="1">
      <x:alignment horizontal="center"/>
    </x:xf>
    <x:xf numFmtId="0" fontId="0" fillId="24" borderId="0" xfId="0" applyNumberFormat="1" applyFont="1" applyFill="1" applyBorder="1"/>
    <x:xf numFmtId="0" fontId="25" fillId="24" borderId="0" xfId="0" applyNumberFormat="1" applyFont="1" applyFill="1" applyBorder="1"/>
    <x:xf numFmtId="0" fontId="25" fillId="24" borderId="34" xfId="0" applyNumberFormat="1" applyFont="1" applyFill="1" applyBorder="1"/>
    <x:xf numFmtId="0" fontId="25" fillId="24" borderId="34" xfId="0" applyNumberFormat="1" applyFont="1" applyFill="1" applyBorder="1" applyAlignment="1">
      <x:alignment horizontal="center"/>
    </x:xf>
    <x:xf numFmtId="200" fontId="25" fillId="24" borderId="34" xfId="0" applyNumberFormat="1" applyFont="1" applyFill="1" applyBorder="1" applyAlignment="1">
      <x:alignment horizontal="center"/>
    </x:xf>
    <x:xf numFmtId="200" fontId="16" fillId="23" borderId="34" xfId="0" applyNumberFormat="1" applyFont="1" applyFill="1" applyBorder="1" applyAlignment="1">
      <x:alignment horizontal="center"/>
    </x:xf>
    <x:xf numFmtId="200" fontId="11" fillId="23" borderId="34" xfId="0" applyNumberFormat="1" applyFont="1" applyFill="1" applyBorder="1" applyAlignment="1">
      <x:alignment horizontal="center"/>
    </x:xf>
    <x:xf numFmtId="200" fontId="16" fillId="24" borderId="34" xfId="0" applyNumberFormat="1" applyFont="1" applyFill="1" applyBorder="1" applyAlignment="1">
      <x:alignment horizontal="center"/>
    </x:xf>
    <x:xf numFmtId="200" fontId="11" fillId="24" borderId="34" xfId="0" applyNumberFormat="1" applyFont="1" applyFill="1" applyBorder="1" applyAlignment="1">
      <x:alignment horizontal="center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horizontal="center" vertical="center"/>
    </x:xf>
    <x:xf numFmtId="0" fontId="27" fillId="0" borderId="0" xfId="0" applyNumberFormat="1" applyFont="1" applyFill="1" applyBorder="1" applyAlignment="1">
      <x:alignment horizontal="center" vertical="center"/>
    </x:xf>
    <x:xf numFmtId="200" fontId="28" fillId="0" borderId="34" xfId="0" applyNumberFormat="1" applyFont="1" applyFill="1" applyBorder="1" applyAlignment="1">
      <x:alignment horizontal="center" vertical="center"/>
    </x:xf>
    <x:xf numFmtId="200" fontId="29" fillId="0" borderId="34" xfId="0" applyNumberFormat="1" applyFont="1" applyFill="1" applyBorder="1" applyAlignment="1">
      <x:alignment horizontal="center" vertical="center"/>
    </x:xf>
    <x:xf numFmtId="200" fontId="29" fillId="13" borderId="34" xfId="0" applyNumberFormat="1" applyFont="1" applyFill="1" applyBorder="1" applyAlignment="1">
      <x:alignment horizontal="center" vertical="center"/>
    </x:xf>
    <x:xf numFmtId="200" fontId="28" fillId="13" borderId="34" xfId="0" applyNumberFormat="1" applyFont="1" applyFill="1" applyBorder="1" applyAlignment="1">
      <x:alignment horizontal="center" vertical="center"/>
    </x:xf>
    <x:xf numFmtId="200" fontId="12" fillId="0" borderId="34" xfId="0" applyNumberFormat="1" applyFont="1" applyFill="1" applyBorder="1" applyAlignment="1">
      <x:alignment horizontal="center" vertical="center"/>
    </x:xf>
    <x:xf numFmtId="200" fontId="12" fillId="13" borderId="34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632"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  <x:dxf>
      <x:font>
        <x:b/>
        <x:color rgb="FF20386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e2c735a402447d" /><Relationship Type="http://schemas.openxmlformats.org/officeDocument/2006/relationships/theme" Target="/xl/theme/theme1.xml" Id="R488d8cd0921f4298" /><Relationship Type="http://schemas.openxmlformats.org/officeDocument/2006/relationships/sharedStrings" Target="/xl/sharedStrings.xml" Id="R00af9bcadd3345e7" /><Relationship Type="http://schemas.openxmlformats.org/officeDocument/2006/relationships/worksheet" Target="/xl/worksheets/sheet1.xml" Id="R3ca211ef97c04e49" /><Relationship Type="http://schemas.openxmlformats.org/officeDocument/2006/relationships/worksheet" Target="/xl/worksheets/sheet2.xml" Id="Re720aa1a0aac42b7" /><Relationship Type="http://schemas.openxmlformats.org/officeDocument/2006/relationships/worksheet" Target="/xl/worksheets/sheet3.xml" Id="Rca1ef8a270fb4203" /><Relationship Type="http://schemas.openxmlformats.org/officeDocument/2006/relationships/worksheet" Target="/xl/worksheets/sheet4.xml" Id="R6c023cbc43184150" /><Relationship Type="http://schemas.openxmlformats.org/officeDocument/2006/relationships/worksheet" Target="/xl/worksheets/sheet5.xml" Id="R77a4f8e8d90f46b7" /><Relationship Type="http://schemas.openxmlformats.org/officeDocument/2006/relationships/worksheet" Target="/xl/worksheets/sheet6.xml" Id="R9ff00043edfb4634" /><Relationship Type="http://schemas.openxmlformats.org/officeDocument/2006/relationships/worksheet" Target="/xl/worksheets/sheet7.xml" Id="Rd3e2aba2d59947be" /><Relationship Type="http://schemas.openxmlformats.org/officeDocument/2006/relationships/worksheet" Target="/xl/worksheets/sheet8.xml" Id="Re64bd91d91f84ff7" /><Relationship Type="http://schemas.openxmlformats.org/officeDocument/2006/relationships/worksheet" Target="/xl/worksheets/sheet9.xml" Id="Re4ebcffc192e4d79" /><Relationship Type="http://schemas.openxmlformats.org/officeDocument/2006/relationships/worksheet" Target="/xl/worksheets/sheet10.xml" Id="Rcaee87382708483e" /><Relationship Type="http://schemas.openxmlformats.org/officeDocument/2006/relationships/worksheet" Target="/xl/worksheets/sheet11.xml" Id="R2ab7292dcf0f40c9" /><Relationship Type="http://schemas.openxmlformats.org/officeDocument/2006/relationships/worksheet" Target="/xl/worksheets/sheet12.xml" Id="Reac8e94e5cfd4778" /><Relationship Type="http://schemas.openxmlformats.org/officeDocument/2006/relationships/worksheet" Target="/xl/worksheets/sheet13.xml" Id="Ra4df92102bb347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3f6ab2a9f914f39" /><Relationship Type="http://schemas.openxmlformats.org/officeDocument/2006/relationships/chart" Target="/xl/drawings/charts/chart2.xml" Id="Rd1a96f3cc69f41a6" /><Relationship Type="http://schemas.openxmlformats.org/officeDocument/2006/relationships/chart" Target="/xl/drawings/charts/chart3.xml" Id="Raf05eff6b77a4c0f" /><Relationship Type="http://schemas.openxmlformats.org/officeDocument/2006/relationships/chart" Target="/xl/drawings/charts/chart4.xml" Id="R01da1f9f34a44dcb" /><Relationship Type="http://schemas.openxmlformats.org/officeDocument/2006/relationships/chart" Target="/xl/drawings/charts/chart5.xml" Id="R9dc0b6efbcc440fc" /><Relationship Type="http://schemas.openxmlformats.org/officeDocument/2006/relationships/chart" Target="/xl/drawings/charts/chart6.xml" Id="R6f9511213ca24e20" /><Relationship Type="http://schemas.openxmlformats.org/officeDocument/2006/relationships/chart" Target="/xl/drawings/charts/chart7.xml" Id="Rc018f5343f184c9f" /><Relationship Type="http://schemas.openxmlformats.org/officeDocument/2006/relationships/chart" Target="/xl/drawings/charts/chart8.xml" Id="R5d2529949c0e4254" /><Relationship Type="http://schemas.openxmlformats.org/officeDocument/2006/relationships/chart" Target="/xl/drawings/charts/chart9.xml" Id="R988187e7dca8447c" /><Relationship Type="http://schemas.openxmlformats.org/officeDocument/2006/relationships/chart" Target="/xl/drawings/charts/chart10.xml" Id="R6851227ce2784477" /><Relationship Type="http://schemas.openxmlformats.org/officeDocument/2006/relationships/chart" Target="/xl/drawings/charts/chart11.xml" Id="R2b51a6c256ca4ce7" /><Relationship Type="http://schemas.openxmlformats.org/officeDocument/2006/relationships/chart" Target="/xl/drawings/charts/chart12.xml" Id="R52cf488a86d84b3a" /><Relationship Type="http://schemas.openxmlformats.org/officeDocument/2006/relationships/chart" Target="/xl/drawings/charts/chart13.xml" Id="Rbf1af43a67794fc5" /><Relationship Type="http://schemas.openxmlformats.org/officeDocument/2006/relationships/chart" Target="/xl/drawings/charts/chart14.xml" Id="R73ce6d37a0d04680" /><Relationship Type="http://schemas.openxmlformats.org/officeDocument/2006/relationships/chart" Target="/xl/drawings/charts/chart15.xml" Id="R33bcb34e0e9746e9" /><Relationship Type="http://schemas.openxmlformats.org/officeDocument/2006/relationships/chart" Target="/xl/drawings/charts/chart16.xml" Id="R648b6bd2cef247e1" /><Relationship Type="http://schemas.openxmlformats.org/officeDocument/2006/relationships/chart" Target="/xl/drawings/charts/chart17.xml" Id="Rd5d23166aa01446f" /><Relationship Type="http://schemas.openxmlformats.org/officeDocument/2006/relationships/chart" Target="/xl/drawings/charts/chart18.xml" Id="Rcf4154289f2f448d" /><Relationship Type="http://schemas.openxmlformats.org/officeDocument/2006/relationships/chart" Target="/xl/drawings/charts/chart19.xml" Id="R35918cde33054fad" /><Relationship Type="http://schemas.openxmlformats.org/officeDocument/2006/relationships/chart" Target="/xl/drawings/charts/chart20.xml" Id="R21de0c5455344177" /><Relationship Type="http://schemas.openxmlformats.org/officeDocument/2006/relationships/chart" Target="/xl/drawings/charts/chart21.xml" Id="Rd29e3e329cd64919" /><Relationship Type="http://schemas.openxmlformats.org/officeDocument/2006/relationships/chart" Target="/xl/drawings/charts/chart22.xml" Id="R36cee3ef5b044d8b" /><Relationship Type="http://schemas.openxmlformats.org/officeDocument/2006/relationships/chart" Target="/xl/drawings/charts/chart23.xml" Id="Rcc477a2d34ed468c" /><Relationship Type="http://schemas.openxmlformats.org/officeDocument/2006/relationships/chart" Target="/xl/drawings/charts/chart24.xml" Id="R0a0284cd85b84a7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5.xml" Id="Re643d988813d434e" /><Relationship Type="http://schemas.openxmlformats.org/officeDocument/2006/relationships/chart" Target="/xl/drawings/charts/chart26.xml" Id="R7d0a93db37a54812" /><Relationship Type="http://schemas.openxmlformats.org/officeDocument/2006/relationships/chart" Target="/xl/drawings/charts/chart27.xml" Id="R7b067ea6f22749d1" /><Relationship Type="http://schemas.openxmlformats.org/officeDocument/2006/relationships/chart" Target="/xl/drawings/charts/chart28.xml" Id="R5e8aa848b3d14aff" /><Relationship Type="http://schemas.openxmlformats.org/officeDocument/2006/relationships/chart" Target="/xl/drawings/charts/chart29.xml" Id="Ree5df1b32ba547ec" /><Relationship Type="http://schemas.openxmlformats.org/officeDocument/2006/relationships/chart" Target="/xl/drawings/charts/chart30.xml" Id="R0d0632b21e114cb2" /><Relationship Type="http://schemas.openxmlformats.org/officeDocument/2006/relationships/chart" Target="/xl/drawings/charts/chart31.xml" Id="Reca8ee2b94a649b7" /><Relationship Type="http://schemas.openxmlformats.org/officeDocument/2006/relationships/chart" Target="/xl/drawings/charts/chart32.xml" Id="R516949f3979942e7" /><Relationship Type="http://schemas.openxmlformats.org/officeDocument/2006/relationships/chart" Target="/xl/drawings/charts/chart33.xml" Id="R14b9e41646494796" /><Relationship Type="http://schemas.openxmlformats.org/officeDocument/2006/relationships/chart" Target="/xl/drawings/charts/chart34.xml" Id="Rac926c1fe12f4ae5" /><Relationship Type="http://schemas.openxmlformats.org/officeDocument/2006/relationships/chart" Target="/xl/drawings/charts/chart35.xml" Id="Rfdb42aad7adf4245" /><Relationship Type="http://schemas.openxmlformats.org/officeDocument/2006/relationships/chart" Target="/xl/drawings/charts/chart36.xml" Id="Ra2294b0bf59f452c" /><Relationship Type="http://schemas.openxmlformats.org/officeDocument/2006/relationships/chart" Target="/xl/drawings/charts/chart37.xml" Id="R3574e3278c7d476f" /><Relationship Type="http://schemas.openxmlformats.org/officeDocument/2006/relationships/chart" Target="/xl/drawings/charts/chart38.xml" Id="Rf92b5a805c334510" /><Relationship Type="http://schemas.openxmlformats.org/officeDocument/2006/relationships/chart" Target="/xl/drawings/charts/chart39.xml" Id="R30e8b73e5ed8473a" /><Relationship Type="http://schemas.openxmlformats.org/officeDocument/2006/relationships/chart" Target="/xl/drawings/charts/chart40.xml" Id="R9d2e3422f7ad47ea" /><Relationship Type="http://schemas.openxmlformats.org/officeDocument/2006/relationships/chart" Target="/xl/drawings/charts/chart41.xml" Id="Rf21766d22939429d" /><Relationship Type="http://schemas.openxmlformats.org/officeDocument/2006/relationships/chart" Target="/xl/drawings/charts/chart42.xml" Id="R92ca90c78a3842cd" /><Relationship Type="http://schemas.openxmlformats.org/officeDocument/2006/relationships/chart" Target="/xl/drawings/charts/chart43.xml" Id="R65c73b9f3b3b4090" /><Relationship Type="http://schemas.openxmlformats.org/officeDocument/2006/relationships/chart" Target="/xl/drawings/charts/chart44.xml" Id="R75499787455e4d5a" /><Relationship Type="http://schemas.openxmlformats.org/officeDocument/2006/relationships/chart" Target="/xl/drawings/charts/chart45.xml" Id="R218a912e3c2749b1" /><Relationship Type="http://schemas.openxmlformats.org/officeDocument/2006/relationships/chart" Target="/xl/drawings/charts/chart46.xml" Id="Rf0d80504e4c84b3c" /><Relationship Type="http://schemas.openxmlformats.org/officeDocument/2006/relationships/chart" Target="/xl/drawings/charts/chart47.xml" Id="Rafbcd2054c944468" /><Relationship Type="http://schemas.openxmlformats.org/officeDocument/2006/relationships/chart" Target="/xl/drawings/charts/chart48.xml" Id="Red6ef564c18047d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9.xml" Id="R88cbed793bc84823" /><Relationship Type="http://schemas.openxmlformats.org/officeDocument/2006/relationships/chart" Target="/xl/drawings/charts/chart50.xml" Id="R58a082491ab34dea" /><Relationship Type="http://schemas.openxmlformats.org/officeDocument/2006/relationships/chart" Target="/xl/drawings/charts/chart51.xml" Id="Re761f4ece01e43d1" /><Relationship Type="http://schemas.openxmlformats.org/officeDocument/2006/relationships/chart" Target="/xl/drawings/charts/chart52.xml" Id="Rcdf7c1b0833243a8" /><Relationship Type="http://schemas.openxmlformats.org/officeDocument/2006/relationships/chart" Target="/xl/drawings/charts/chart53.xml" Id="R2c9895333b424cd0" /><Relationship Type="http://schemas.openxmlformats.org/officeDocument/2006/relationships/chart" Target="/xl/drawings/charts/chart54.xml" Id="R1885503b8f224870" /><Relationship Type="http://schemas.openxmlformats.org/officeDocument/2006/relationships/chart" Target="/xl/drawings/charts/chart55.xml" Id="R48c2476fa5984fde" /><Relationship Type="http://schemas.openxmlformats.org/officeDocument/2006/relationships/chart" Target="/xl/drawings/charts/chart56.xml" Id="R32a94354858a4a0e" /><Relationship Type="http://schemas.openxmlformats.org/officeDocument/2006/relationships/chart" Target="/xl/drawings/charts/chart57.xml" Id="R95028c8057bd4564" /><Relationship Type="http://schemas.openxmlformats.org/officeDocument/2006/relationships/chart" Target="/xl/drawings/charts/chart58.xml" Id="Rddf4079554f54431" /><Relationship Type="http://schemas.openxmlformats.org/officeDocument/2006/relationships/chart" Target="/xl/drawings/charts/chart59.xml" Id="R37bc62e625b6480a" /><Relationship Type="http://schemas.openxmlformats.org/officeDocument/2006/relationships/chart" Target="/xl/drawings/charts/chart60.xml" Id="Rf8ccdf716dd649ed" /><Relationship Type="http://schemas.openxmlformats.org/officeDocument/2006/relationships/chart" Target="/xl/drawings/charts/chart61.xml" Id="Rcaf7c8d43de24f5a" /><Relationship Type="http://schemas.openxmlformats.org/officeDocument/2006/relationships/chart" Target="/xl/drawings/charts/chart62.xml" Id="Rc2cbe3bd5ea14a12" /><Relationship Type="http://schemas.openxmlformats.org/officeDocument/2006/relationships/chart" Target="/xl/drawings/charts/chart63.xml" Id="R4bf845d3cb8c49b0" /><Relationship Type="http://schemas.openxmlformats.org/officeDocument/2006/relationships/chart" Target="/xl/drawings/charts/chart64.xml" Id="R84410f9570804f18" /><Relationship Type="http://schemas.openxmlformats.org/officeDocument/2006/relationships/chart" Target="/xl/drawings/charts/chart65.xml" Id="R5e878a21a012483e" /><Relationship Type="http://schemas.openxmlformats.org/officeDocument/2006/relationships/chart" Target="/xl/drawings/charts/chart66.xml" Id="R9607825f3347448a" /><Relationship Type="http://schemas.openxmlformats.org/officeDocument/2006/relationships/chart" Target="/xl/drawings/charts/chart67.xml" Id="R719e53c393e44473" /><Relationship Type="http://schemas.openxmlformats.org/officeDocument/2006/relationships/chart" Target="/xl/drawings/charts/chart68.xml" Id="Raaac9a18c66945c8" /><Relationship Type="http://schemas.openxmlformats.org/officeDocument/2006/relationships/chart" Target="/xl/drawings/charts/chart69.xml" Id="R5c111bc0f9b043b6" /><Relationship Type="http://schemas.openxmlformats.org/officeDocument/2006/relationships/chart" Target="/xl/drawings/charts/chart70.xml" Id="R7cdc7973ca8341a3" /><Relationship Type="http://schemas.openxmlformats.org/officeDocument/2006/relationships/chart" Target="/xl/drawings/charts/chart71.xml" Id="Rd65bf378f3054c39" /><Relationship Type="http://schemas.openxmlformats.org/officeDocument/2006/relationships/chart" Target="/xl/drawings/charts/chart72.xml" Id="Rf4a8581f4e2b465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3.xml" Id="R9e7c243fbd7b4dc3" /><Relationship Type="http://schemas.openxmlformats.org/officeDocument/2006/relationships/chart" Target="/xl/drawings/charts/chart74.xml" Id="R5a8368f1ca4a427a" /><Relationship Type="http://schemas.openxmlformats.org/officeDocument/2006/relationships/chart" Target="/xl/drawings/charts/chart75.xml" Id="Ra968ed1fb22f4222" /><Relationship Type="http://schemas.openxmlformats.org/officeDocument/2006/relationships/chart" Target="/xl/drawings/charts/chart76.xml" Id="R96387e2562f2465f" /><Relationship Type="http://schemas.openxmlformats.org/officeDocument/2006/relationships/chart" Target="/xl/drawings/charts/chart77.xml" Id="R3e075944d5a24267" /><Relationship Type="http://schemas.openxmlformats.org/officeDocument/2006/relationships/chart" Target="/xl/drawings/charts/chart78.xml" Id="R01e74fa8ecc54592" /><Relationship Type="http://schemas.openxmlformats.org/officeDocument/2006/relationships/chart" Target="/xl/drawings/charts/chart79.xml" Id="R995f05797fd843ac" /><Relationship Type="http://schemas.openxmlformats.org/officeDocument/2006/relationships/chart" Target="/xl/drawings/charts/chart80.xml" Id="Rfae6f999d0064111" /><Relationship Type="http://schemas.openxmlformats.org/officeDocument/2006/relationships/chart" Target="/xl/drawings/charts/chart81.xml" Id="R1e2e9f6848bf456f" /><Relationship Type="http://schemas.openxmlformats.org/officeDocument/2006/relationships/chart" Target="/xl/drawings/charts/chart82.xml" Id="R85a57ce3bee54efc" /><Relationship Type="http://schemas.openxmlformats.org/officeDocument/2006/relationships/chart" Target="/xl/drawings/charts/chart83.xml" Id="Rf0b795613ee445b9" /><Relationship Type="http://schemas.openxmlformats.org/officeDocument/2006/relationships/chart" Target="/xl/drawings/charts/chart84.xml" Id="R4ffec89c6d0b4d1f" /><Relationship Type="http://schemas.openxmlformats.org/officeDocument/2006/relationships/chart" Target="/xl/drawings/charts/chart85.xml" Id="R9c4ad30b2d1c42e9" /><Relationship Type="http://schemas.openxmlformats.org/officeDocument/2006/relationships/chart" Target="/xl/drawings/charts/chart86.xml" Id="Re185e86494894d34" /><Relationship Type="http://schemas.openxmlformats.org/officeDocument/2006/relationships/chart" Target="/xl/drawings/charts/chart87.xml" Id="R50f841b5ce1c4737" /><Relationship Type="http://schemas.openxmlformats.org/officeDocument/2006/relationships/chart" Target="/xl/drawings/charts/chart88.xml" Id="R17a44c2877304ed8" /><Relationship Type="http://schemas.openxmlformats.org/officeDocument/2006/relationships/chart" Target="/xl/drawings/charts/chart89.xml" Id="R593ad51d62c943c9" /><Relationship Type="http://schemas.openxmlformats.org/officeDocument/2006/relationships/chart" Target="/xl/drawings/charts/chart90.xml" Id="Rbf1c61dfad6a41ab" /><Relationship Type="http://schemas.openxmlformats.org/officeDocument/2006/relationships/chart" Target="/xl/drawings/charts/chart91.xml" Id="R995712a87eb543d0" /><Relationship Type="http://schemas.openxmlformats.org/officeDocument/2006/relationships/chart" Target="/xl/drawings/charts/chart92.xml" Id="Rdbcf3ffbc4c84f7f" /><Relationship Type="http://schemas.openxmlformats.org/officeDocument/2006/relationships/chart" Target="/xl/drawings/charts/chart93.xml" Id="R563dfa31b4a14e2f" /><Relationship Type="http://schemas.openxmlformats.org/officeDocument/2006/relationships/chart" Target="/xl/drawings/charts/chart94.xml" Id="R9e01f347c0e44831" /><Relationship Type="http://schemas.openxmlformats.org/officeDocument/2006/relationships/chart" Target="/xl/drawings/charts/chart95.xml" Id="Rd0d95fa0368542ec" /><Relationship Type="http://schemas.openxmlformats.org/officeDocument/2006/relationships/chart" Target="/xl/drawings/charts/chart96.xml" Id="Rdcd3e881ce43434c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97.xml" Id="R3927b387369a4c4e" /><Relationship Type="http://schemas.openxmlformats.org/officeDocument/2006/relationships/chart" Target="/xl/drawings/charts/chart98.xml" Id="R500889199d85494e" /><Relationship Type="http://schemas.openxmlformats.org/officeDocument/2006/relationships/chart" Target="/xl/drawings/charts/chart99.xml" Id="R12ff055d9766447b" /><Relationship Type="http://schemas.openxmlformats.org/officeDocument/2006/relationships/chart" Target="/xl/drawings/charts/chart100.xml" Id="Rfa2cdfd1e2804e7c" /><Relationship Type="http://schemas.openxmlformats.org/officeDocument/2006/relationships/chart" Target="/xl/drawings/charts/chart101.xml" Id="R8d26a951a87545e9" /><Relationship Type="http://schemas.openxmlformats.org/officeDocument/2006/relationships/chart" Target="/xl/drawings/charts/chart102.xml" Id="Rdf2ede95599d4b0f" /><Relationship Type="http://schemas.openxmlformats.org/officeDocument/2006/relationships/chart" Target="/xl/drawings/charts/chart103.xml" Id="R81d36e8d7a964026" /><Relationship Type="http://schemas.openxmlformats.org/officeDocument/2006/relationships/chart" Target="/xl/drawings/charts/chart104.xml" Id="Re0e6cdba7baf4698" /><Relationship Type="http://schemas.openxmlformats.org/officeDocument/2006/relationships/chart" Target="/xl/drawings/charts/chart105.xml" Id="Rec9b9fd9610d4be4" /><Relationship Type="http://schemas.openxmlformats.org/officeDocument/2006/relationships/chart" Target="/xl/drawings/charts/chart106.xml" Id="R9918753d84f54f55" /><Relationship Type="http://schemas.openxmlformats.org/officeDocument/2006/relationships/chart" Target="/xl/drawings/charts/chart107.xml" Id="R88643894d5524f04" /><Relationship Type="http://schemas.openxmlformats.org/officeDocument/2006/relationships/chart" Target="/xl/drawings/charts/chart108.xml" Id="R19e85d84e82a4e38" /><Relationship Type="http://schemas.openxmlformats.org/officeDocument/2006/relationships/chart" Target="/xl/drawings/charts/chart109.xml" Id="Re389c620a5b94d9a" /><Relationship Type="http://schemas.openxmlformats.org/officeDocument/2006/relationships/chart" Target="/xl/drawings/charts/chart110.xml" Id="R840af9e05d2048c8" /><Relationship Type="http://schemas.openxmlformats.org/officeDocument/2006/relationships/chart" Target="/xl/drawings/charts/chart111.xml" Id="R6e3cb6d0a5924dff" /><Relationship Type="http://schemas.openxmlformats.org/officeDocument/2006/relationships/chart" Target="/xl/drawings/charts/chart112.xml" Id="Rbd4accc90b1245ec" /><Relationship Type="http://schemas.openxmlformats.org/officeDocument/2006/relationships/chart" Target="/xl/drawings/charts/chart113.xml" Id="R821a8b04e9594f1e" /><Relationship Type="http://schemas.openxmlformats.org/officeDocument/2006/relationships/chart" Target="/xl/drawings/charts/chart114.xml" Id="R10fdc1adc5764275" /><Relationship Type="http://schemas.openxmlformats.org/officeDocument/2006/relationships/chart" Target="/xl/drawings/charts/chart115.xml" Id="Rfd4bb817364a4586" /><Relationship Type="http://schemas.openxmlformats.org/officeDocument/2006/relationships/chart" Target="/xl/drawings/charts/chart116.xml" Id="R6893bb894fe44a40" /><Relationship Type="http://schemas.openxmlformats.org/officeDocument/2006/relationships/chart" Target="/xl/drawings/charts/chart117.xml" Id="Rcbc7b3e6af5b4812" /><Relationship Type="http://schemas.openxmlformats.org/officeDocument/2006/relationships/chart" Target="/xl/drawings/charts/chart118.xml" Id="R4646ecf7a9694348" /><Relationship Type="http://schemas.openxmlformats.org/officeDocument/2006/relationships/chart" Target="/xl/drawings/charts/chart119.xml" Id="Rc537c41c96c843fe" /><Relationship Type="http://schemas.openxmlformats.org/officeDocument/2006/relationships/chart" Target="/xl/drawings/charts/chart120.xml" Id="Rc95194ebbc844aad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121.xml" Id="R2acac5f0fae74d33" /><Relationship Type="http://schemas.openxmlformats.org/officeDocument/2006/relationships/chart" Target="/xl/drawings/charts/chart122.xml" Id="R8ce6c64424174cec" /><Relationship Type="http://schemas.openxmlformats.org/officeDocument/2006/relationships/chart" Target="/xl/drawings/charts/chart123.xml" Id="Rd923c51784074749" /><Relationship Type="http://schemas.openxmlformats.org/officeDocument/2006/relationships/chart" Target="/xl/drawings/charts/chart124.xml" Id="Rcd76faf55faa4384" /><Relationship Type="http://schemas.openxmlformats.org/officeDocument/2006/relationships/chart" Target="/xl/drawings/charts/chart125.xml" Id="R48f76c27c9684596" /><Relationship Type="http://schemas.openxmlformats.org/officeDocument/2006/relationships/chart" Target="/xl/drawings/charts/chart126.xml" Id="Rf230d9f9f61647cb" /><Relationship Type="http://schemas.openxmlformats.org/officeDocument/2006/relationships/chart" Target="/xl/drawings/charts/chart127.xml" Id="R0ffbd91396174865" /><Relationship Type="http://schemas.openxmlformats.org/officeDocument/2006/relationships/chart" Target="/xl/drawings/charts/chart128.xml" Id="Rfd04f0bbd531482f" /><Relationship Type="http://schemas.openxmlformats.org/officeDocument/2006/relationships/chart" Target="/xl/drawings/charts/chart129.xml" Id="R29e3b6024dcb4c76" /><Relationship Type="http://schemas.openxmlformats.org/officeDocument/2006/relationships/chart" Target="/xl/drawings/charts/chart130.xml" Id="Rf60aab0b2cc24c2a" /><Relationship Type="http://schemas.openxmlformats.org/officeDocument/2006/relationships/chart" Target="/xl/drawings/charts/chart131.xml" Id="R73bf8953433c4222" /><Relationship Type="http://schemas.openxmlformats.org/officeDocument/2006/relationships/chart" Target="/xl/drawings/charts/chart132.xml" Id="R04023e8f35414459" /><Relationship Type="http://schemas.openxmlformats.org/officeDocument/2006/relationships/chart" Target="/xl/drawings/charts/chart133.xml" Id="R7f1c6ae8ea4b4b04" /><Relationship Type="http://schemas.openxmlformats.org/officeDocument/2006/relationships/chart" Target="/xl/drawings/charts/chart134.xml" Id="Ra3a141b09ea84b81" /><Relationship Type="http://schemas.openxmlformats.org/officeDocument/2006/relationships/chart" Target="/xl/drawings/charts/chart135.xml" Id="Rca0a489e806048db" /><Relationship Type="http://schemas.openxmlformats.org/officeDocument/2006/relationships/chart" Target="/xl/drawings/charts/chart136.xml" Id="R41d9f69ba5f945e0" /><Relationship Type="http://schemas.openxmlformats.org/officeDocument/2006/relationships/chart" Target="/xl/drawings/charts/chart137.xml" Id="Ra8589f2140d54a90" /><Relationship Type="http://schemas.openxmlformats.org/officeDocument/2006/relationships/chart" Target="/xl/drawings/charts/chart138.xml" Id="Rc59f669da9a4496b" /><Relationship Type="http://schemas.openxmlformats.org/officeDocument/2006/relationships/chart" Target="/xl/drawings/charts/chart139.xml" Id="Rd58335fade254351" /><Relationship Type="http://schemas.openxmlformats.org/officeDocument/2006/relationships/chart" Target="/xl/drawings/charts/chart140.xml" Id="Rebc8892001dd4a20" /><Relationship Type="http://schemas.openxmlformats.org/officeDocument/2006/relationships/chart" Target="/xl/drawings/charts/chart141.xml" Id="Rdf4c1333afb1441e" /><Relationship Type="http://schemas.openxmlformats.org/officeDocument/2006/relationships/chart" Target="/xl/drawings/charts/chart142.xml" Id="R7e0d075044044ec8" /><Relationship Type="http://schemas.openxmlformats.org/officeDocument/2006/relationships/chart" Target="/xl/drawings/charts/chart143.xml" Id="Rc9a4c6c54c85488b" /><Relationship Type="http://schemas.openxmlformats.org/officeDocument/2006/relationships/chart" Target="/xl/drawings/charts/chart144.xml" Id="R83230b29d57249e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M1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data'!$A$5:$A$7</c:f>
              <c:strCache>
                <c:ptCount val="0"/>
              </c:strCache>
            </c:strRef>
          </c:cat>
          <c:val>
            <c:numRef>
              <c:f>'Chart data'!$B$5:$B$7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data'!$A$5:$A$7</c:f>
              <c:strCache>
                <c:ptCount val="0"/>
              </c:strCache>
            </c:strRef>
          </c:cat>
          <c:val>
            <c:numRef>
              <c:f>'Chart data'!$C$5:$C$7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data'!$A$5:$A$7</c:f>
              <c:strCache>
                <c:ptCount val="0"/>
              </c:strCache>
            </c:strRef>
          </c:cat>
          <c:val>
            <c:numRef>
              <c:f>'Chart data'!$D$5:$D$7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data'!$A$5:$A$7</c:f>
              <c:strCache>
                <c:ptCount val="0"/>
              </c:strCache>
            </c:strRef>
          </c:cat>
          <c:val>
            <c:numRef>
              <c:f>'Chart data'!$E$5:$E$7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data'!$A$5:$A$7</c:f>
              <c:strCache>
                <c:ptCount val="0"/>
              </c:strCache>
            </c:strRef>
          </c:cat>
          <c:val>
            <c:numRef>
              <c:f>'Chart data'!$F$5:$F$7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data'!$A$5:$A$7</c:f>
              <c:strCache>
                <c:ptCount val="0"/>
              </c:strCache>
            </c:strRef>
          </c:cat>
          <c:val>
            <c:numRef>
              <c:f>'Chart data'!$G$5:$G$7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data'!$A$5:$A$7</c:f>
              <c:strCache>
                <c:ptCount val="0"/>
              </c:strCache>
            </c:strRef>
          </c:cat>
          <c:val>
            <c:numRef>
              <c:f>'Chart data'!$H$5:$H$7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data'!$A$5:$A$7</c:f>
              <c:strCache>
                <c:ptCount val="0"/>
              </c:strCache>
            </c:strRef>
          </c:cat>
          <c:val>
            <c:numRef>
              <c:f>'Chart data'!$I$5:$I$7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M1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data'!$K$5:$K$7</c:f>
              <c:strCache>
                <c:ptCount val="0"/>
              </c:strCache>
            </c:strRef>
          </c:cat>
          <c:val>
            <c:numRef>
              <c:f>'Chart data'!$L$5:$L$7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data'!$K$5:$K$7</c:f>
              <c:strCache>
                <c:ptCount val="0"/>
              </c:strCache>
            </c:strRef>
          </c:cat>
          <c:val>
            <c:numRef>
              <c:f>'Chart data'!$M$5:$M$7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data'!$K$5:$K$7</c:f>
              <c:strCache>
                <c:ptCount val="0"/>
              </c:strCache>
            </c:strRef>
          </c:cat>
          <c:val>
            <c:numRef>
              <c:f>'Chart data'!$N$5:$N$7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data'!$K$5:$K$7</c:f>
              <c:strCache>
                <c:ptCount val="0"/>
              </c:strCache>
            </c:strRef>
          </c:cat>
          <c:val>
            <c:numRef>
              <c:f>'Chart data'!$O$5:$O$7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M3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data'!$A$11:$A$13</c:f>
              <c:strCache>
                <c:ptCount val="0"/>
              </c:strCache>
            </c:strRef>
          </c:cat>
          <c:val>
            <c:numRef>
              <c:f>'Chart data'!$B$11:$B$13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data'!$A$11:$A$13</c:f>
              <c:strCache>
                <c:ptCount val="0"/>
              </c:strCache>
            </c:strRef>
          </c:cat>
          <c:val>
            <c:numRef>
              <c:f>'Chart data'!$C$11:$C$13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data'!$A$11:$A$13</c:f>
              <c:strCache>
                <c:ptCount val="0"/>
              </c:strCache>
            </c:strRef>
          </c:cat>
          <c:val>
            <c:numRef>
              <c:f>'Chart data'!$D$11:$D$13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data'!$A$11:$A$13</c:f>
              <c:strCache>
                <c:ptCount val="0"/>
              </c:strCache>
            </c:strRef>
          </c:cat>
          <c:val>
            <c:numRef>
              <c:f>'Chart data'!$E$11:$E$13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data'!$A$11:$A$13</c:f>
              <c:strCache>
                <c:ptCount val="0"/>
              </c:strCache>
            </c:strRef>
          </c:cat>
          <c:val>
            <c:numRef>
              <c:f>'Chart data'!$F$11:$F$13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data'!$A$11:$A$13</c:f>
              <c:strCache>
                <c:ptCount val="0"/>
              </c:strCache>
            </c:strRef>
          </c:cat>
          <c:val>
            <c:numRef>
              <c:f>'Chart data'!$G$11:$G$13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data'!$A$11:$A$13</c:f>
              <c:strCache>
                <c:ptCount val="0"/>
              </c:strCache>
            </c:strRef>
          </c:cat>
          <c:val>
            <c:numRef>
              <c:f>'Chart data'!$H$11:$H$13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data'!$A$11:$A$13</c:f>
              <c:strCache>
                <c:ptCount val="0"/>
              </c:strCache>
            </c:strRef>
          </c:cat>
          <c:val>
            <c:numRef>
              <c:f>'Chart data'!$I$11:$I$13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M3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data'!$K$11:$K$13</c:f>
              <c:strCache>
                <c:ptCount val="0"/>
              </c:strCache>
            </c:strRef>
          </c:cat>
          <c:val>
            <c:numRef>
              <c:f>'Chart data'!$L$11:$L$13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data'!$K$11:$K$13</c:f>
              <c:strCache>
                <c:ptCount val="0"/>
              </c:strCache>
            </c:strRef>
          </c:cat>
          <c:val>
            <c:numRef>
              <c:f>'Chart data'!$M$11:$M$13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data'!$K$11:$K$13</c:f>
              <c:strCache>
                <c:ptCount val="0"/>
              </c:strCache>
            </c:strRef>
          </c:cat>
          <c:val>
            <c:numRef>
              <c:f>'Chart data'!$N$11:$N$13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data'!$K$11:$K$13</c:f>
              <c:strCache>
                <c:ptCount val="0"/>
              </c:strCache>
            </c:strRef>
          </c:cat>
          <c:val>
            <c:numRef>
              <c:f>'Chart data'!$O$11:$O$13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M1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data'!$A$17:$A$19</c:f>
              <c:strCache>
                <c:ptCount val="0"/>
              </c:strCache>
            </c:strRef>
          </c:cat>
          <c:val>
            <c:numRef>
              <c:f>'Chart data'!$B$17:$B$19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data'!$A$17:$A$19</c:f>
              <c:strCache>
                <c:ptCount val="0"/>
              </c:strCache>
            </c:strRef>
          </c:cat>
          <c:val>
            <c:numRef>
              <c:f>'Chart data'!$C$17:$C$19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data'!$A$17:$A$19</c:f>
              <c:strCache>
                <c:ptCount val="0"/>
              </c:strCache>
            </c:strRef>
          </c:cat>
          <c:val>
            <c:numRef>
              <c:f>'Chart data'!$D$17:$D$19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data'!$A$17:$A$19</c:f>
              <c:strCache>
                <c:ptCount val="0"/>
              </c:strCache>
            </c:strRef>
          </c:cat>
          <c:val>
            <c:numRef>
              <c:f>'Chart data'!$E$17:$E$19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data'!$A$17:$A$19</c:f>
              <c:strCache>
                <c:ptCount val="0"/>
              </c:strCache>
            </c:strRef>
          </c:cat>
          <c:val>
            <c:numRef>
              <c:f>'Chart data'!$F$17:$F$19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data'!$A$17:$A$19</c:f>
              <c:strCache>
                <c:ptCount val="0"/>
              </c:strCache>
            </c:strRef>
          </c:cat>
          <c:val>
            <c:numRef>
              <c:f>'Chart data'!$G$17:$G$19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data'!$A$17:$A$19</c:f>
              <c:strCache>
                <c:ptCount val="0"/>
              </c:strCache>
            </c:strRef>
          </c:cat>
          <c:val>
            <c:numRef>
              <c:f>'Chart data'!$H$17:$H$19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data'!$A$17:$A$19</c:f>
              <c:strCache>
                <c:ptCount val="0"/>
              </c:strCache>
            </c:strRef>
          </c:cat>
          <c:val>
            <c:numRef>
              <c:f>'Chart data'!$I$17:$I$19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M1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data'!$K$17:$K$19</c:f>
              <c:strCache>
                <c:ptCount val="0"/>
              </c:strCache>
            </c:strRef>
          </c:cat>
          <c:val>
            <c:numRef>
              <c:f>'Chart data'!$L$17:$L$19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data'!$K$17:$K$19</c:f>
              <c:strCache>
                <c:ptCount val="0"/>
              </c:strCache>
            </c:strRef>
          </c:cat>
          <c:val>
            <c:numRef>
              <c:f>'Chart data'!$M$17:$M$19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data'!$K$17:$K$19</c:f>
              <c:strCache>
                <c:ptCount val="0"/>
              </c:strCache>
            </c:strRef>
          </c:cat>
          <c:val>
            <c:numRef>
              <c:f>'Chart data'!$N$17:$N$19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data'!$K$17:$K$19</c:f>
              <c:strCache>
                <c:ptCount val="0"/>
              </c:strCache>
            </c:strRef>
          </c:cat>
          <c:val>
            <c:numRef>
              <c:f>'Chart data'!$O$17:$O$19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M3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data'!$A$23:$A$25</c:f>
              <c:strCache>
                <c:ptCount val="0"/>
              </c:strCache>
            </c:strRef>
          </c:cat>
          <c:val>
            <c:numRef>
              <c:f>'Chart data'!$B$23:$B$25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data'!$A$23:$A$25</c:f>
              <c:strCache>
                <c:ptCount val="0"/>
              </c:strCache>
            </c:strRef>
          </c:cat>
          <c:val>
            <c:numRef>
              <c:f>'Chart data'!$C$23:$C$25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data'!$A$23:$A$25</c:f>
              <c:strCache>
                <c:ptCount val="0"/>
              </c:strCache>
            </c:strRef>
          </c:cat>
          <c:val>
            <c:numRef>
              <c:f>'Chart data'!$D$23:$D$25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data'!$A$23:$A$25</c:f>
              <c:strCache>
                <c:ptCount val="0"/>
              </c:strCache>
            </c:strRef>
          </c:cat>
          <c:val>
            <c:numRef>
              <c:f>'Chart data'!$E$23:$E$25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data'!$A$23:$A$25</c:f>
              <c:strCache>
                <c:ptCount val="0"/>
              </c:strCache>
            </c:strRef>
          </c:cat>
          <c:val>
            <c:numRef>
              <c:f>'Chart data'!$F$23:$F$25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data'!$A$23:$A$25</c:f>
              <c:strCache>
                <c:ptCount val="0"/>
              </c:strCache>
            </c:strRef>
          </c:cat>
          <c:val>
            <c:numRef>
              <c:f>'Chart data'!$G$23:$G$25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data'!$A$23:$A$25</c:f>
              <c:strCache>
                <c:ptCount val="0"/>
              </c:strCache>
            </c:strRef>
          </c:cat>
          <c:val>
            <c:numRef>
              <c:f>'Chart data'!$H$23:$H$25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data'!$A$23:$A$25</c:f>
              <c:strCache>
                <c:ptCount val="0"/>
              </c:strCache>
            </c:strRef>
          </c:cat>
          <c:val>
            <c:numRef>
              <c:f>'Chart data'!$I$23:$I$25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M3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data'!$K$23:$K$25</c:f>
              <c:strCache>
                <c:ptCount val="0"/>
              </c:strCache>
            </c:strRef>
          </c:cat>
          <c:val>
            <c:numRef>
              <c:f>'Chart data'!$L$23:$L$25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data'!$K$23:$K$25</c:f>
              <c:strCache>
                <c:ptCount val="0"/>
              </c:strCache>
            </c:strRef>
          </c:cat>
          <c:val>
            <c:numRef>
              <c:f>'Chart data'!$M$23:$M$25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data'!$K$23:$K$25</c:f>
              <c:strCache>
                <c:ptCount val="0"/>
              </c:strCache>
            </c:strRef>
          </c:cat>
          <c:val>
            <c:numRef>
              <c:f>'Chart data'!$N$23:$N$25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data'!$K$23:$K$25</c:f>
              <c:strCache>
                <c:ptCount val="0"/>
              </c:strCache>
            </c:strRef>
          </c:cat>
          <c:val>
            <c:numRef>
              <c:f>'Chart data'!$O$23:$O$25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M1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data'!$B$29:$B$31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data'!$C$29:$C$31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data'!$D$29:$D$31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data'!$E$29:$E$31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data'!$F$29:$F$31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data'!$G$29:$G$31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data'!$H$29:$H$31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data'!$I$29:$I$31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M1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data'!$K$29:$K$31</c:f>
              <c:strCache>
                <c:ptCount val="0"/>
              </c:strCache>
            </c:strRef>
          </c:cat>
          <c:val>
            <c:numRef>
              <c:f>'Chart data'!$L$29:$L$31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data'!$K$29:$K$31</c:f>
              <c:strCache>
                <c:ptCount val="0"/>
              </c:strCache>
            </c:strRef>
          </c:cat>
          <c:val>
            <c:numRef>
              <c:f>'Chart data'!$M$29:$M$31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data'!$K$29:$K$31</c:f>
              <c:strCache>
                <c:ptCount val="0"/>
              </c:strCache>
            </c:strRef>
          </c:cat>
          <c:val>
            <c:numRef>
              <c:f>'Chart data'!$N$29:$N$31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data'!$K$29:$K$31</c:f>
              <c:strCache>
                <c:ptCount val="0"/>
              </c:strCache>
            </c:strRef>
          </c:cat>
          <c:val>
            <c:numRef>
              <c:f>'Chart data'!$O$29:$O$31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M3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data'!$A$35:$A$37</c:f>
              <c:strCache>
                <c:ptCount val="0"/>
              </c:strCache>
            </c:strRef>
          </c:cat>
          <c:val>
            <c:numRef>
              <c:f>'Chart data'!$B$35:$B$37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data'!$A$35:$A$37</c:f>
              <c:strCache>
                <c:ptCount val="0"/>
              </c:strCache>
            </c:strRef>
          </c:cat>
          <c:val>
            <c:numRef>
              <c:f>'Chart data'!$C$35:$C$37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data'!$A$35:$A$37</c:f>
              <c:strCache>
                <c:ptCount val="0"/>
              </c:strCache>
            </c:strRef>
          </c:cat>
          <c:val>
            <c:numRef>
              <c:f>'Chart data'!$D$35:$D$37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data'!$A$35:$A$37</c:f>
              <c:strCache>
                <c:ptCount val="0"/>
              </c:strCache>
            </c:strRef>
          </c:cat>
          <c:val>
            <c:numRef>
              <c:f>'Chart data'!$E$35:$E$37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data'!$A$35:$A$37</c:f>
              <c:strCache>
                <c:ptCount val="0"/>
              </c:strCache>
            </c:strRef>
          </c:cat>
          <c:val>
            <c:numRef>
              <c:f>'Chart data'!$F$35:$F$37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data'!$A$35:$A$37</c:f>
              <c:strCache>
                <c:ptCount val="0"/>
              </c:strCache>
            </c:strRef>
          </c:cat>
          <c:val>
            <c:numRef>
              <c:f>'Chart data'!$G$35:$G$37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data'!$A$35:$A$37</c:f>
              <c:strCache>
                <c:ptCount val="0"/>
              </c:strCache>
            </c:strRef>
          </c:cat>
          <c:val>
            <c:numRef>
              <c:f>'Chart data'!$H$35:$H$37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data'!$A$35:$A$37</c:f>
              <c:strCache>
                <c:ptCount val="0"/>
              </c:strCache>
            </c:strRef>
          </c:cat>
          <c:val>
            <c:numRef>
              <c:f>'Chart data'!$I$35:$I$37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M3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data'!$K$35:$K$37</c:f>
              <c:strCache>
                <c:ptCount val="0"/>
              </c:strCache>
            </c:strRef>
          </c:cat>
          <c:val>
            <c:numRef>
              <c:f>'Chart data'!$L$35:$L$37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data'!$K$35:$K$37</c:f>
              <c:strCache>
                <c:ptCount val="0"/>
              </c:strCache>
            </c:strRef>
          </c:cat>
          <c:val>
            <c:numRef>
              <c:f>'Chart data'!$M$35:$M$37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data'!$K$35:$K$37</c:f>
              <c:strCache>
                <c:ptCount val="0"/>
              </c:strCache>
            </c:strRef>
          </c:cat>
          <c:val>
            <c:numRef>
              <c:f>'Chart data'!$N$35:$N$37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data'!$K$35:$K$37</c:f>
              <c:strCache>
                <c:ptCount val="0"/>
              </c:strCache>
            </c:strRef>
          </c:cat>
          <c:val>
            <c:numRef>
              <c:f>'Chart data'!$O$35:$O$37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M0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data'!$A$151:$A$153</c:f>
              <c:strCache>
                <c:ptCount val="0"/>
              </c:strCache>
            </c:strRef>
          </c:cat>
          <c:val>
            <c:numRef>
              <c:f>'Chart data'!$B$151:$B$153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data'!$A$151:$A$153</c:f>
              <c:strCache>
                <c:ptCount val="0"/>
              </c:strCache>
            </c:strRef>
          </c:cat>
          <c:val>
            <c:numRef>
              <c:f>'Chart data'!$C$151:$C$153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data'!$A$151:$A$153</c:f>
              <c:strCache>
                <c:ptCount val="0"/>
              </c:strCache>
            </c:strRef>
          </c:cat>
          <c:val>
            <c:numRef>
              <c:f>'Chart data'!$D$151:$D$153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data'!$A$151:$A$153</c:f>
              <c:strCache>
                <c:ptCount val="0"/>
              </c:strCache>
            </c:strRef>
          </c:cat>
          <c:val>
            <c:numRef>
              <c:f>'Chart data'!$E$151:$E$153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data'!$A$151:$A$153</c:f>
              <c:strCache>
                <c:ptCount val="0"/>
              </c:strCache>
            </c:strRef>
          </c:cat>
          <c:val>
            <c:numRef>
              <c:f>'Chart data'!$F$151:$F$153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data'!$A$151:$A$153</c:f>
              <c:strCache>
                <c:ptCount val="0"/>
              </c:strCache>
            </c:strRef>
          </c:cat>
          <c:val>
            <c:numRef>
              <c:f>'Chart data'!$G$151:$G$153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data'!$A$151:$A$153</c:f>
              <c:strCache>
                <c:ptCount val="0"/>
              </c:strCache>
            </c:strRef>
          </c:cat>
          <c:val>
            <c:numRef>
              <c:f>'Chart data'!$H$151:$H$153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data'!$A$151:$A$153</c:f>
              <c:strCache>
                <c:ptCount val="0"/>
              </c:strCache>
            </c:strRef>
          </c:cat>
          <c:val>
            <c:numRef>
              <c:f>'Chart data'!$I$151:$I$153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M0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data'!$K$151:$K$153</c:f>
              <c:strCache>
                <c:ptCount val="0"/>
              </c:strCache>
            </c:strRef>
          </c:cat>
          <c:val>
            <c:numRef>
              <c:f>'Chart data'!$L$151:$L$153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data'!$K$151:$K$153</c:f>
              <c:strCache>
                <c:ptCount val="0"/>
              </c:strCache>
            </c:strRef>
          </c:cat>
          <c:val>
            <c:numRef>
              <c:f>'Chart data'!$M$151:$M$153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data'!$K$151:$K$153</c:f>
              <c:strCache>
                <c:ptCount val="0"/>
              </c:strCache>
            </c:strRef>
          </c:cat>
          <c:val>
            <c:numRef>
              <c:f>'Chart data'!$N$151:$N$153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data'!$K$151:$K$153</c:f>
              <c:strCache>
                <c:ptCount val="0"/>
              </c:strCache>
            </c:strRef>
          </c:cat>
          <c:val>
            <c:numRef>
              <c:f>'Chart data'!$O$151:$O$153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M2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data'!$A$157:$A$159</c:f>
              <c:strCache>
                <c:ptCount val="0"/>
              </c:strCache>
            </c:strRef>
          </c:cat>
          <c:val>
            <c:numRef>
              <c:f>'Chart data'!$B$157:$B$159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data'!$A$157:$A$159</c:f>
              <c:strCache>
                <c:ptCount val="0"/>
              </c:strCache>
            </c:strRef>
          </c:cat>
          <c:val>
            <c:numRef>
              <c:f>'Chart data'!$C$157:$C$159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data'!$A$157:$A$159</c:f>
              <c:strCache>
                <c:ptCount val="0"/>
              </c:strCache>
            </c:strRef>
          </c:cat>
          <c:val>
            <c:numRef>
              <c:f>'Chart data'!$D$157:$D$159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data'!$A$157:$A$159</c:f>
              <c:strCache>
                <c:ptCount val="0"/>
              </c:strCache>
            </c:strRef>
          </c:cat>
          <c:val>
            <c:numRef>
              <c:f>'Chart data'!$E$157:$E$159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data'!$A$157:$A$159</c:f>
              <c:strCache>
                <c:ptCount val="0"/>
              </c:strCache>
            </c:strRef>
          </c:cat>
          <c:val>
            <c:numRef>
              <c:f>'Chart data'!$F$157:$F$159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data'!$A$157:$A$159</c:f>
              <c:strCache>
                <c:ptCount val="0"/>
              </c:strCache>
            </c:strRef>
          </c:cat>
          <c:val>
            <c:numRef>
              <c:f>'Chart data'!$G$157:$G$159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data'!$A$157:$A$159</c:f>
              <c:strCache>
                <c:ptCount val="0"/>
              </c:strCache>
            </c:strRef>
          </c:cat>
          <c:val>
            <c:numRef>
              <c:f>'Chart data'!$H$157:$H$159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data'!$A$157:$A$159</c:f>
              <c:strCache>
                <c:ptCount val="0"/>
              </c:strCache>
            </c:strRef>
          </c:cat>
          <c:val>
            <c:numRef>
              <c:f>'Chart data'!$I$157:$I$159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M2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data'!$K$157:$K$159</c:f>
              <c:strCache>
                <c:ptCount val="0"/>
              </c:strCache>
            </c:strRef>
          </c:cat>
          <c:val>
            <c:numRef>
              <c:f>'Chart data'!$L$157:$L$159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data'!$K$157:$K$159</c:f>
              <c:strCache>
                <c:ptCount val="0"/>
              </c:strCache>
            </c:strRef>
          </c:cat>
          <c:val>
            <c:numRef>
              <c:f>'Chart data'!$M$157:$M$159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data'!$K$157:$K$159</c:f>
              <c:strCache>
                <c:ptCount val="0"/>
              </c:strCache>
            </c:strRef>
          </c:cat>
          <c:val>
            <c:numRef>
              <c:f>'Chart data'!$N$157:$N$159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data'!$K$157:$K$159</c:f>
              <c:strCache>
                <c:ptCount val="0"/>
              </c:strCache>
            </c:strRef>
          </c:cat>
          <c:val>
            <c:numRef>
              <c:f>'Chart data'!$O$157:$O$159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M0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data'!$A$163:$A$165</c:f>
              <c:strCache>
                <c:ptCount val="0"/>
              </c:strCache>
            </c:strRef>
          </c:cat>
          <c:val>
            <c:numRef>
              <c:f>'Chart data'!$B$163:$B$165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data'!$A$163:$A$165</c:f>
              <c:strCache>
                <c:ptCount val="0"/>
              </c:strCache>
            </c:strRef>
          </c:cat>
          <c:val>
            <c:numRef>
              <c:f>'Chart data'!$C$163:$C$165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data'!$A$163:$A$165</c:f>
              <c:strCache>
                <c:ptCount val="0"/>
              </c:strCache>
            </c:strRef>
          </c:cat>
          <c:val>
            <c:numRef>
              <c:f>'Chart data'!$D$163:$D$165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data'!$A$163:$A$165</c:f>
              <c:strCache>
                <c:ptCount val="0"/>
              </c:strCache>
            </c:strRef>
          </c:cat>
          <c:val>
            <c:numRef>
              <c:f>'Chart data'!$E$163:$E$165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data'!$A$163:$A$165</c:f>
              <c:strCache>
                <c:ptCount val="0"/>
              </c:strCache>
            </c:strRef>
          </c:cat>
          <c:val>
            <c:numRef>
              <c:f>'Chart data'!$F$163:$F$165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data'!$A$163:$A$165</c:f>
              <c:strCache>
                <c:ptCount val="0"/>
              </c:strCache>
            </c:strRef>
          </c:cat>
          <c:val>
            <c:numRef>
              <c:f>'Chart data'!$G$163:$G$165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data'!$A$163:$A$165</c:f>
              <c:strCache>
                <c:ptCount val="0"/>
              </c:strCache>
            </c:strRef>
          </c:cat>
          <c:val>
            <c:numRef>
              <c:f>'Chart data'!$H$163:$H$165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data'!$A$163:$A$165</c:f>
              <c:strCache>
                <c:ptCount val="0"/>
              </c:strCache>
            </c:strRef>
          </c:cat>
          <c:val>
            <c:numRef>
              <c:f>'Chart data'!$I$163:$I$165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M0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data'!$K$163:$K$165</c:f>
              <c:strCache>
                <c:ptCount val="0"/>
              </c:strCache>
            </c:strRef>
          </c:cat>
          <c:val>
            <c:numRef>
              <c:f>'Chart data'!$L$163:$L$165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data'!$K$163:$K$165</c:f>
              <c:strCache>
                <c:ptCount val="0"/>
              </c:strCache>
            </c:strRef>
          </c:cat>
          <c:val>
            <c:numRef>
              <c:f>'Chart data'!$M$163:$M$165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data'!$K$163:$K$165</c:f>
              <c:strCache>
                <c:ptCount val="0"/>
              </c:strCache>
            </c:strRef>
          </c:cat>
          <c:val>
            <c:numRef>
              <c:f>'Chart data'!$N$163:$N$165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data'!$K$163:$K$165</c:f>
              <c:strCache>
                <c:ptCount val="0"/>
              </c:strCache>
            </c:strRef>
          </c:cat>
          <c:val>
            <c:numRef>
              <c:f>'Chart data'!$O$163:$O$165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M2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data'!$A$169:$A$171</c:f>
              <c:strCache>
                <c:ptCount val="0"/>
              </c:strCache>
            </c:strRef>
          </c:cat>
          <c:val>
            <c:numRef>
              <c:f>'Chart data'!$B$169:$B$171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data'!$A$169:$A$171</c:f>
              <c:strCache>
                <c:ptCount val="0"/>
              </c:strCache>
            </c:strRef>
          </c:cat>
          <c:val>
            <c:numRef>
              <c:f>'Chart data'!$C$169:$C$171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data'!$A$169:$A$171</c:f>
              <c:strCache>
                <c:ptCount val="0"/>
              </c:strCache>
            </c:strRef>
          </c:cat>
          <c:val>
            <c:numRef>
              <c:f>'Chart data'!$D$169:$D$171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data'!$A$169:$A$171</c:f>
              <c:strCache>
                <c:ptCount val="0"/>
              </c:strCache>
            </c:strRef>
          </c:cat>
          <c:val>
            <c:numRef>
              <c:f>'Chart data'!$E$169:$E$171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data'!$A$169:$A$171</c:f>
              <c:strCache>
                <c:ptCount val="0"/>
              </c:strCache>
            </c:strRef>
          </c:cat>
          <c:val>
            <c:numRef>
              <c:f>'Chart data'!$F$169:$F$171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data'!$A$169:$A$171</c:f>
              <c:strCache>
                <c:ptCount val="0"/>
              </c:strCache>
            </c:strRef>
          </c:cat>
          <c:val>
            <c:numRef>
              <c:f>'Chart data'!$G$169:$G$171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data'!$A$169:$A$171</c:f>
              <c:strCache>
                <c:ptCount val="0"/>
              </c:strCache>
            </c:strRef>
          </c:cat>
          <c:val>
            <c:numRef>
              <c:f>'Chart data'!$H$169:$H$171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data'!$A$169:$A$171</c:f>
              <c:strCache>
                <c:ptCount val="0"/>
              </c:strCache>
            </c:strRef>
          </c:cat>
          <c:val>
            <c:numRef>
              <c:f>'Chart data'!$I$169:$I$171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M2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data'!$K$169:$K$171</c:f>
              <c:strCache>
                <c:ptCount val="0"/>
              </c:strCache>
            </c:strRef>
          </c:cat>
          <c:val>
            <c:numRef>
              <c:f>'Chart data'!$L$169:$L$171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data'!$K$169:$K$171</c:f>
              <c:strCache>
                <c:ptCount val="0"/>
              </c:strCache>
            </c:strRef>
          </c:cat>
          <c:val>
            <c:numRef>
              <c:f>'Chart data'!$M$169:$M$171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data'!$K$169:$K$171</c:f>
              <c:strCache>
                <c:ptCount val="0"/>
              </c:strCache>
            </c:strRef>
          </c:cat>
          <c:val>
            <c:numRef>
              <c:f>'Chart data'!$N$169:$N$171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data'!$K$169:$K$171</c:f>
              <c:strCache>
                <c:ptCount val="0"/>
              </c:strCache>
            </c:strRef>
          </c:cat>
          <c:val>
            <c:numRef>
              <c:f>'Chart data'!$O$169:$O$171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M0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data'!$A$175:$A$177</c:f>
              <c:strCache>
                <c:ptCount val="0"/>
              </c:strCache>
            </c:strRef>
          </c:cat>
          <c:val>
            <c:numRef>
              <c:f>'Chart data'!$B$175:$B$177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data'!$A$175:$A$177</c:f>
              <c:strCache>
                <c:ptCount val="0"/>
              </c:strCache>
            </c:strRef>
          </c:cat>
          <c:val>
            <c:numRef>
              <c:f>'Chart data'!$C$175:$C$177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data'!$A$175:$A$177</c:f>
              <c:strCache>
                <c:ptCount val="0"/>
              </c:strCache>
            </c:strRef>
          </c:cat>
          <c:val>
            <c:numRef>
              <c:f>'Chart data'!$D$175:$D$177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data'!$A$175:$A$177</c:f>
              <c:strCache>
                <c:ptCount val="0"/>
              </c:strCache>
            </c:strRef>
          </c:cat>
          <c:val>
            <c:numRef>
              <c:f>'Chart data'!$E$175:$E$177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data'!$A$175:$A$177</c:f>
              <c:strCache>
                <c:ptCount val="0"/>
              </c:strCache>
            </c:strRef>
          </c:cat>
          <c:val>
            <c:numRef>
              <c:f>'Chart data'!$F$175:$F$177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data'!$A$175:$A$177</c:f>
              <c:strCache>
                <c:ptCount val="0"/>
              </c:strCache>
            </c:strRef>
          </c:cat>
          <c:val>
            <c:numRef>
              <c:f>'Chart data'!$G$175:$G$177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data'!$A$175:$A$177</c:f>
              <c:strCache>
                <c:ptCount val="0"/>
              </c:strCache>
            </c:strRef>
          </c:cat>
          <c:val>
            <c:numRef>
              <c:f>'Chart data'!$H$175:$H$177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data'!$A$175:$A$177</c:f>
              <c:strCache>
                <c:ptCount val="0"/>
              </c:strCache>
            </c:strRef>
          </c:cat>
          <c:val>
            <c:numRef>
              <c:f>'Chart data'!$I$175:$I$177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M0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data'!$K$175:$K$177</c:f>
              <c:strCache>
                <c:ptCount val="0"/>
              </c:strCache>
            </c:strRef>
          </c:cat>
          <c:val>
            <c:numRef>
              <c:f>'Chart data'!$L$175:$L$177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data'!$K$175:$K$177</c:f>
              <c:strCache>
                <c:ptCount val="0"/>
              </c:strCache>
            </c:strRef>
          </c:cat>
          <c:val>
            <c:numRef>
              <c:f>'Chart data'!$M$175:$M$177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data'!$K$175:$K$177</c:f>
              <c:strCache>
                <c:ptCount val="0"/>
              </c:strCache>
            </c:strRef>
          </c:cat>
          <c:val>
            <c:numRef>
              <c:f>'Chart data'!$N$175:$N$177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data'!$K$175:$K$177</c:f>
              <c:strCache>
                <c:ptCount val="0"/>
              </c:strCache>
            </c:strRef>
          </c:cat>
          <c:val>
            <c:numRef>
              <c:f>'Chart data'!$O$175:$O$177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M2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data'!$A$181:$A$183</c:f>
              <c:strCache>
                <c:ptCount val="0"/>
              </c:strCache>
            </c:strRef>
          </c:cat>
          <c:val>
            <c:numRef>
              <c:f>'Chart data'!$B$181:$B$183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data'!$A$181:$A$183</c:f>
              <c:strCache>
                <c:ptCount val="0"/>
              </c:strCache>
            </c:strRef>
          </c:cat>
          <c:val>
            <c:numRef>
              <c:f>'Chart data'!$C$181:$C$183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data'!$A$181:$A$183</c:f>
              <c:strCache>
                <c:ptCount val="0"/>
              </c:strCache>
            </c:strRef>
          </c:cat>
          <c:val>
            <c:numRef>
              <c:f>'Chart data'!$D$181:$D$183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data'!$A$181:$A$183</c:f>
              <c:strCache>
                <c:ptCount val="0"/>
              </c:strCache>
            </c:strRef>
          </c:cat>
          <c:val>
            <c:numRef>
              <c:f>'Chart data'!$E$181:$E$183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data'!$A$181:$A$183</c:f>
              <c:strCache>
                <c:ptCount val="0"/>
              </c:strCache>
            </c:strRef>
          </c:cat>
          <c:val>
            <c:numRef>
              <c:f>'Chart data'!$F$181:$F$183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data'!$A$181:$A$183</c:f>
              <c:strCache>
                <c:ptCount val="0"/>
              </c:strCache>
            </c:strRef>
          </c:cat>
          <c:val>
            <c:numRef>
              <c:f>'Chart data'!$G$181:$G$183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data'!$A$181:$A$183</c:f>
              <c:strCache>
                <c:ptCount val="0"/>
              </c:strCache>
            </c:strRef>
          </c:cat>
          <c:val>
            <c:numRef>
              <c:f>'Chart data'!$H$181:$H$183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data'!$A$181:$A$183</c:f>
              <c:strCache>
                <c:ptCount val="0"/>
              </c:strCache>
            </c:strRef>
          </c:cat>
          <c:val>
            <c:numRef>
              <c:f>'Chart data'!$I$181:$I$183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M2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data'!$K$181:$K$183</c:f>
              <c:strCache>
                <c:ptCount val="0"/>
              </c:strCache>
            </c:strRef>
          </c:cat>
          <c:val>
            <c:numRef>
              <c:f>'Chart data'!$L$181:$L$183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data'!$K$181:$K$183</c:f>
              <c:strCache>
                <c:ptCount val="0"/>
              </c:strCache>
            </c:strRef>
          </c:cat>
          <c:val>
            <c:numRef>
              <c:f>'Chart data'!$M$181:$M$183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data'!$K$181:$K$183</c:f>
              <c:strCache>
                <c:ptCount val="0"/>
              </c:strCache>
            </c:strRef>
          </c:cat>
          <c:val>
            <c:numRef>
              <c:f>'Chart data'!$N$181:$N$183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data'!$K$181:$K$183</c:f>
              <c:strCache>
                <c:ptCount val="0"/>
              </c:strCache>
            </c:strRef>
          </c:cat>
          <c:val>
            <c:numRef>
              <c:f>'Chart data'!$O$181:$O$183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M1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data'!$A$42:$A$44</c:f>
              <c:strCache>
                <c:ptCount val="0"/>
              </c:strCache>
            </c:strRef>
          </c:cat>
          <c:val>
            <c:numRef>
              <c:f>'Chart data'!$B$42:$B$44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data'!$A$42:$A$44</c:f>
              <c:strCache>
                <c:ptCount val="0"/>
              </c:strCache>
            </c:strRef>
          </c:cat>
          <c:val>
            <c:numRef>
              <c:f>'Chart data'!$C$42:$C$44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data'!$A$42:$A$44</c:f>
              <c:strCache>
                <c:ptCount val="0"/>
              </c:strCache>
            </c:strRef>
          </c:cat>
          <c:val>
            <c:numRef>
              <c:f>'Chart data'!$D$42:$D$44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data'!$A$42:$A$44</c:f>
              <c:strCache>
                <c:ptCount val="0"/>
              </c:strCache>
            </c:strRef>
          </c:cat>
          <c:val>
            <c:numRef>
              <c:f>'Chart data'!$E$42:$E$44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data'!$A$42:$A$44</c:f>
              <c:strCache>
                <c:ptCount val="0"/>
              </c:strCache>
            </c:strRef>
          </c:cat>
          <c:val>
            <c:numRef>
              <c:f>'Chart data'!$F$42:$F$44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data'!$A$42:$A$44</c:f>
              <c:strCache>
                <c:ptCount val="0"/>
              </c:strCache>
            </c:strRef>
          </c:cat>
          <c:val>
            <c:numRef>
              <c:f>'Chart data'!$G$42:$G$44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data'!$A$42:$A$44</c:f>
              <c:strCache>
                <c:ptCount val="0"/>
              </c:strCache>
            </c:strRef>
          </c:cat>
          <c:val>
            <c:numRef>
              <c:f>'Chart data'!$H$42:$H$44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data'!$A$42:$A$44</c:f>
              <c:strCache>
                <c:ptCount val="0"/>
              </c:strCache>
            </c:strRef>
          </c:cat>
          <c:val>
            <c:numRef>
              <c:f>'Chart data'!$I$42:$I$44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M1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data'!$K$42:$K$44</c:f>
              <c:strCache>
                <c:ptCount val="0"/>
              </c:strCache>
            </c:strRef>
          </c:cat>
          <c:val>
            <c:numRef>
              <c:f>'Chart data'!$L$42:$L$44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data'!$K$42:$K$44</c:f>
              <c:strCache>
                <c:ptCount val="0"/>
              </c:strCache>
            </c:strRef>
          </c:cat>
          <c:val>
            <c:numRef>
              <c:f>'Chart data'!$M$42:$M$44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data'!$K$42:$K$44</c:f>
              <c:strCache>
                <c:ptCount val="0"/>
              </c:strCache>
            </c:strRef>
          </c:cat>
          <c:val>
            <c:numRef>
              <c:f>'Chart data'!$N$42:$N$44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data'!$K$42:$K$44</c:f>
              <c:strCache>
                <c:ptCount val="0"/>
              </c:strCache>
            </c:strRef>
          </c:cat>
          <c:val>
            <c:numRef>
              <c:f>'Chart data'!$O$42:$O$44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M3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data'!$A$48:$A$50</c:f>
              <c:strCache>
                <c:ptCount val="0"/>
              </c:strCache>
            </c:strRef>
          </c:cat>
          <c:val>
            <c:numRef>
              <c:f>'Chart data'!$B$48:$B$50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data'!$A$48:$A$50</c:f>
              <c:strCache>
                <c:ptCount val="0"/>
              </c:strCache>
            </c:strRef>
          </c:cat>
          <c:val>
            <c:numRef>
              <c:f>'Chart data'!$C$48:$C$50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data'!$A$48:$A$50</c:f>
              <c:strCache>
                <c:ptCount val="0"/>
              </c:strCache>
            </c:strRef>
          </c:cat>
          <c:val>
            <c:numRef>
              <c:f>'Chart data'!$D$48:$D$50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data'!$A$48:$A$50</c:f>
              <c:strCache>
                <c:ptCount val="0"/>
              </c:strCache>
            </c:strRef>
          </c:cat>
          <c:val>
            <c:numRef>
              <c:f>'Chart data'!$E$48:$E$50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data'!$A$48:$A$50</c:f>
              <c:strCache>
                <c:ptCount val="0"/>
              </c:strCache>
            </c:strRef>
          </c:cat>
          <c:val>
            <c:numRef>
              <c:f>'Chart data'!$F$48:$F$50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data'!$A$48:$A$50</c:f>
              <c:strCache>
                <c:ptCount val="0"/>
              </c:strCache>
            </c:strRef>
          </c:cat>
          <c:val>
            <c:numRef>
              <c:f>'Chart data'!$G$48:$G$50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data'!$A$48:$A$50</c:f>
              <c:strCache>
                <c:ptCount val="0"/>
              </c:strCache>
            </c:strRef>
          </c:cat>
          <c:val>
            <c:numRef>
              <c:f>'Chart data'!$H$48:$H$50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data'!$A$48:$A$50</c:f>
              <c:strCache>
                <c:ptCount val="0"/>
              </c:strCache>
            </c:strRef>
          </c:cat>
          <c:val>
            <c:numRef>
              <c:f>'Chart data'!$I$48:$I$50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M3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data'!$K$48:$K$50</c:f>
              <c:strCache>
                <c:ptCount val="0"/>
              </c:strCache>
            </c:strRef>
          </c:cat>
          <c:val>
            <c:numRef>
              <c:f>'Chart data'!$L$48:$L$50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data'!$K$48:$K$50</c:f>
              <c:strCache>
                <c:ptCount val="0"/>
              </c:strCache>
            </c:strRef>
          </c:cat>
          <c:val>
            <c:numRef>
              <c:f>'Chart data'!$M$48:$M$50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data'!$K$48:$K$50</c:f>
              <c:strCache>
                <c:ptCount val="0"/>
              </c:strCache>
            </c:strRef>
          </c:cat>
          <c:val>
            <c:numRef>
              <c:f>'Chart data'!$N$48:$N$50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data'!$K$48:$K$50</c:f>
              <c:strCache>
                <c:ptCount val="0"/>
              </c:strCache>
            </c:strRef>
          </c:cat>
          <c:val>
            <c:numRef>
              <c:f>'Chart data'!$O$48:$O$50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M1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data'!$A$54:$A$56</c:f>
              <c:strCache>
                <c:ptCount val="0"/>
              </c:strCache>
            </c:strRef>
          </c:cat>
          <c:val>
            <c:numRef>
              <c:f>'Chart data'!$B$54:$B$56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data'!$A$54:$A$56</c:f>
              <c:strCache>
                <c:ptCount val="0"/>
              </c:strCache>
            </c:strRef>
          </c:cat>
          <c:val>
            <c:numRef>
              <c:f>'Chart data'!$C$54:$C$56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data'!$A$54:$A$56</c:f>
              <c:strCache>
                <c:ptCount val="0"/>
              </c:strCache>
            </c:strRef>
          </c:cat>
          <c:val>
            <c:numRef>
              <c:f>'Chart data'!$D$54:$D$56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data'!$A$54:$A$56</c:f>
              <c:strCache>
                <c:ptCount val="0"/>
              </c:strCache>
            </c:strRef>
          </c:cat>
          <c:val>
            <c:numRef>
              <c:f>'Chart data'!$E$54:$E$56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data'!$A$54:$A$56</c:f>
              <c:strCache>
                <c:ptCount val="0"/>
              </c:strCache>
            </c:strRef>
          </c:cat>
          <c:val>
            <c:numRef>
              <c:f>'Chart data'!$F$54:$F$56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data'!$A$54:$A$56</c:f>
              <c:strCache>
                <c:ptCount val="0"/>
              </c:strCache>
            </c:strRef>
          </c:cat>
          <c:val>
            <c:numRef>
              <c:f>'Chart data'!$G$54:$G$56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data'!$A$54:$A$56</c:f>
              <c:strCache>
                <c:ptCount val="0"/>
              </c:strCache>
            </c:strRef>
          </c:cat>
          <c:val>
            <c:numRef>
              <c:f>'Chart data'!$H$54:$H$56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data'!$A$54:$A$56</c:f>
              <c:strCache>
                <c:ptCount val="0"/>
              </c:strCache>
            </c:strRef>
          </c:cat>
          <c:val>
            <c:numRef>
              <c:f>'Chart data'!$I$54:$I$56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M1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data'!$K$54:$K$56</c:f>
              <c:strCache>
                <c:ptCount val="0"/>
              </c:strCache>
            </c:strRef>
          </c:cat>
          <c:val>
            <c:numRef>
              <c:f>'Chart data'!$L$54:$L$56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data'!$K$54:$K$56</c:f>
              <c:strCache>
                <c:ptCount val="0"/>
              </c:strCache>
            </c:strRef>
          </c:cat>
          <c:val>
            <c:numRef>
              <c:f>'Chart data'!$M$54:$M$56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data'!$K$54:$K$56</c:f>
              <c:strCache>
                <c:ptCount val="0"/>
              </c:strCache>
            </c:strRef>
          </c:cat>
          <c:val>
            <c:numRef>
              <c:f>'Chart data'!$N$54:$N$56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data'!$K$54:$K$56</c:f>
              <c:strCache>
                <c:ptCount val="0"/>
              </c:strCache>
            </c:strRef>
          </c:cat>
          <c:val>
            <c:numRef>
              <c:f>'Chart data'!$O$54:$O$56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M3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data'!$A$60:$A$62</c:f>
              <c:strCache>
                <c:ptCount val="0"/>
              </c:strCache>
            </c:strRef>
          </c:cat>
          <c:val>
            <c:numRef>
              <c:f>'Chart data'!$B$60:$B$62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data'!$A$60:$A$62</c:f>
              <c:strCache>
                <c:ptCount val="0"/>
              </c:strCache>
            </c:strRef>
          </c:cat>
          <c:val>
            <c:numRef>
              <c:f>'Chart data'!$C$60:$C$62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data'!$A$60:$A$62</c:f>
              <c:strCache>
                <c:ptCount val="0"/>
              </c:strCache>
            </c:strRef>
          </c:cat>
          <c:val>
            <c:numRef>
              <c:f>'Chart data'!$D$60:$D$62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data'!$A$60:$A$62</c:f>
              <c:strCache>
                <c:ptCount val="0"/>
              </c:strCache>
            </c:strRef>
          </c:cat>
          <c:val>
            <c:numRef>
              <c:f>'Chart data'!$E$60:$E$62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data'!$A$60:$A$62</c:f>
              <c:strCache>
                <c:ptCount val="0"/>
              </c:strCache>
            </c:strRef>
          </c:cat>
          <c:val>
            <c:numRef>
              <c:f>'Chart data'!$F$60:$F$62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data'!$A$60:$A$62</c:f>
              <c:strCache>
                <c:ptCount val="0"/>
              </c:strCache>
            </c:strRef>
          </c:cat>
          <c:val>
            <c:numRef>
              <c:f>'Chart data'!$G$60:$G$62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data'!$A$60:$A$62</c:f>
              <c:strCache>
                <c:ptCount val="0"/>
              </c:strCache>
            </c:strRef>
          </c:cat>
          <c:val>
            <c:numRef>
              <c:f>'Chart data'!$H$60:$H$62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data'!$A$60:$A$62</c:f>
              <c:strCache>
                <c:ptCount val="0"/>
              </c:strCache>
            </c:strRef>
          </c:cat>
          <c:val>
            <c:numRef>
              <c:f>'Chart data'!$I$60:$I$62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M3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data'!$K$60:$K$62</c:f>
              <c:strCache>
                <c:ptCount val="0"/>
              </c:strCache>
            </c:strRef>
          </c:cat>
          <c:val>
            <c:numRef>
              <c:f>'Chart data'!$L$60:$L$62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data'!$K$60:$K$62</c:f>
              <c:strCache>
                <c:ptCount val="0"/>
              </c:strCache>
            </c:strRef>
          </c:cat>
          <c:val>
            <c:numRef>
              <c:f>'Chart data'!$M$60:$M$62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data'!$K$60:$K$62</c:f>
              <c:strCache>
                <c:ptCount val="0"/>
              </c:strCache>
            </c:strRef>
          </c:cat>
          <c:val>
            <c:numRef>
              <c:f>'Chart data'!$N$60:$N$62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data'!$K$60:$K$62</c:f>
              <c:strCache>
                <c:ptCount val="0"/>
              </c:strCache>
            </c:strRef>
          </c:cat>
          <c:val>
            <c:numRef>
              <c:f>'Chart data'!$O$60:$O$62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M1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data'!$A$66:$A$68</c:f>
              <c:strCache>
                <c:ptCount val="0"/>
              </c:strCache>
            </c:strRef>
          </c:cat>
          <c:val>
            <c:numRef>
              <c:f>'Chart data'!$B$66:$B$68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data'!$A$66:$A$68</c:f>
              <c:strCache>
                <c:ptCount val="0"/>
              </c:strCache>
            </c:strRef>
          </c:cat>
          <c:val>
            <c:numRef>
              <c:f>'Chart data'!$C$66:$C$68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data'!$A$66:$A$68</c:f>
              <c:strCache>
                <c:ptCount val="0"/>
              </c:strCache>
            </c:strRef>
          </c:cat>
          <c:val>
            <c:numRef>
              <c:f>'Chart data'!$D$66:$D$68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data'!$A$66:$A$68</c:f>
              <c:strCache>
                <c:ptCount val="0"/>
              </c:strCache>
            </c:strRef>
          </c:cat>
          <c:val>
            <c:numRef>
              <c:f>'Chart data'!$E$66:$E$68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data'!$A$66:$A$68</c:f>
              <c:strCache>
                <c:ptCount val="0"/>
              </c:strCache>
            </c:strRef>
          </c:cat>
          <c:val>
            <c:numRef>
              <c:f>'Chart data'!$F$66:$F$68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data'!$A$66:$A$68</c:f>
              <c:strCache>
                <c:ptCount val="0"/>
              </c:strCache>
            </c:strRef>
          </c:cat>
          <c:val>
            <c:numRef>
              <c:f>'Chart data'!$G$66:$G$68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data'!$A$66:$A$68</c:f>
              <c:strCache>
                <c:ptCount val="0"/>
              </c:strCache>
            </c:strRef>
          </c:cat>
          <c:val>
            <c:numRef>
              <c:f>'Chart data'!$H$66:$H$68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data'!$A$66:$A$68</c:f>
              <c:strCache>
                <c:ptCount val="0"/>
              </c:strCache>
            </c:strRef>
          </c:cat>
          <c:val>
            <c:numRef>
              <c:f>'Chart data'!$I$66:$I$68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M1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data'!$K$66:$K$68</c:f>
              <c:strCache>
                <c:ptCount val="0"/>
              </c:strCache>
            </c:strRef>
          </c:cat>
          <c:val>
            <c:numRef>
              <c:f>'Chart data'!$L$66:$L$68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data'!$K$66:$K$68</c:f>
              <c:strCache>
                <c:ptCount val="0"/>
              </c:strCache>
            </c:strRef>
          </c:cat>
          <c:val>
            <c:numRef>
              <c:f>'Chart data'!$M$66:$M$68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data'!$K$66:$K$68</c:f>
              <c:strCache>
                <c:ptCount val="0"/>
              </c:strCache>
            </c:strRef>
          </c:cat>
          <c:val>
            <c:numRef>
              <c:f>'Chart data'!$N$66:$N$68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data'!$K$66:$K$68</c:f>
              <c:strCache>
                <c:ptCount val="0"/>
              </c:strCache>
            </c:strRef>
          </c:cat>
          <c:val>
            <c:numRef>
              <c:f>'Chart data'!$O$66:$O$68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M3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data'!$A$72:$A$74</c:f>
              <c:strCache>
                <c:ptCount val="0"/>
              </c:strCache>
            </c:strRef>
          </c:cat>
          <c:val>
            <c:numRef>
              <c:f>'Chart data'!$B$72:$B$74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data'!$A$72:$A$74</c:f>
              <c:strCache>
                <c:ptCount val="0"/>
              </c:strCache>
            </c:strRef>
          </c:cat>
          <c:val>
            <c:numRef>
              <c:f>'Chart data'!$C$72:$C$74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data'!$A$72:$A$74</c:f>
              <c:strCache>
                <c:ptCount val="0"/>
              </c:strCache>
            </c:strRef>
          </c:cat>
          <c:val>
            <c:numRef>
              <c:f>'Chart data'!$D$72:$D$74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data'!$A$72:$A$74</c:f>
              <c:strCache>
                <c:ptCount val="0"/>
              </c:strCache>
            </c:strRef>
          </c:cat>
          <c:val>
            <c:numRef>
              <c:f>'Chart data'!$E$72:$E$74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data'!$A$72:$A$74</c:f>
              <c:strCache>
                <c:ptCount val="0"/>
              </c:strCache>
            </c:strRef>
          </c:cat>
          <c:val>
            <c:numRef>
              <c:f>'Chart data'!$F$72:$F$74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data'!$A$72:$A$74</c:f>
              <c:strCache>
                <c:ptCount val="0"/>
              </c:strCache>
            </c:strRef>
          </c:cat>
          <c:val>
            <c:numRef>
              <c:f>'Chart data'!$G$72:$G$74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data'!$A$72:$A$74</c:f>
              <c:strCache>
                <c:ptCount val="0"/>
              </c:strCache>
            </c:strRef>
          </c:cat>
          <c:val>
            <c:numRef>
              <c:f>'Chart data'!$H$72:$H$74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data'!$A$72:$A$74</c:f>
              <c:strCache>
                <c:ptCount val="0"/>
              </c:strCache>
            </c:strRef>
          </c:cat>
          <c:val>
            <c:numRef>
              <c:f>'Chart data'!$I$72:$I$74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M3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data'!$K$72:$K$74</c:f>
              <c:strCache>
                <c:ptCount val="0"/>
              </c:strCache>
            </c:strRef>
          </c:cat>
          <c:val>
            <c:numRef>
              <c:f>'Chart data'!$L$72:$L$74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data'!$K$72:$K$74</c:f>
              <c:strCache>
                <c:ptCount val="0"/>
              </c:strCache>
            </c:strRef>
          </c:cat>
          <c:val>
            <c:numRef>
              <c:f>'Chart data'!$M$72:$M$74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data'!$K$72:$K$74</c:f>
              <c:strCache>
                <c:ptCount val="0"/>
              </c:strCache>
            </c:strRef>
          </c:cat>
          <c:val>
            <c:numRef>
              <c:f>'Chart data'!$N$72:$N$74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data'!$K$72:$K$74</c:f>
              <c:strCache>
                <c:ptCount val="0"/>
              </c:strCache>
            </c:strRef>
          </c:cat>
          <c:val>
            <c:numRef>
              <c:f>'Chart data'!$O$72:$O$74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M0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data'!$A$188:$A$190</c:f>
              <c:strCache>
                <c:ptCount val="0"/>
              </c:strCache>
            </c:strRef>
          </c:cat>
          <c:val>
            <c:numRef>
              <c:f>'Chart data'!$B$188:$B$190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data'!$A$188:$A$190</c:f>
              <c:strCache>
                <c:ptCount val="0"/>
              </c:strCache>
            </c:strRef>
          </c:cat>
          <c:val>
            <c:numRef>
              <c:f>'Chart data'!$C$188:$C$190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data'!$A$188:$A$190</c:f>
              <c:strCache>
                <c:ptCount val="0"/>
              </c:strCache>
            </c:strRef>
          </c:cat>
          <c:val>
            <c:numRef>
              <c:f>'Chart data'!$D$188:$D$190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data'!$A$188:$A$190</c:f>
              <c:strCache>
                <c:ptCount val="0"/>
              </c:strCache>
            </c:strRef>
          </c:cat>
          <c:val>
            <c:numRef>
              <c:f>'Chart data'!$E$188:$E$190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data'!$A$188:$A$190</c:f>
              <c:strCache>
                <c:ptCount val="0"/>
              </c:strCache>
            </c:strRef>
          </c:cat>
          <c:val>
            <c:numRef>
              <c:f>'Chart data'!$F$188:$F$190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data'!$A$188:$A$190</c:f>
              <c:strCache>
                <c:ptCount val="0"/>
              </c:strCache>
            </c:strRef>
          </c:cat>
          <c:val>
            <c:numRef>
              <c:f>'Chart data'!$G$188:$G$190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data'!$A$188:$A$190</c:f>
              <c:strCache>
                <c:ptCount val="0"/>
              </c:strCache>
            </c:strRef>
          </c:cat>
          <c:val>
            <c:numRef>
              <c:f>'Chart data'!$H$188:$H$190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data'!$A$188:$A$190</c:f>
              <c:strCache>
                <c:ptCount val="0"/>
              </c:strCache>
            </c:strRef>
          </c:cat>
          <c:val>
            <c:numRef>
              <c:f>'Chart data'!$I$188:$I$190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M0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data'!$K$188:$K$190</c:f>
              <c:strCache>
                <c:ptCount val="0"/>
              </c:strCache>
            </c:strRef>
          </c:cat>
          <c:val>
            <c:numRef>
              <c:f>'Chart data'!$L$188:$L$190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data'!$K$188:$K$190</c:f>
              <c:strCache>
                <c:ptCount val="0"/>
              </c:strCache>
            </c:strRef>
          </c:cat>
          <c:val>
            <c:numRef>
              <c:f>'Chart data'!$M$188:$M$190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data'!$K$188:$K$190</c:f>
              <c:strCache>
                <c:ptCount val="0"/>
              </c:strCache>
            </c:strRef>
          </c:cat>
          <c:val>
            <c:numRef>
              <c:f>'Chart data'!$N$188:$N$190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data'!$K$188:$K$190</c:f>
              <c:strCache>
                <c:ptCount val="0"/>
              </c:strCache>
            </c:strRef>
          </c:cat>
          <c:val>
            <c:numRef>
              <c:f>'Chart data'!$O$188:$O$190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M2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data'!$A$194:$A$196</c:f>
              <c:strCache>
                <c:ptCount val="0"/>
              </c:strCache>
            </c:strRef>
          </c:cat>
          <c:val>
            <c:numRef>
              <c:f>'Chart data'!$B$194:$B$196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data'!$A$194:$A$196</c:f>
              <c:strCache>
                <c:ptCount val="0"/>
              </c:strCache>
            </c:strRef>
          </c:cat>
          <c:val>
            <c:numRef>
              <c:f>'Chart data'!$C$194:$C$196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data'!$A$194:$A$196</c:f>
              <c:strCache>
                <c:ptCount val="0"/>
              </c:strCache>
            </c:strRef>
          </c:cat>
          <c:val>
            <c:numRef>
              <c:f>'Chart data'!$D$194:$D$196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data'!$A$194:$A$196</c:f>
              <c:strCache>
                <c:ptCount val="0"/>
              </c:strCache>
            </c:strRef>
          </c:cat>
          <c:val>
            <c:numRef>
              <c:f>'Chart data'!$E$194:$E$196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data'!$A$194:$A$196</c:f>
              <c:strCache>
                <c:ptCount val="0"/>
              </c:strCache>
            </c:strRef>
          </c:cat>
          <c:val>
            <c:numRef>
              <c:f>'Chart data'!$F$194:$F$196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data'!$A$194:$A$196</c:f>
              <c:strCache>
                <c:ptCount val="0"/>
              </c:strCache>
            </c:strRef>
          </c:cat>
          <c:val>
            <c:numRef>
              <c:f>'Chart data'!$G$194:$G$196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data'!$A$194:$A$196</c:f>
              <c:strCache>
                <c:ptCount val="0"/>
              </c:strCache>
            </c:strRef>
          </c:cat>
          <c:val>
            <c:numRef>
              <c:f>'Chart data'!$H$194:$H$196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data'!$A$194:$A$196</c:f>
              <c:strCache>
                <c:ptCount val="0"/>
              </c:strCache>
            </c:strRef>
          </c:cat>
          <c:val>
            <c:numRef>
              <c:f>'Chart data'!$I$194:$I$196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log10 ML error — Assumed M2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data'!$K$194:$K$196</c:f>
              <c:strCache>
                <c:ptCount val="0"/>
              </c:strCache>
            </c:strRef>
          </c:cat>
          <c:val>
            <c:numRef>
              <c:f>'Chart data'!$L$194:$L$196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data'!$K$194:$K$196</c:f>
              <c:strCache>
                <c:ptCount val="0"/>
              </c:strCache>
            </c:strRef>
          </c:cat>
          <c:val>
            <c:numRef>
              <c:f>'Chart data'!$M$194:$M$196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data'!$K$194:$K$196</c:f>
              <c:strCache>
                <c:ptCount val="0"/>
              </c:strCache>
            </c:strRef>
          </c:cat>
          <c:val>
            <c:numRef>
              <c:f>'Chart data'!$N$194:$N$196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data'!$K$194:$K$196</c:f>
              <c:strCache>
                <c:ptCount val="0"/>
              </c:strCache>
            </c:strRef>
          </c:cat>
          <c:val>
            <c:numRef>
              <c:f>'Chart data'!$O$194:$O$196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M0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data'!$A$200:$A$202</c:f>
              <c:strCache>
                <c:ptCount val="0"/>
              </c:strCache>
            </c:strRef>
          </c:cat>
          <c:val>
            <c:numRef>
              <c:f>'Chart data'!$B$200:$B$202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data'!$A$200:$A$202</c:f>
              <c:strCache>
                <c:ptCount val="0"/>
              </c:strCache>
            </c:strRef>
          </c:cat>
          <c:val>
            <c:numRef>
              <c:f>'Chart data'!$C$200:$C$202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data'!$A$200:$A$202</c:f>
              <c:strCache>
                <c:ptCount val="0"/>
              </c:strCache>
            </c:strRef>
          </c:cat>
          <c:val>
            <c:numRef>
              <c:f>'Chart data'!$D$200:$D$202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data'!$A$200:$A$202</c:f>
              <c:strCache>
                <c:ptCount val="0"/>
              </c:strCache>
            </c:strRef>
          </c:cat>
          <c:val>
            <c:numRef>
              <c:f>'Chart data'!$E$200:$E$202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data'!$A$200:$A$202</c:f>
              <c:strCache>
                <c:ptCount val="0"/>
              </c:strCache>
            </c:strRef>
          </c:cat>
          <c:val>
            <c:numRef>
              <c:f>'Chart data'!$F$200:$F$202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data'!$A$200:$A$202</c:f>
              <c:strCache>
                <c:ptCount val="0"/>
              </c:strCache>
            </c:strRef>
          </c:cat>
          <c:val>
            <c:numRef>
              <c:f>'Chart data'!$G$200:$G$202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data'!$A$200:$A$202</c:f>
              <c:strCache>
                <c:ptCount val="0"/>
              </c:strCache>
            </c:strRef>
          </c:cat>
          <c:val>
            <c:numRef>
              <c:f>'Chart data'!$H$200:$H$202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data'!$A$200:$A$202</c:f>
              <c:strCache>
                <c:ptCount val="0"/>
              </c:strCache>
            </c:strRef>
          </c:cat>
          <c:val>
            <c:numRef>
              <c:f>'Chart data'!$I$200:$I$202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M0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data'!$K$200:$K$202</c:f>
              <c:strCache>
                <c:ptCount val="0"/>
              </c:strCache>
            </c:strRef>
          </c:cat>
          <c:val>
            <c:numRef>
              <c:f>'Chart data'!$L$200:$L$202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data'!$K$200:$K$202</c:f>
              <c:strCache>
                <c:ptCount val="0"/>
              </c:strCache>
            </c:strRef>
          </c:cat>
          <c:val>
            <c:numRef>
              <c:f>'Chart data'!$M$200:$M$202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data'!$K$200:$K$202</c:f>
              <c:strCache>
                <c:ptCount val="0"/>
              </c:strCache>
            </c:strRef>
          </c:cat>
          <c:val>
            <c:numRef>
              <c:f>'Chart data'!$N$200:$N$202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data'!$K$200:$K$202</c:f>
              <c:strCache>
                <c:ptCount val="0"/>
              </c:strCache>
            </c:strRef>
          </c:cat>
          <c:val>
            <c:numRef>
              <c:f>'Chart data'!$O$200:$O$202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M2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data'!$A$206:$A$208</c:f>
              <c:strCache>
                <c:ptCount val="0"/>
              </c:strCache>
            </c:strRef>
          </c:cat>
          <c:val>
            <c:numRef>
              <c:f>'Chart data'!$B$206:$B$208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data'!$A$206:$A$208</c:f>
              <c:strCache>
                <c:ptCount val="0"/>
              </c:strCache>
            </c:strRef>
          </c:cat>
          <c:val>
            <c:numRef>
              <c:f>'Chart data'!$C$206:$C$208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data'!$A$206:$A$208</c:f>
              <c:strCache>
                <c:ptCount val="0"/>
              </c:strCache>
            </c:strRef>
          </c:cat>
          <c:val>
            <c:numRef>
              <c:f>'Chart data'!$D$206:$D$208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data'!$A$206:$A$208</c:f>
              <c:strCache>
                <c:ptCount val="0"/>
              </c:strCache>
            </c:strRef>
          </c:cat>
          <c:val>
            <c:numRef>
              <c:f>'Chart data'!$E$206:$E$208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data'!$A$206:$A$208</c:f>
              <c:strCache>
                <c:ptCount val="0"/>
              </c:strCache>
            </c:strRef>
          </c:cat>
          <c:val>
            <c:numRef>
              <c:f>'Chart data'!$F$206:$F$208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data'!$A$206:$A$208</c:f>
              <c:strCache>
                <c:ptCount val="0"/>
              </c:strCache>
            </c:strRef>
          </c:cat>
          <c:val>
            <c:numRef>
              <c:f>'Chart data'!$G$206:$G$208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data'!$A$206:$A$208</c:f>
              <c:strCache>
                <c:ptCount val="0"/>
              </c:strCache>
            </c:strRef>
          </c:cat>
          <c:val>
            <c:numRef>
              <c:f>'Chart data'!$H$206:$H$208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data'!$A$206:$A$208</c:f>
              <c:strCache>
                <c:ptCount val="0"/>
              </c:strCache>
            </c:strRef>
          </c:cat>
          <c:val>
            <c:numRef>
              <c:f>'Chart data'!$I$206:$I$208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M2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data'!$K$206:$K$208</c:f>
              <c:strCache>
                <c:ptCount val="0"/>
              </c:strCache>
            </c:strRef>
          </c:cat>
          <c:val>
            <c:numRef>
              <c:f>'Chart data'!$L$206:$L$208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data'!$K$206:$K$208</c:f>
              <c:strCache>
                <c:ptCount val="0"/>
              </c:strCache>
            </c:strRef>
          </c:cat>
          <c:val>
            <c:numRef>
              <c:f>'Chart data'!$M$206:$M$208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data'!$K$206:$K$208</c:f>
              <c:strCache>
                <c:ptCount val="0"/>
              </c:strCache>
            </c:strRef>
          </c:cat>
          <c:val>
            <c:numRef>
              <c:f>'Chart data'!$N$206:$N$208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data'!$K$206:$K$208</c:f>
              <c:strCache>
                <c:ptCount val="0"/>
              </c:strCache>
            </c:strRef>
          </c:cat>
          <c:val>
            <c:numRef>
              <c:f>'Chart data'!$O$206:$O$208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M0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data'!$A$212:$A$214</c:f>
              <c:strCache>
                <c:ptCount val="0"/>
              </c:strCache>
            </c:strRef>
          </c:cat>
          <c:val>
            <c:numRef>
              <c:f>'Chart data'!$B$212:$B$214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data'!$A$212:$A$214</c:f>
              <c:strCache>
                <c:ptCount val="0"/>
              </c:strCache>
            </c:strRef>
          </c:cat>
          <c:val>
            <c:numRef>
              <c:f>'Chart data'!$C$212:$C$214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data'!$A$212:$A$214</c:f>
              <c:strCache>
                <c:ptCount val="0"/>
              </c:strCache>
            </c:strRef>
          </c:cat>
          <c:val>
            <c:numRef>
              <c:f>'Chart data'!$D$212:$D$214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data'!$A$212:$A$214</c:f>
              <c:strCache>
                <c:ptCount val="0"/>
              </c:strCache>
            </c:strRef>
          </c:cat>
          <c:val>
            <c:numRef>
              <c:f>'Chart data'!$E$212:$E$214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data'!$A$212:$A$214</c:f>
              <c:strCache>
                <c:ptCount val="0"/>
              </c:strCache>
            </c:strRef>
          </c:cat>
          <c:val>
            <c:numRef>
              <c:f>'Chart data'!$F$212:$F$214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data'!$A$212:$A$214</c:f>
              <c:strCache>
                <c:ptCount val="0"/>
              </c:strCache>
            </c:strRef>
          </c:cat>
          <c:val>
            <c:numRef>
              <c:f>'Chart data'!$G$212:$G$214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data'!$A$212:$A$214</c:f>
              <c:strCache>
                <c:ptCount val="0"/>
              </c:strCache>
            </c:strRef>
          </c:cat>
          <c:val>
            <c:numRef>
              <c:f>'Chart data'!$H$212:$H$214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data'!$A$212:$A$214</c:f>
              <c:strCache>
                <c:ptCount val="0"/>
              </c:strCache>
            </c:strRef>
          </c:cat>
          <c:val>
            <c:numRef>
              <c:f>'Chart data'!$I$212:$I$214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M0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data'!$K$212:$K$214</c:f>
              <c:strCache>
                <c:ptCount val="0"/>
              </c:strCache>
            </c:strRef>
          </c:cat>
          <c:val>
            <c:numRef>
              <c:f>'Chart data'!$L$212:$L$214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data'!$K$212:$K$214</c:f>
              <c:strCache>
                <c:ptCount val="0"/>
              </c:strCache>
            </c:strRef>
          </c:cat>
          <c:val>
            <c:numRef>
              <c:f>'Chart data'!$M$212:$M$214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data'!$K$212:$K$214</c:f>
              <c:strCache>
                <c:ptCount val="0"/>
              </c:strCache>
            </c:strRef>
          </c:cat>
          <c:val>
            <c:numRef>
              <c:f>'Chart data'!$N$212:$N$214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data'!$K$212:$K$214</c:f>
              <c:strCache>
                <c:ptCount val="0"/>
              </c:strCache>
            </c:strRef>
          </c:cat>
          <c:val>
            <c:numRef>
              <c:f>'Chart data'!$O$212:$O$214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M2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data'!$A$218:$A$220</c:f>
              <c:strCache>
                <c:ptCount val="0"/>
              </c:strCache>
            </c:strRef>
          </c:cat>
          <c:val>
            <c:numRef>
              <c:f>'Chart data'!$B$218:$B$220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data'!$A$218:$A$220</c:f>
              <c:strCache>
                <c:ptCount val="0"/>
              </c:strCache>
            </c:strRef>
          </c:cat>
          <c:val>
            <c:numRef>
              <c:f>'Chart data'!$C$218:$C$220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data'!$A$218:$A$220</c:f>
              <c:strCache>
                <c:ptCount val="0"/>
              </c:strCache>
            </c:strRef>
          </c:cat>
          <c:val>
            <c:numRef>
              <c:f>'Chart data'!$D$218:$D$220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data'!$A$218:$A$220</c:f>
              <c:strCache>
                <c:ptCount val="0"/>
              </c:strCache>
            </c:strRef>
          </c:cat>
          <c:val>
            <c:numRef>
              <c:f>'Chart data'!$E$218:$E$220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data'!$A$218:$A$220</c:f>
              <c:strCache>
                <c:ptCount val="0"/>
              </c:strCache>
            </c:strRef>
          </c:cat>
          <c:val>
            <c:numRef>
              <c:f>'Chart data'!$F$218:$F$220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data'!$A$218:$A$220</c:f>
              <c:strCache>
                <c:ptCount val="0"/>
              </c:strCache>
            </c:strRef>
          </c:cat>
          <c:val>
            <c:numRef>
              <c:f>'Chart data'!$G$218:$G$220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data'!$A$218:$A$220</c:f>
              <c:strCache>
                <c:ptCount val="0"/>
              </c:strCache>
            </c:strRef>
          </c:cat>
          <c:val>
            <c:numRef>
              <c:f>'Chart data'!$H$218:$H$220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data'!$A$218:$A$220</c:f>
              <c:strCache>
                <c:ptCount val="0"/>
              </c:strCache>
            </c:strRef>
          </c:cat>
          <c:val>
            <c:numRef>
              <c:f>'Chart data'!$I$218:$I$220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M2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data'!$K$218:$K$220</c:f>
              <c:strCache>
                <c:ptCount val="0"/>
              </c:strCache>
            </c:strRef>
          </c:cat>
          <c:val>
            <c:numRef>
              <c:f>'Chart data'!$L$218:$L$220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data'!$K$218:$K$220</c:f>
              <c:strCache>
                <c:ptCount val="0"/>
              </c:strCache>
            </c:strRef>
          </c:cat>
          <c:val>
            <c:numRef>
              <c:f>'Chart data'!$M$218:$M$220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data'!$K$218:$K$220</c:f>
              <c:strCache>
                <c:ptCount val="0"/>
              </c:strCache>
            </c:strRef>
          </c:cat>
          <c:val>
            <c:numRef>
              <c:f>'Chart data'!$N$218:$N$220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data'!$K$218:$K$220</c:f>
              <c:strCache>
                <c:ptCount val="0"/>
              </c:strCache>
            </c:strRef>
          </c:cat>
          <c:val>
            <c:numRef>
              <c:f>'Chart data'!$O$218:$O$220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logML error — Assumed M1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data'!$A$79:$A$81</c:f>
              <c:strCache>
                <c:ptCount val="0"/>
              </c:strCache>
            </c:strRef>
          </c:cat>
          <c:val>
            <c:numRef>
              <c:f>'Chart data'!$B$79:$B$81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data'!$A$79:$A$81</c:f>
              <c:strCache>
                <c:ptCount val="0"/>
              </c:strCache>
            </c:strRef>
          </c:cat>
          <c:val>
            <c:numRef>
              <c:f>'Chart data'!$C$79:$C$81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data'!$A$79:$A$81</c:f>
              <c:strCache>
                <c:ptCount val="0"/>
              </c:strCache>
            </c:strRef>
          </c:cat>
          <c:val>
            <c:numRef>
              <c:f>'Chart data'!$D$79:$D$81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data'!$A$79:$A$81</c:f>
              <c:strCache>
                <c:ptCount val="0"/>
              </c:strCache>
            </c:strRef>
          </c:cat>
          <c:val>
            <c:numRef>
              <c:f>'Chart data'!$E$79:$E$81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data'!$A$79:$A$81</c:f>
              <c:strCache>
                <c:ptCount val="0"/>
              </c:strCache>
            </c:strRef>
          </c:cat>
          <c:val>
            <c:numRef>
              <c:f>'Chart data'!$F$79:$F$81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data'!$A$79:$A$81</c:f>
              <c:strCache>
                <c:ptCount val="0"/>
              </c:strCache>
            </c:strRef>
          </c:cat>
          <c:val>
            <c:numRef>
              <c:f>'Chart data'!$G$79:$G$81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data'!$A$79:$A$81</c:f>
              <c:strCache>
                <c:ptCount val="0"/>
              </c:strCache>
            </c:strRef>
          </c:cat>
          <c:val>
            <c:numRef>
              <c:f>'Chart data'!$H$79:$H$81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data'!$A$79:$A$81</c:f>
              <c:strCache>
                <c:ptCount val="0"/>
              </c:strCache>
            </c:strRef>
          </c:cat>
          <c:val>
            <c:numRef>
              <c:f>'Chart data'!$I$79:$I$81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logML error — Assumed M1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data'!$K$79:$K$81</c:f>
              <c:strCache>
                <c:ptCount val="0"/>
              </c:strCache>
            </c:strRef>
          </c:cat>
          <c:val>
            <c:numRef>
              <c:f>'Chart data'!$L$79:$L$81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data'!$K$79:$K$81</c:f>
              <c:strCache>
                <c:ptCount val="0"/>
              </c:strCache>
            </c:strRef>
          </c:cat>
          <c:val>
            <c:numRef>
              <c:f>'Chart data'!$M$79:$M$81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data'!$K$79:$K$81</c:f>
              <c:strCache>
                <c:ptCount val="0"/>
              </c:strCache>
            </c:strRef>
          </c:cat>
          <c:val>
            <c:numRef>
              <c:f>'Chart data'!$N$79:$N$81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data'!$K$79:$K$81</c:f>
              <c:strCache>
                <c:ptCount val="0"/>
              </c:strCache>
            </c:strRef>
          </c:cat>
          <c:val>
            <c:numRef>
              <c:f>'Chart data'!$O$79:$O$81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logML error — Assumed M2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data'!$A$85:$A$87</c:f>
              <c:strCache>
                <c:ptCount val="0"/>
              </c:strCache>
            </c:strRef>
          </c:cat>
          <c:val>
            <c:numRef>
              <c:f>'Chart data'!$B$85:$B$87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data'!$A$85:$A$87</c:f>
              <c:strCache>
                <c:ptCount val="0"/>
              </c:strCache>
            </c:strRef>
          </c:cat>
          <c:val>
            <c:numRef>
              <c:f>'Chart data'!$C$85:$C$87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data'!$A$85:$A$87</c:f>
              <c:strCache>
                <c:ptCount val="0"/>
              </c:strCache>
            </c:strRef>
          </c:cat>
          <c:val>
            <c:numRef>
              <c:f>'Chart data'!$D$85:$D$87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data'!$A$85:$A$87</c:f>
              <c:strCache>
                <c:ptCount val="0"/>
              </c:strCache>
            </c:strRef>
          </c:cat>
          <c:val>
            <c:numRef>
              <c:f>'Chart data'!$E$85:$E$87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data'!$A$85:$A$87</c:f>
              <c:strCache>
                <c:ptCount val="0"/>
              </c:strCache>
            </c:strRef>
          </c:cat>
          <c:val>
            <c:numRef>
              <c:f>'Chart data'!$F$85:$F$87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data'!$A$85:$A$87</c:f>
              <c:strCache>
                <c:ptCount val="0"/>
              </c:strCache>
            </c:strRef>
          </c:cat>
          <c:val>
            <c:numRef>
              <c:f>'Chart data'!$G$85:$G$87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data'!$A$85:$A$87</c:f>
              <c:strCache>
                <c:ptCount val="0"/>
              </c:strCache>
            </c:strRef>
          </c:cat>
          <c:val>
            <c:numRef>
              <c:f>'Chart data'!$H$85:$H$87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data'!$A$85:$A$87</c:f>
              <c:strCache>
                <c:ptCount val="0"/>
              </c:strCache>
            </c:strRef>
          </c:cat>
          <c:val>
            <c:numRef>
              <c:f>'Chart data'!$I$85:$I$87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logML error — Assumed M2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data'!$K$85:$K$87</c:f>
              <c:strCache>
                <c:ptCount val="0"/>
              </c:strCache>
            </c:strRef>
          </c:cat>
          <c:val>
            <c:numRef>
              <c:f>'Chart data'!$L$85:$L$87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data'!$K$85:$K$87</c:f>
              <c:strCache>
                <c:ptCount val="0"/>
              </c:strCache>
            </c:strRef>
          </c:cat>
          <c:val>
            <c:numRef>
              <c:f>'Chart data'!$M$85:$M$87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data'!$K$85:$K$87</c:f>
              <c:strCache>
                <c:ptCount val="0"/>
              </c:strCache>
            </c:strRef>
          </c:cat>
          <c:val>
            <c:numRef>
              <c:f>'Chart data'!$N$85:$N$87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data'!$K$85:$K$87</c:f>
              <c:strCache>
                <c:ptCount val="0"/>
              </c:strCache>
            </c:strRef>
          </c:cat>
          <c:val>
            <c:numRef>
              <c:f>'Chart data'!$O$85:$O$87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logML error — Assumed M3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data'!$A$91:$A$93</c:f>
              <c:strCache>
                <c:ptCount val="0"/>
              </c:strCache>
            </c:strRef>
          </c:cat>
          <c:val>
            <c:numRef>
              <c:f>'Chart data'!$B$91:$B$93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data'!$A$91:$A$93</c:f>
              <c:strCache>
                <c:ptCount val="0"/>
              </c:strCache>
            </c:strRef>
          </c:cat>
          <c:val>
            <c:numRef>
              <c:f>'Chart data'!$C$91:$C$93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data'!$A$91:$A$93</c:f>
              <c:strCache>
                <c:ptCount val="0"/>
              </c:strCache>
            </c:strRef>
          </c:cat>
          <c:val>
            <c:numRef>
              <c:f>'Chart data'!$D$91:$D$93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data'!$A$91:$A$93</c:f>
              <c:strCache>
                <c:ptCount val="0"/>
              </c:strCache>
            </c:strRef>
          </c:cat>
          <c:val>
            <c:numRef>
              <c:f>'Chart data'!$E$91:$E$93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data'!$A$91:$A$93</c:f>
              <c:strCache>
                <c:ptCount val="0"/>
              </c:strCache>
            </c:strRef>
          </c:cat>
          <c:val>
            <c:numRef>
              <c:f>'Chart data'!$F$91:$F$93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data'!$A$91:$A$93</c:f>
              <c:strCache>
                <c:ptCount val="0"/>
              </c:strCache>
            </c:strRef>
          </c:cat>
          <c:val>
            <c:numRef>
              <c:f>'Chart data'!$G$91:$G$93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data'!$A$91:$A$93</c:f>
              <c:strCache>
                <c:ptCount val="0"/>
              </c:strCache>
            </c:strRef>
          </c:cat>
          <c:val>
            <c:numRef>
              <c:f>'Chart data'!$H$91:$H$93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data'!$A$91:$A$93</c:f>
              <c:strCache>
                <c:ptCount val="0"/>
              </c:strCache>
            </c:strRef>
          </c:cat>
          <c:val>
            <c:numRef>
              <c:f>'Chart data'!$I$91:$I$93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logML error — Assumed M3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data'!$K$91:$K$93</c:f>
              <c:strCache>
                <c:ptCount val="0"/>
              </c:strCache>
            </c:strRef>
          </c:cat>
          <c:val>
            <c:numRef>
              <c:f>'Chart data'!$L$91:$L$93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data'!$K$91:$K$93</c:f>
              <c:strCache>
                <c:ptCount val="0"/>
              </c:strCache>
            </c:strRef>
          </c:cat>
          <c:val>
            <c:numRef>
              <c:f>'Chart data'!$M$91:$M$93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data'!$K$91:$K$93</c:f>
              <c:strCache>
                <c:ptCount val="0"/>
              </c:strCache>
            </c:strRef>
          </c:cat>
          <c:val>
            <c:numRef>
              <c:f>'Chart data'!$N$91:$N$93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data'!$K$91:$K$93</c:f>
              <c:strCache>
                <c:ptCount val="0"/>
              </c:strCache>
            </c:strRef>
          </c:cat>
          <c:val>
            <c:numRef>
              <c:f>'Chart data'!$O$91:$O$93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logML error — Assumed M4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data'!$A$97:$A$99</c:f>
              <c:strCache>
                <c:ptCount val="0"/>
              </c:strCache>
            </c:strRef>
          </c:cat>
          <c:val>
            <c:numRef>
              <c:f>'Chart data'!$B$97:$B$99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data'!$A$97:$A$99</c:f>
              <c:strCache>
                <c:ptCount val="0"/>
              </c:strCache>
            </c:strRef>
          </c:cat>
          <c:val>
            <c:numRef>
              <c:f>'Chart data'!$C$97:$C$99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data'!$A$97:$A$99</c:f>
              <c:strCache>
                <c:ptCount val="0"/>
              </c:strCache>
            </c:strRef>
          </c:cat>
          <c:val>
            <c:numRef>
              <c:f>'Chart data'!$D$97:$D$99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data'!$A$97:$A$99</c:f>
              <c:strCache>
                <c:ptCount val="0"/>
              </c:strCache>
            </c:strRef>
          </c:cat>
          <c:val>
            <c:numRef>
              <c:f>'Chart data'!$E$97:$E$99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data'!$A$97:$A$99</c:f>
              <c:strCache>
                <c:ptCount val="0"/>
              </c:strCache>
            </c:strRef>
          </c:cat>
          <c:val>
            <c:numRef>
              <c:f>'Chart data'!$F$97:$F$99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data'!$A$97:$A$99</c:f>
              <c:strCache>
                <c:ptCount val="0"/>
              </c:strCache>
            </c:strRef>
          </c:cat>
          <c:val>
            <c:numRef>
              <c:f>'Chart data'!$G$97:$G$99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data'!$A$97:$A$99</c:f>
              <c:strCache>
                <c:ptCount val="0"/>
              </c:strCache>
            </c:strRef>
          </c:cat>
          <c:val>
            <c:numRef>
              <c:f>'Chart data'!$H$97:$H$99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data'!$A$97:$A$99</c:f>
              <c:strCache>
                <c:ptCount val="0"/>
              </c:strCache>
            </c:strRef>
          </c:cat>
          <c:val>
            <c:numRef>
              <c:f>'Chart data'!$I$97:$I$99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logML error — Assumed M4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data'!$K$97:$K$99</c:f>
              <c:strCache>
                <c:ptCount val="0"/>
              </c:strCache>
            </c:strRef>
          </c:cat>
          <c:val>
            <c:numRef>
              <c:f>'Chart data'!$L$97:$L$99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data'!$K$97:$K$99</c:f>
              <c:strCache>
                <c:ptCount val="0"/>
              </c:strCache>
            </c:strRef>
          </c:cat>
          <c:val>
            <c:numRef>
              <c:f>'Chart data'!$M$97:$M$99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data'!$K$97:$K$99</c:f>
              <c:strCache>
                <c:ptCount val="0"/>
              </c:strCache>
            </c:strRef>
          </c:cat>
          <c:val>
            <c:numRef>
              <c:f>'Chart data'!$N$97:$N$99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data'!$K$97:$K$99</c:f>
              <c:strCache>
                <c:ptCount val="0"/>
              </c:strCache>
            </c:strRef>
          </c:cat>
          <c:val>
            <c:numRef>
              <c:f>'Chart data'!$O$97:$O$99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M1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data'!$A$103:$A$105</c:f>
              <c:strCache>
                <c:ptCount val="0"/>
              </c:strCache>
            </c:strRef>
          </c:cat>
          <c:val>
            <c:numRef>
              <c:f>'Chart data'!$B$103:$B$105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data'!$A$103:$A$105</c:f>
              <c:strCache>
                <c:ptCount val="0"/>
              </c:strCache>
            </c:strRef>
          </c:cat>
          <c:val>
            <c:numRef>
              <c:f>'Chart data'!$C$103:$C$105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data'!$A$103:$A$105</c:f>
              <c:strCache>
                <c:ptCount val="0"/>
              </c:strCache>
            </c:strRef>
          </c:cat>
          <c:val>
            <c:numRef>
              <c:f>'Chart data'!$D$103:$D$105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data'!$A$103:$A$105</c:f>
              <c:strCache>
                <c:ptCount val="0"/>
              </c:strCache>
            </c:strRef>
          </c:cat>
          <c:val>
            <c:numRef>
              <c:f>'Chart data'!$E$103:$E$105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data'!$A$103:$A$105</c:f>
              <c:strCache>
                <c:ptCount val="0"/>
              </c:strCache>
            </c:strRef>
          </c:cat>
          <c:val>
            <c:numRef>
              <c:f>'Chart data'!$F$103:$F$105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data'!$A$103:$A$105</c:f>
              <c:strCache>
                <c:ptCount val="0"/>
              </c:strCache>
            </c:strRef>
          </c:cat>
          <c:val>
            <c:numRef>
              <c:f>'Chart data'!$G$103:$G$105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data'!$A$103:$A$105</c:f>
              <c:strCache>
                <c:ptCount val="0"/>
              </c:strCache>
            </c:strRef>
          </c:cat>
          <c:val>
            <c:numRef>
              <c:f>'Chart data'!$H$103:$H$105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data'!$A$103:$A$105</c:f>
              <c:strCache>
                <c:ptCount val="0"/>
              </c:strCache>
            </c:strRef>
          </c:cat>
          <c:val>
            <c:numRef>
              <c:f>'Chart data'!$I$103:$I$105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M1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data'!$K$103:$K$105</c:f>
              <c:strCache>
                <c:ptCount val="0"/>
              </c:strCache>
            </c:strRef>
          </c:cat>
          <c:val>
            <c:numRef>
              <c:f>'Chart data'!$L$103:$L$105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data'!$K$103:$K$105</c:f>
              <c:strCache>
                <c:ptCount val="0"/>
              </c:strCache>
            </c:strRef>
          </c:cat>
          <c:val>
            <c:numRef>
              <c:f>'Chart data'!$M$103:$M$105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data'!$K$103:$K$105</c:f>
              <c:strCache>
                <c:ptCount val="0"/>
              </c:strCache>
            </c:strRef>
          </c:cat>
          <c:val>
            <c:numRef>
              <c:f>'Chart data'!$N$103:$N$105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data'!$K$103:$K$105</c:f>
              <c:strCache>
                <c:ptCount val="0"/>
              </c:strCache>
            </c:strRef>
          </c:cat>
          <c:val>
            <c:numRef>
              <c:f>'Chart data'!$O$103:$O$105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M2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data'!$A$109:$A$111</c:f>
              <c:strCache>
                <c:ptCount val="0"/>
              </c:strCache>
            </c:strRef>
          </c:cat>
          <c:val>
            <c:numRef>
              <c:f>'Chart data'!$B$109:$B$111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data'!$A$109:$A$111</c:f>
              <c:strCache>
                <c:ptCount val="0"/>
              </c:strCache>
            </c:strRef>
          </c:cat>
          <c:val>
            <c:numRef>
              <c:f>'Chart data'!$C$109:$C$111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data'!$A$109:$A$111</c:f>
              <c:strCache>
                <c:ptCount val="0"/>
              </c:strCache>
            </c:strRef>
          </c:cat>
          <c:val>
            <c:numRef>
              <c:f>'Chart data'!$D$109:$D$111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data'!$A$109:$A$111</c:f>
              <c:strCache>
                <c:ptCount val="0"/>
              </c:strCache>
            </c:strRef>
          </c:cat>
          <c:val>
            <c:numRef>
              <c:f>'Chart data'!$E$109:$E$111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data'!$A$109:$A$111</c:f>
              <c:strCache>
                <c:ptCount val="0"/>
              </c:strCache>
            </c:strRef>
          </c:cat>
          <c:val>
            <c:numRef>
              <c:f>'Chart data'!$F$109:$F$111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data'!$A$109:$A$111</c:f>
              <c:strCache>
                <c:ptCount val="0"/>
              </c:strCache>
            </c:strRef>
          </c:cat>
          <c:val>
            <c:numRef>
              <c:f>'Chart data'!$G$109:$G$111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data'!$A$109:$A$111</c:f>
              <c:strCache>
                <c:ptCount val="0"/>
              </c:strCache>
            </c:strRef>
          </c:cat>
          <c:val>
            <c:numRef>
              <c:f>'Chart data'!$H$109:$H$111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data'!$A$109:$A$111</c:f>
              <c:strCache>
                <c:ptCount val="0"/>
              </c:strCache>
            </c:strRef>
          </c:cat>
          <c:val>
            <c:numRef>
              <c:f>'Chart data'!$I$109:$I$111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M2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data'!$K$109:$K$111</c:f>
              <c:strCache>
                <c:ptCount val="0"/>
              </c:strCache>
            </c:strRef>
          </c:cat>
          <c:val>
            <c:numRef>
              <c:f>'Chart data'!$L$109:$L$111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data'!$K$109:$K$111</c:f>
              <c:strCache>
                <c:ptCount val="0"/>
              </c:strCache>
            </c:strRef>
          </c:cat>
          <c:val>
            <c:numRef>
              <c:f>'Chart data'!$M$109:$M$111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data'!$K$109:$K$111</c:f>
              <c:strCache>
                <c:ptCount val="0"/>
              </c:strCache>
            </c:strRef>
          </c:cat>
          <c:val>
            <c:numRef>
              <c:f>'Chart data'!$N$109:$N$111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data'!$K$109:$K$111</c:f>
              <c:strCache>
                <c:ptCount val="0"/>
              </c:strCache>
            </c:strRef>
          </c:cat>
          <c:val>
            <c:numRef>
              <c:f>'Chart data'!$O$109:$O$111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M3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data'!$A$115:$A$117</c:f>
              <c:strCache>
                <c:ptCount val="0"/>
              </c:strCache>
            </c:strRef>
          </c:cat>
          <c:val>
            <c:numRef>
              <c:f>'Chart data'!$B$115:$B$117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data'!$A$115:$A$117</c:f>
              <c:strCache>
                <c:ptCount val="0"/>
              </c:strCache>
            </c:strRef>
          </c:cat>
          <c:val>
            <c:numRef>
              <c:f>'Chart data'!$C$115:$C$117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data'!$A$115:$A$117</c:f>
              <c:strCache>
                <c:ptCount val="0"/>
              </c:strCache>
            </c:strRef>
          </c:cat>
          <c:val>
            <c:numRef>
              <c:f>'Chart data'!$D$115:$D$117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data'!$A$115:$A$117</c:f>
              <c:strCache>
                <c:ptCount val="0"/>
              </c:strCache>
            </c:strRef>
          </c:cat>
          <c:val>
            <c:numRef>
              <c:f>'Chart data'!$E$115:$E$117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data'!$A$115:$A$117</c:f>
              <c:strCache>
                <c:ptCount val="0"/>
              </c:strCache>
            </c:strRef>
          </c:cat>
          <c:val>
            <c:numRef>
              <c:f>'Chart data'!$F$115:$F$117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data'!$A$115:$A$117</c:f>
              <c:strCache>
                <c:ptCount val="0"/>
              </c:strCache>
            </c:strRef>
          </c:cat>
          <c:val>
            <c:numRef>
              <c:f>'Chart data'!$G$115:$G$117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data'!$A$115:$A$117</c:f>
              <c:strCache>
                <c:ptCount val="0"/>
              </c:strCache>
            </c:strRef>
          </c:cat>
          <c:val>
            <c:numRef>
              <c:f>'Chart data'!$H$115:$H$117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data'!$A$115:$A$117</c:f>
              <c:strCache>
                <c:ptCount val="0"/>
              </c:strCache>
            </c:strRef>
          </c:cat>
          <c:val>
            <c:numRef>
              <c:f>'Chart data'!$I$115:$I$117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M3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data'!$K$115:$K$117</c:f>
              <c:strCache>
                <c:ptCount val="0"/>
              </c:strCache>
            </c:strRef>
          </c:cat>
          <c:val>
            <c:numRef>
              <c:f>'Chart data'!$L$115:$L$117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data'!$K$115:$K$117</c:f>
              <c:strCache>
                <c:ptCount val="0"/>
              </c:strCache>
            </c:strRef>
          </c:cat>
          <c:val>
            <c:numRef>
              <c:f>'Chart data'!$M$115:$M$117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data'!$K$115:$K$117</c:f>
              <c:strCache>
                <c:ptCount val="0"/>
              </c:strCache>
            </c:strRef>
          </c:cat>
          <c:val>
            <c:numRef>
              <c:f>'Chart data'!$N$115:$N$117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data'!$K$115:$K$117</c:f>
              <c:strCache>
                <c:ptCount val="0"/>
              </c:strCache>
            </c:strRef>
          </c:cat>
          <c:val>
            <c:numRef>
              <c:f>'Chart data'!$O$115:$O$117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M4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data'!$A$121:$A$123</c:f>
              <c:strCache>
                <c:ptCount val="0"/>
              </c:strCache>
            </c:strRef>
          </c:cat>
          <c:val>
            <c:numRef>
              <c:f>'Chart data'!$B$121:$B$123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data'!$A$121:$A$123</c:f>
              <c:strCache>
                <c:ptCount val="0"/>
              </c:strCache>
            </c:strRef>
          </c:cat>
          <c:val>
            <c:numRef>
              <c:f>'Chart data'!$C$121:$C$123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data'!$A$121:$A$123</c:f>
              <c:strCache>
                <c:ptCount val="0"/>
              </c:strCache>
            </c:strRef>
          </c:cat>
          <c:val>
            <c:numRef>
              <c:f>'Chart data'!$D$121:$D$123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data'!$A$121:$A$123</c:f>
              <c:strCache>
                <c:ptCount val="0"/>
              </c:strCache>
            </c:strRef>
          </c:cat>
          <c:val>
            <c:numRef>
              <c:f>'Chart data'!$E$121:$E$123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data'!$A$121:$A$123</c:f>
              <c:strCache>
                <c:ptCount val="0"/>
              </c:strCache>
            </c:strRef>
          </c:cat>
          <c:val>
            <c:numRef>
              <c:f>'Chart data'!$F$121:$F$123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data'!$A$121:$A$123</c:f>
              <c:strCache>
                <c:ptCount val="0"/>
              </c:strCache>
            </c:strRef>
          </c:cat>
          <c:val>
            <c:numRef>
              <c:f>'Chart data'!$G$121:$G$123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data'!$A$121:$A$123</c:f>
              <c:strCache>
                <c:ptCount val="0"/>
              </c:strCache>
            </c:strRef>
          </c:cat>
          <c:val>
            <c:numRef>
              <c:f>'Chart data'!$H$121:$H$123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data'!$A$121:$A$123</c:f>
              <c:strCache>
                <c:ptCount val="0"/>
              </c:strCache>
            </c:strRef>
          </c:cat>
          <c:val>
            <c:numRef>
              <c:f>'Chart data'!$I$121:$I$123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Signed PMP error — Assumed M4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data'!$K$121:$K$123</c:f>
              <c:strCache>
                <c:ptCount val="0"/>
              </c:strCache>
            </c:strRef>
          </c:cat>
          <c:val>
            <c:numRef>
              <c:f>'Chart data'!$L$121:$L$123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data'!$K$121:$K$123</c:f>
              <c:strCache>
                <c:ptCount val="0"/>
              </c:strCache>
            </c:strRef>
          </c:cat>
          <c:val>
            <c:numRef>
              <c:f>'Chart data'!$M$121:$M$123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data'!$K$121:$K$123</c:f>
              <c:strCache>
                <c:ptCount val="0"/>
              </c:strCache>
            </c:strRef>
          </c:cat>
          <c:val>
            <c:numRef>
              <c:f>'Chart data'!$N$121:$N$123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data'!$K$121:$K$123</c:f>
              <c:strCache>
                <c:ptCount val="0"/>
              </c:strCache>
            </c:strRef>
          </c:cat>
          <c:val>
            <c:numRef>
              <c:f>'Chart data'!$O$121:$O$123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M1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data'!$A$127:$A$129</c:f>
              <c:strCache>
                <c:ptCount val="0"/>
              </c:strCache>
            </c:strRef>
          </c:cat>
          <c:val>
            <c:numRef>
              <c:f>'Chart data'!$B$127:$B$129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data'!$A$127:$A$129</c:f>
              <c:strCache>
                <c:ptCount val="0"/>
              </c:strCache>
            </c:strRef>
          </c:cat>
          <c:val>
            <c:numRef>
              <c:f>'Chart data'!$C$127:$C$129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data'!$A$127:$A$129</c:f>
              <c:strCache>
                <c:ptCount val="0"/>
              </c:strCache>
            </c:strRef>
          </c:cat>
          <c:val>
            <c:numRef>
              <c:f>'Chart data'!$D$127:$D$129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data'!$A$127:$A$129</c:f>
              <c:strCache>
                <c:ptCount val="0"/>
              </c:strCache>
            </c:strRef>
          </c:cat>
          <c:val>
            <c:numRef>
              <c:f>'Chart data'!$E$127:$E$129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data'!$A$127:$A$129</c:f>
              <c:strCache>
                <c:ptCount val="0"/>
              </c:strCache>
            </c:strRef>
          </c:cat>
          <c:val>
            <c:numRef>
              <c:f>'Chart data'!$F$127:$F$129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data'!$A$127:$A$129</c:f>
              <c:strCache>
                <c:ptCount val="0"/>
              </c:strCache>
            </c:strRef>
          </c:cat>
          <c:val>
            <c:numRef>
              <c:f>'Chart data'!$G$127:$G$129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data'!$A$127:$A$129</c:f>
              <c:strCache>
                <c:ptCount val="0"/>
              </c:strCache>
            </c:strRef>
          </c:cat>
          <c:val>
            <c:numRef>
              <c:f>'Chart data'!$H$127:$H$129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data'!$A$127:$A$129</c:f>
              <c:strCache>
                <c:ptCount val="0"/>
              </c:strCache>
            </c:strRef>
          </c:cat>
          <c:val>
            <c:numRef>
              <c:f>'Chart data'!$I$127:$I$129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M1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data'!$K$127:$K$129</c:f>
              <c:strCache>
                <c:ptCount val="0"/>
              </c:strCache>
            </c:strRef>
          </c:cat>
          <c:val>
            <c:numRef>
              <c:f>'Chart data'!$L$127:$L$129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data'!$K$127:$K$129</c:f>
              <c:strCache>
                <c:ptCount val="0"/>
              </c:strCache>
            </c:strRef>
          </c:cat>
          <c:val>
            <c:numRef>
              <c:f>'Chart data'!$M$127:$M$129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data'!$K$127:$K$129</c:f>
              <c:strCache>
                <c:ptCount val="0"/>
              </c:strCache>
            </c:strRef>
          </c:cat>
          <c:val>
            <c:numRef>
              <c:f>'Chart data'!$N$127:$N$129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data'!$K$127:$K$129</c:f>
              <c:strCache>
                <c:ptCount val="0"/>
              </c:strCache>
            </c:strRef>
          </c:cat>
          <c:val>
            <c:numRef>
              <c:f>'Chart data'!$O$127:$O$129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M2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data'!$A$133:$A$135</c:f>
              <c:strCache>
                <c:ptCount val="0"/>
              </c:strCache>
            </c:strRef>
          </c:cat>
          <c:val>
            <c:numRef>
              <c:f>'Chart data'!$B$133:$B$135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data'!$A$133:$A$135</c:f>
              <c:strCache>
                <c:ptCount val="0"/>
              </c:strCache>
            </c:strRef>
          </c:cat>
          <c:val>
            <c:numRef>
              <c:f>'Chart data'!$C$133:$C$135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data'!$A$133:$A$135</c:f>
              <c:strCache>
                <c:ptCount val="0"/>
              </c:strCache>
            </c:strRef>
          </c:cat>
          <c:val>
            <c:numRef>
              <c:f>'Chart data'!$D$133:$D$135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data'!$A$133:$A$135</c:f>
              <c:strCache>
                <c:ptCount val="0"/>
              </c:strCache>
            </c:strRef>
          </c:cat>
          <c:val>
            <c:numRef>
              <c:f>'Chart data'!$E$133:$E$135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data'!$A$133:$A$135</c:f>
              <c:strCache>
                <c:ptCount val="0"/>
              </c:strCache>
            </c:strRef>
          </c:cat>
          <c:val>
            <c:numRef>
              <c:f>'Chart data'!$F$133:$F$135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data'!$A$133:$A$135</c:f>
              <c:strCache>
                <c:ptCount val="0"/>
              </c:strCache>
            </c:strRef>
          </c:cat>
          <c:val>
            <c:numRef>
              <c:f>'Chart data'!$G$133:$G$135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data'!$A$133:$A$135</c:f>
              <c:strCache>
                <c:ptCount val="0"/>
              </c:strCache>
            </c:strRef>
          </c:cat>
          <c:val>
            <c:numRef>
              <c:f>'Chart data'!$H$133:$H$135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data'!$A$133:$A$135</c:f>
              <c:strCache>
                <c:ptCount val="0"/>
              </c:strCache>
            </c:strRef>
          </c:cat>
          <c:val>
            <c:numRef>
              <c:f>'Chart data'!$I$133:$I$135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M2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data'!$K$133:$K$135</c:f>
              <c:strCache>
                <c:ptCount val="0"/>
              </c:strCache>
            </c:strRef>
          </c:cat>
          <c:val>
            <c:numRef>
              <c:f>'Chart data'!$L$133:$L$135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data'!$K$133:$K$135</c:f>
              <c:strCache>
                <c:ptCount val="0"/>
              </c:strCache>
            </c:strRef>
          </c:cat>
          <c:val>
            <c:numRef>
              <c:f>'Chart data'!$M$133:$M$135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data'!$K$133:$K$135</c:f>
              <c:strCache>
                <c:ptCount val="0"/>
              </c:strCache>
            </c:strRef>
          </c:cat>
          <c:val>
            <c:numRef>
              <c:f>'Chart data'!$N$133:$N$135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data'!$K$133:$K$135</c:f>
              <c:strCache>
                <c:ptCount val="0"/>
              </c:strCache>
            </c:strRef>
          </c:cat>
          <c:val>
            <c:numRef>
              <c:f>'Chart data'!$O$133:$O$135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M3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data'!$A$139:$A$141</c:f>
              <c:strCache>
                <c:ptCount val="0"/>
              </c:strCache>
            </c:strRef>
          </c:cat>
          <c:val>
            <c:numRef>
              <c:f>'Chart data'!$B$139:$B$141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data'!$A$139:$A$141</c:f>
              <c:strCache>
                <c:ptCount val="0"/>
              </c:strCache>
            </c:strRef>
          </c:cat>
          <c:val>
            <c:numRef>
              <c:f>'Chart data'!$C$139:$C$141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data'!$A$139:$A$141</c:f>
              <c:strCache>
                <c:ptCount val="0"/>
              </c:strCache>
            </c:strRef>
          </c:cat>
          <c:val>
            <c:numRef>
              <c:f>'Chart data'!$D$139:$D$141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data'!$A$139:$A$141</c:f>
              <c:strCache>
                <c:ptCount val="0"/>
              </c:strCache>
            </c:strRef>
          </c:cat>
          <c:val>
            <c:numRef>
              <c:f>'Chart data'!$E$139:$E$141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data'!$A$139:$A$141</c:f>
              <c:strCache>
                <c:ptCount val="0"/>
              </c:strCache>
            </c:strRef>
          </c:cat>
          <c:val>
            <c:numRef>
              <c:f>'Chart data'!$F$139:$F$141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data'!$A$139:$A$141</c:f>
              <c:strCache>
                <c:ptCount val="0"/>
              </c:strCache>
            </c:strRef>
          </c:cat>
          <c:val>
            <c:numRef>
              <c:f>'Chart data'!$G$139:$G$141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data'!$A$139:$A$141</c:f>
              <c:strCache>
                <c:ptCount val="0"/>
              </c:strCache>
            </c:strRef>
          </c:cat>
          <c:val>
            <c:numRef>
              <c:f>'Chart data'!$H$139:$H$141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data'!$A$139:$A$141</c:f>
              <c:strCache>
                <c:ptCount val="0"/>
              </c:strCache>
            </c:strRef>
          </c:cat>
          <c:val>
            <c:numRef>
              <c:f>'Chart data'!$I$139:$I$141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M3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data'!$K$139:$K$141</c:f>
              <c:strCache>
                <c:ptCount val="0"/>
              </c:strCache>
            </c:strRef>
          </c:cat>
          <c:val>
            <c:numRef>
              <c:f>'Chart data'!$L$139:$L$141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data'!$K$139:$K$141</c:f>
              <c:strCache>
                <c:ptCount val="0"/>
              </c:strCache>
            </c:strRef>
          </c:cat>
          <c:val>
            <c:numRef>
              <c:f>'Chart data'!$M$139:$M$141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data'!$K$139:$K$141</c:f>
              <c:strCache>
                <c:ptCount val="0"/>
              </c:strCache>
            </c:strRef>
          </c:cat>
          <c:val>
            <c:numRef>
              <c:f>'Chart data'!$N$139:$N$141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data'!$K$139:$K$141</c:f>
              <c:strCache>
                <c:ptCount val="0"/>
              </c:strCache>
            </c:strRef>
          </c:cat>
          <c:val>
            <c:numRef>
              <c:f>'Chart data'!$O$139:$O$141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M4 — FNR/FPR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data'!$A$145:$A$147</c:f>
              <c:strCache>
                <c:ptCount val="0"/>
              </c:strCache>
            </c:strRef>
          </c:cat>
          <c:val>
            <c:numRef>
              <c:f>'Chart data'!$B$145:$B$147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L2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data'!$A$145:$A$147</c:f>
              <c:strCache>
                <c:ptCount val="0"/>
              </c:strCache>
            </c:strRef>
          </c:cat>
          <c:val>
            <c:numRef>
              <c:f>'Chart data'!$C$145:$C$147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L∞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data'!$A$145:$A$147</c:f>
              <c:strCache>
                <c:ptCount val="0"/>
              </c:strCache>
            </c:strRef>
          </c:cat>
          <c:val>
            <c:numRef>
              <c:f>'Chart data'!$D$145:$D$147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L∞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data'!$A$145:$A$147</c:f>
              <c:strCache>
                <c:ptCount val="0"/>
              </c:strCache>
            </c:strRef>
          </c:cat>
          <c:val>
            <c:numRef>
              <c:f>'Chart data'!$E$145:$E$147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Density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data'!$A$145:$A$147</c:f>
              <c:strCache>
                <c:ptCount val="0"/>
              </c:strCache>
            </c:strRef>
          </c:cat>
          <c:val>
            <c:numRef>
              <c:f>'Chart data'!$F$145:$F$147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Density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data'!$A$145:$A$147</c:f>
              <c:strCache>
                <c:ptCount val="0"/>
              </c:strCache>
            </c:strRef>
          </c:cat>
          <c:val>
            <c:numRef>
              <c:f>'Chart data'!$G$145:$G$147</c:f>
              <c:numCache>
                <c:formatCode>0.0</c:formatCode>
                <c:ptCount val="0"/>
              </c:numCache>
            </c:numRef>
          </c:val>
          <c:smooth val="0"/>
        </c:ser>
        <c:ser>
          <c:idx val="6"/>
          <c:order val="6"/>
          <c:tx>
            <c:v>MMD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data'!$A$145:$A$147</c:f>
              <c:strCache>
                <c:ptCount val="0"/>
              </c:strCache>
            </c:strRef>
          </c:cat>
          <c:val>
            <c:numRef>
              <c:f>'Chart data'!$H$145:$H$147</c:f>
              <c:numCache>
                <c:formatCode>0.0</c:formatCode>
                <c:ptCount val="0"/>
              </c:numCache>
            </c:numRef>
          </c:val>
          <c:smooth val="0"/>
        </c:ser>
        <c:ser>
          <c:idx val="7"/>
          <c:order val="7"/>
          <c:tx>
            <c:v>MMD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data'!$A$145:$A$147</c:f>
              <c:strCache>
                <c:ptCount val="0"/>
              </c:strCache>
            </c:strRef>
          </c:cat>
          <c:val>
            <c:numRef>
              <c:f>'Chart data'!$I$145:$I$147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Posterior MMD — Assumed M4 — AUC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L2</c:v>
          </c:tx>
          <c:spPr>
            <a:ln xmlns:a="http://schemas.openxmlformats.org/drawingml/2006/main" w="28575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'Chart data'!$K$145:$K$147</c:f>
              <c:strCache>
                <c:ptCount val="0"/>
              </c:strCache>
            </c:strRef>
          </c:cat>
          <c:val>
            <c:numRef>
              <c:f>'Chart data'!$L$145:$L$147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L∞</c:v>
          </c:tx>
          <c:spPr>
            <a:ln xmlns:a="http://schemas.openxmlformats.org/drawingml/2006/main" w="28575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'Chart data'!$K$145:$K$147</c:f>
              <c:strCache>
                <c:ptCount val="0"/>
              </c:strCache>
            </c:strRef>
          </c:cat>
          <c:val>
            <c:numRef>
              <c:f>'Chart data'!$M$145:$M$147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Density</c:v>
          </c:tx>
          <c:spPr>
            <a:ln xmlns:a="http://schemas.openxmlformats.org/drawingml/2006/main" w="28575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'Chart data'!$K$145:$K$147</c:f>
              <c:strCache>
                <c:ptCount val="0"/>
              </c:strCache>
            </c:strRef>
          </c:cat>
          <c:val>
            <c:numRef>
              <c:f>'Chart data'!$N$145:$N$147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MMD</c:v>
          </c:tx>
          <c:spPr>
            <a:ln xmlns:a="http://schemas.openxmlformats.org/drawingml/2006/main" w="28575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'Chart data'!$K$145:$K$147</c:f>
              <c:strCache>
                <c:ptCount val="0"/>
              </c:strCache>
            </c:strRef>
          </c:cat>
          <c:val>
            <c:numRef>
              <c:f>'Chart data'!$O$145:$O$147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data'!$A$5:$A$7</c:f>
              <c:strCache>
                <c:ptCount val="0"/>
              </c:strCache>
            </c:strRef>
          </c:cat>
          <c:val>
            <c:numRef>
              <c:f>'Diagnostic chart data'!$B$5:$B$7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data'!$A$5:$A$7</c:f>
              <c:strCache>
                <c:ptCount val="0"/>
              </c:strCache>
            </c:strRef>
          </c:cat>
          <c:val>
            <c:numRef>
              <c:f>'Diagnostic chart data'!$C$5:$C$7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data'!$A$5:$A$7</c:f>
              <c:strCache>
                <c:ptCount val="0"/>
              </c:strCache>
            </c:strRef>
          </c:cat>
          <c:val>
            <c:numRef>
              <c:f>'Diagnostic chart data'!$D$5:$D$7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data'!$A$5:$A$7</c:f>
              <c:strCache>
                <c:ptCount val="0"/>
              </c:strCache>
            </c:strRef>
          </c:cat>
          <c:val>
            <c:numRef>
              <c:f>'Diagnostic chart data'!$E$5:$E$7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data'!$AC$5:$AC$7</c:f>
              <c:strCache>
                <c:ptCount val="0"/>
              </c:strCache>
            </c:strRef>
          </c:cat>
          <c:val>
            <c:numRef>
              <c:f>'Diagnostic chart data'!$AD$5:$AD$7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data'!$AC$5:$AC$7</c:f>
              <c:strCache>
                <c:ptCount val="0"/>
              </c:strCache>
            </c:strRef>
          </c:cat>
          <c:val>
            <c:numRef>
              <c:f>'Diagnostic chart data'!$AE$5:$AE$7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data'!$AC$5:$AC$7</c:f>
              <c:strCache>
                <c:ptCount val="0"/>
              </c:strCache>
            </c:strRef>
          </c:cat>
          <c:val>
            <c:numRef>
              <c:f>'Diagnostic chart data'!$AF$5:$AF$7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data'!$AC$5:$AC$7</c:f>
              <c:strCache>
                <c:ptCount val="0"/>
              </c:strCache>
            </c:strRef>
          </c:cat>
          <c:val>
            <c:numRef>
              <c:f>'Diagnostic chart data'!$AG$5:$AG$7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data'!$H$5:$H$7</c:f>
              <c:strCache>
                <c:ptCount val="0"/>
              </c:strCache>
            </c:strRef>
          </c:cat>
          <c:val>
            <c:numRef>
              <c:f>'Diagnostic chart data'!$I$5:$I$7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data'!$H$5:$H$7</c:f>
              <c:strCache>
                <c:ptCount val="0"/>
              </c:strCache>
            </c:strRef>
          </c:cat>
          <c:val>
            <c:numRef>
              <c:f>'Diagnostic chart data'!$J$5:$J$7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data'!$H$5:$H$7</c:f>
              <c:strCache>
                <c:ptCount val="0"/>
              </c:strCache>
            </c:strRef>
          </c:cat>
          <c:val>
            <c:numRef>
              <c:f>'Diagnostic chart data'!$K$5:$K$7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data'!$H$5:$H$7</c:f>
              <c:strCache>
                <c:ptCount val="0"/>
              </c:strCache>
            </c:strRef>
          </c:cat>
          <c:val>
            <c:numRef>
              <c:f>'Diagnostic chart data'!$L$5:$L$7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data'!$AJ$5:$AJ$7</c:f>
              <c:strCache>
                <c:ptCount val="0"/>
              </c:strCache>
            </c:strRef>
          </c:cat>
          <c:val>
            <c:numRef>
              <c:f>'Diagnostic chart data'!$AK$5:$AK$7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data'!$AJ$5:$AJ$7</c:f>
              <c:strCache>
                <c:ptCount val="0"/>
              </c:strCache>
            </c:strRef>
          </c:cat>
          <c:val>
            <c:numRef>
              <c:f>'Diagnostic chart data'!$AL$5:$AL$7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data'!$AJ$5:$AJ$7</c:f>
              <c:strCache>
                <c:ptCount val="0"/>
              </c:strCache>
            </c:strRef>
          </c:cat>
          <c:val>
            <c:numRef>
              <c:f>'Diagnostic chart data'!$AM$5:$AM$7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data'!$AJ$5:$AJ$7</c:f>
              <c:strCache>
                <c:ptCount val="0"/>
              </c:strCache>
            </c:strRef>
          </c:cat>
          <c:val>
            <c:numRef>
              <c:f>'Diagnostic chart data'!$AN$5:$AN$7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data'!$O$5:$O$7</c:f>
              <c:strCache>
                <c:ptCount val="0"/>
              </c:strCache>
            </c:strRef>
          </c:cat>
          <c:val>
            <c:numRef>
              <c:f>'Diagnostic chart data'!$P$5:$P$7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data'!$O$5:$O$7</c:f>
              <c:strCache>
                <c:ptCount val="0"/>
              </c:strCache>
            </c:strRef>
          </c:cat>
          <c:val>
            <c:numRef>
              <c:f>'Diagnostic chart data'!$Q$5:$Q$7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data'!$O$5:$O$7</c:f>
              <c:strCache>
                <c:ptCount val="0"/>
              </c:strCache>
            </c:strRef>
          </c:cat>
          <c:val>
            <c:numRef>
              <c:f>'Diagnostic chart data'!$R$5:$R$7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data'!$O$5:$O$7</c:f>
              <c:strCache>
                <c:ptCount val="0"/>
              </c:strCache>
            </c:strRef>
          </c:cat>
          <c:val>
            <c:numRef>
              <c:f>'Diagnostic chart data'!$S$5:$S$7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data'!$AQ$5:$AQ$7</c:f>
              <c:strCache>
                <c:ptCount val="0"/>
              </c:strCache>
            </c:strRef>
          </c:cat>
          <c:val>
            <c:numRef>
              <c:f>'Diagnostic chart data'!$AR$5:$AR$7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data'!$AQ$5:$AQ$7</c:f>
              <c:strCache>
                <c:ptCount val="0"/>
              </c:strCache>
            </c:strRef>
          </c:cat>
          <c:val>
            <c:numRef>
              <c:f>'Diagnostic chart data'!$AS$5:$AS$7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data'!$AQ$5:$AQ$7</c:f>
              <c:strCache>
                <c:ptCount val="0"/>
              </c:strCache>
            </c:strRef>
          </c:cat>
          <c:val>
            <c:numRef>
              <c:f>'Diagnostic chart data'!$AT$5:$AT$7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data'!$AQ$5:$AQ$7</c:f>
              <c:strCache>
                <c:ptCount val="0"/>
              </c:strCache>
            </c:strRef>
          </c:cat>
          <c:val>
            <c:numRef>
              <c:f>'Diagnostic chart data'!$AU$5:$AU$7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data'!$V$5:$V$7</c:f>
              <c:strCache>
                <c:ptCount val="0"/>
              </c:strCache>
            </c:strRef>
          </c:cat>
          <c:val>
            <c:numRef>
              <c:f>'Diagnostic chart data'!$W$5:$W$7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data'!$V$5:$V$7</c:f>
              <c:strCache>
                <c:ptCount val="0"/>
              </c:strCache>
            </c:strRef>
          </c:cat>
          <c:val>
            <c:numRef>
              <c:f>'Diagnostic chart data'!$X$5:$X$7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data'!$V$5:$V$7</c:f>
              <c:strCache>
                <c:ptCount val="0"/>
              </c:strCache>
            </c:strRef>
          </c:cat>
          <c:val>
            <c:numRef>
              <c:f>'Diagnostic chart data'!$Y$5:$Y$7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data'!$V$5:$V$7</c:f>
              <c:strCache>
                <c:ptCount val="0"/>
              </c:strCache>
            </c:strRef>
          </c:cat>
          <c:val>
            <c:numRef>
              <c:f>'Diagnostic chart data'!$Z$5:$Z$7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data'!$AX$5:$AX$7</c:f>
              <c:strCache>
                <c:ptCount val="0"/>
              </c:strCache>
            </c:strRef>
          </c:cat>
          <c:val>
            <c:numRef>
              <c:f>'Diagnostic chart data'!$AY$5:$AY$7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data'!$AX$5:$AX$7</c:f>
              <c:strCache>
                <c:ptCount val="0"/>
              </c:strCache>
            </c:strRef>
          </c:cat>
          <c:val>
            <c:numRef>
              <c:f>'Diagnostic chart data'!$AZ$5:$AZ$7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data'!$AX$5:$AX$7</c:f>
              <c:strCache>
                <c:ptCount val="0"/>
              </c:strCache>
            </c:strRef>
          </c:cat>
          <c:val>
            <c:numRef>
              <c:f>'Diagnostic chart data'!$BA$5:$BA$7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data'!$AX$5:$AX$7</c:f>
              <c:strCache>
                <c:ptCount val="0"/>
              </c:strCache>
            </c:strRef>
          </c:cat>
          <c:val>
            <c:numRef>
              <c:f>'Diagnostic chart data'!$BB$5:$BB$7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data'!$A$5:$A$7</c:f>
              <c:strCache>
                <c:ptCount val="0"/>
              </c:strCache>
            </c:strRef>
          </c:cat>
          <c:val>
            <c:numRef>
              <c:f>'Diagnostic chart data'!$F$5:$F$7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data'!$A$5:$A$7</c:f>
              <c:strCache>
                <c:ptCount val="0"/>
              </c:strCache>
            </c:strRef>
          </c:cat>
          <c:val>
            <c:numRef>
              <c:f>'Diagnostic chart data'!$G$5:$G$7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data'!$AC$5:$AC$7</c:f>
              <c:strCache>
                <c:ptCount val="0"/>
              </c:strCache>
            </c:strRef>
          </c:cat>
          <c:val>
            <c:numRef>
              <c:f>'Diagnostic chart data'!$AH$5:$AH$7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data'!$AC$5:$AC$7</c:f>
              <c:strCache>
                <c:ptCount val="0"/>
              </c:strCache>
            </c:strRef>
          </c:cat>
          <c:val>
            <c:numRef>
              <c:f>'Diagnostic chart data'!$AI$5:$AI$7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data'!$H$5:$H$7</c:f>
              <c:strCache>
                <c:ptCount val="0"/>
              </c:strCache>
            </c:strRef>
          </c:cat>
          <c:val>
            <c:numRef>
              <c:f>'Diagnostic chart data'!$M$5:$M$7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data'!$H$5:$H$7</c:f>
              <c:strCache>
                <c:ptCount val="0"/>
              </c:strCache>
            </c:strRef>
          </c:cat>
          <c:val>
            <c:numRef>
              <c:f>'Diagnostic chart data'!$N$5:$N$7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data'!$AJ$5:$AJ$7</c:f>
              <c:strCache>
                <c:ptCount val="0"/>
              </c:strCache>
            </c:strRef>
          </c:cat>
          <c:val>
            <c:numRef>
              <c:f>'Diagnostic chart data'!$AO$5:$AO$7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data'!$AJ$5:$AJ$7</c:f>
              <c:strCache>
                <c:ptCount val="0"/>
              </c:strCache>
            </c:strRef>
          </c:cat>
          <c:val>
            <c:numRef>
              <c:f>'Diagnostic chart data'!$AP$5:$AP$7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data'!$O$5:$O$7</c:f>
              <c:strCache>
                <c:ptCount val="0"/>
              </c:strCache>
            </c:strRef>
          </c:cat>
          <c:val>
            <c:numRef>
              <c:f>'Diagnostic chart data'!$T$5:$T$7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data'!$O$5:$O$7</c:f>
              <c:strCache>
                <c:ptCount val="0"/>
              </c:strCache>
            </c:strRef>
          </c:cat>
          <c:val>
            <c:numRef>
              <c:f>'Diagnostic chart data'!$U$5:$U$7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data'!$AQ$5:$AQ$7</c:f>
              <c:strCache>
                <c:ptCount val="0"/>
              </c:strCache>
            </c:strRef>
          </c:cat>
          <c:val>
            <c:numRef>
              <c:f>'Diagnostic chart data'!$AV$5:$AV$7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data'!$AQ$5:$AQ$7</c:f>
              <c:strCache>
                <c:ptCount val="0"/>
              </c:strCache>
            </c:strRef>
          </c:cat>
          <c:val>
            <c:numRef>
              <c:f>'Diagnostic chart data'!$AW$5:$AW$7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data'!$V$5:$V$7</c:f>
              <c:strCache>
                <c:ptCount val="0"/>
              </c:strCache>
            </c:strRef>
          </c:cat>
          <c:val>
            <c:numRef>
              <c:f>'Diagnostic chart data'!$AA$5:$AA$7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data'!$V$5:$V$7</c:f>
              <c:strCache>
                <c:ptCount val="0"/>
              </c:strCache>
            </c:strRef>
          </c:cat>
          <c:val>
            <c:numRef>
              <c:f>'Diagnostic chart data'!$AB$5:$AB$7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data'!$AX$5:$AX$7</c:f>
              <c:strCache>
                <c:ptCount val="0"/>
              </c:strCache>
            </c:strRef>
          </c:cat>
          <c:val>
            <c:numRef>
              <c:f>'Diagnostic chart data'!$BC$5:$BC$7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data'!$AX$5:$AX$7</c:f>
              <c:strCache>
                <c:ptCount val="0"/>
              </c:strCache>
            </c:strRef>
          </c:cat>
          <c:val>
            <c:numRef>
              <c:f>'Diagnostic chart data'!$BD$5:$BD$7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data'!$A$11:$A$13</c:f>
              <c:strCache>
                <c:ptCount val="0"/>
              </c:strCache>
            </c:strRef>
          </c:cat>
          <c:val>
            <c:numRef>
              <c:f>'Diagnostic chart data'!$B$11:$B$13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data'!$A$11:$A$13</c:f>
              <c:strCache>
                <c:ptCount val="0"/>
              </c:strCache>
            </c:strRef>
          </c:cat>
          <c:val>
            <c:numRef>
              <c:f>'Diagnostic chart data'!$C$11:$C$13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data'!$A$11:$A$13</c:f>
              <c:strCache>
                <c:ptCount val="0"/>
              </c:strCache>
            </c:strRef>
          </c:cat>
          <c:val>
            <c:numRef>
              <c:f>'Diagnostic chart data'!$D$11:$D$13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data'!$A$11:$A$13</c:f>
              <c:strCache>
                <c:ptCount val="0"/>
              </c:strCache>
            </c:strRef>
          </c:cat>
          <c:val>
            <c:numRef>
              <c:f>'Diagnostic chart data'!$E$11:$E$13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data'!$AC$11:$AC$13</c:f>
              <c:strCache>
                <c:ptCount val="0"/>
              </c:strCache>
            </c:strRef>
          </c:cat>
          <c:val>
            <c:numRef>
              <c:f>'Diagnostic chart data'!$AD$11:$AD$13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data'!$AC$11:$AC$13</c:f>
              <c:strCache>
                <c:ptCount val="0"/>
              </c:strCache>
            </c:strRef>
          </c:cat>
          <c:val>
            <c:numRef>
              <c:f>'Diagnostic chart data'!$AE$11:$AE$13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data'!$AC$11:$AC$13</c:f>
              <c:strCache>
                <c:ptCount val="0"/>
              </c:strCache>
            </c:strRef>
          </c:cat>
          <c:val>
            <c:numRef>
              <c:f>'Diagnostic chart data'!$AF$11:$AF$13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data'!$AC$11:$AC$13</c:f>
              <c:strCache>
                <c:ptCount val="0"/>
              </c:strCache>
            </c:strRef>
          </c:cat>
          <c:val>
            <c:numRef>
              <c:f>'Diagnostic chart data'!$AG$11:$AG$13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data'!$H$11:$H$13</c:f>
              <c:strCache>
                <c:ptCount val="0"/>
              </c:strCache>
            </c:strRef>
          </c:cat>
          <c:val>
            <c:numRef>
              <c:f>'Diagnostic chart data'!$I$11:$I$13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data'!$H$11:$H$13</c:f>
              <c:strCache>
                <c:ptCount val="0"/>
              </c:strCache>
            </c:strRef>
          </c:cat>
          <c:val>
            <c:numRef>
              <c:f>'Diagnostic chart data'!$J$11:$J$13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data'!$H$11:$H$13</c:f>
              <c:strCache>
                <c:ptCount val="0"/>
              </c:strCache>
            </c:strRef>
          </c:cat>
          <c:val>
            <c:numRef>
              <c:f>'Diagnostic chart data'!$K$11:$K$13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data'!$H$11:$H$13</c:f>
              <c:strCache>
                <c:ptCount val="0"/>
              </c:strCache>
            </c:strRef>
          </c:cat>
          <c:val>
            <c:numRef>
              <c:f>'Diagnostic chart data'!$L$11:$L$13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data'!$AJ$11:$AJ$13</c:f>
              <c:strCache>
                <c:ptCount val="0"/>
              </c:strCache>
            </c:strRef>
          </c:cat>
          <c:val>
            <c:numRef>
              <c:f>'Diagnostic chart data'!$AK$11:$AK$13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data'!$AJ$11:$AJ$13</c:f>
              <c:strCache>
                <c:ptCount val="0"/>
              </c:strCache>
            </c:strRef>
          </c:cat>
          <c:val>
            <c:numRef>
              <c:f>'Diagnostic chart data'!$AL$11:$AL$13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data'!$AJ$11:$AJ$13</c:f>
              <c:strCache>
                <c:ptCount val="0"/>
              </c:strCache>
            </c:strRef>
          </c:cat>
          <c:val>
            <c:numRef>
              <c:f>'Diagnostic chart data'!$AM$11:$AM$13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data'!$AJ$11:$AJ$13</c:f>
              <c:strCache>
                <c:ptCount val="0"/>
              </c:strCache>
            </c:strRef>
          </c:cat>
          <c:val>
            <c:numRef>
              <c:f>'Diagnostic chart data'!$AN$11:$AN$13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data'!$O$11:$O$13</c:f>
              <c:strCache>
                <c:ptCount val="0"/>
              </c:strCache>
            </c:strRef>
          </c:cat>
          <c:val>
            <c:numRef>
              <c:f>'Diagnostic chart data'!$P$11:$P$13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data'!$O$11:$O$13</c:f>
              <c:strCache>
                <c:ptCount val="0"/>
              </c:strCache>
            </c:strRef>
          </c:cat>
          <c:val>
            <c:numRef>
              <c:f>'Diagnostic chart data'!$Q$11:$Q$13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data'!$O$11:$O$13</c:f>
              <c:strCache>
                <c:ptCount val="0"/>
              </c:strCache>
            </c:strRef>
          </c:cat>
          <c:val>
            <c:numRef>
              <c:f>'Diagnostic chart data'!$R$11:$R$13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data'!$O$11:$O$13</c:f>
              <c:strCache>
                <c:ptCount val="0"/>
              </c:strCache>
            </c:strRef>
          </c:cat>
          <c:val>
            <c:numRef>
              <c:f>'Diagnostic chart data'!$S$11:$S$13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data'!$AQ$11:$AQ$13</c:f>
              <c:strCache>
                <c:ptCount val="0"/>
              </c:strCache>
            </c:strRef>
          </c:cat>
          <c:val>
            <c:numRef>
              <c:f>'Diagnostic chart data'!$AR$11:$AR$13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data'!$AQ$11:$AQ$13</c:f>
              <c:strCache>
                <c:ptCount val="0"/>
              </c:strCache>
            </c:strRef>
          </c:cat>
          <c:val>
            <c:numRef>
              <c:f>'Diagnostic chart data'!$AS$11:$AS$13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data'!$AQ$11:$AQ$13</c:f>
              <c:strCache>
                <c:ptCount val="0"/>
              </c:strCache>
            </c:strRef>
          </c:cat>
          <c:val>
            <c:numRef>
              <c:f>'Diagnostic chart data'!$AT$11:$AT$13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data'!$AQ$11:$AQ$13</c:f>
              <c:strCache>
                <c:ptCount val="0"/>
              </c:strCache>
            </c:strRef>
          </c:cat>
          <c:val>
            <c:numRef>
              <c:f>'Diagnostic chart data'!$AU$11:$AU$13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data'!$V$11:$V$13</c:f>
              <c:strCache>
                <c:ptCount val="0"/>
              </c:strCache>
            </c:strRef>
          </c:cat>
          <c:val>
            <c:numRef>
              <c:f>'Diagnostic chart data'!$W$11:$W$13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data'!$V$11:$V$13</c:f>
              <c:strCache>
                <c:ptCount val="0"/>
              </c:strCache>
            </c:strRef>
          </c:cat>
          <c:val>
            <c:numRef>
              <c:f>'Diagnostic chart data'!$X$11:$X$13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data'!$V$11:$V$13</c:f>
              <c:strCache>
                <c:ptCount val="0"/>
              </c:strCache>
            </c:strRef>
          </c:cat>
          <c:val>
            <c:numRef>
              <c:f>'Diagnostic chart data'!$Y$11:$Y$13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data'!$V$11:$V$13</c:f>
              <c:strCache>
                <c:ptCount val="0"/>
              </c:strCache>
            </c:strRef>
          </c:cat>
          <c:val>
            <c:numRef>
              <c:f>'Diagnostic chart data'!$Z$11:$Z$13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data'!$AX$11:$AX$13</c:f>
              <c:strCache>
                <c:ptCount val="0"/>
              </c:strCache>
            </c:strRef>
          </c:cat>
          <c:val>
            <c:numRef>
              <c:f>'Diagnostic chart data'!$AY$11:$AY$13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data'!$AX$11:$AX$13</c:f>
              <c:strCache>
                <c:ptCount val="0"/>
              </c:strCache>
            </c:strRef>
          </c:cat>
          <c:val>
            <c:numRef>
              <c:f>'Diagnostic chart data'!$AZ$11:$AZ$13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data'!$AX$11:$AX$13</c:f>
              <c:strCache>
                <c:ptCount val="0"/>
              </c:strCache>
            </c:strRef>
          </c:cat>
          <c:val>
            <c:numRef>
              <c:f>'Diagnostic chart data'!$BA$11:$BA$13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data'!$AX$11:$AX$13</c:f>
              <c:strCache>
                <c:ptCount val="0"/>
              </c:strCache>
            </c:strRef>
          </c:cat>
          <c:val>
            <c:numRef>
              <c:f>'Diagnostic chart data'!$BB$11:$BB$13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data'!$A$11:$A$13</c:f>
              <c:strCache>
                <c:ptCount val="0"/>
              </c:strCache>
            </c:strRef>
          </c:cat>
          <c:val>
            <c:numRef>
              <c:f>'Diagnostic chart data'!$F$11:$F$13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data'!$A$11:$A$13</c:f>
              <c:strCache>
                <c:ptCount val="0"/>
              </c:strCache>
            </c:strRef>
          </c:cat>
          <c:val>
            <c:numRef>
              <c:f>'Diagnostic chart data'!$G$11:$G$13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data'!$AC$11:$AC$13</c:f>
              <c:strCache>
                <c:ptCount val="0"/>
              </c:strCache>
            </c:strRef>
          </c:cat>
          <c:val>
            <c:numRef>
              <c:f>'Diagnostic chart data'!$AH$11:$AH$13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data'!$AC$11:$AC$13</c:f>
              <c:strCache>
                <c:ptCount val="0"/>
              </c:strCache>
            </c:strRef>
          </c:cat>
          <c:val>
            <c:numRef>
              <c:f>'Diagnostic chart data'!$AI$11:$AI$13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data'!$H$11:$H$13</c:f>
              <c:strCache>
                <c:ptCount val="0"/>
              </c:strCache>
            </c:strRef>
          </c:cat>
          <c:val>
            <c:numRef>
              <c:f>'Diagnostic chart data'!$M$11:$M$13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data'!$H$11:$H$13</c:f>
              <c:strCache>
                <c:ptCount val="0"/>
              </c:strCache>
            </c:strRef>
          </c:cat>
          <c:val>
            <c:numRef>
              <c:f>'Diagnostic chart data'!$N$11:$N$13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data'!$AJ$11:$AJ$13</c:f>
              <c:strCache>
                <c:ptCount val="0"/>
              </c:strCache>
            </c:strRef>
          </c:cat>
          <c:val>
            <c:numRef>
              <c:f>'Diagnostic chart data'!$AO$11:$AO$13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data'!$AJ$11:$AJ$13</c:f>
              <c:strCache>
                <c:ptCount val="0"/>
              </c:strCache>
            </c:strRef>
          </c:cat>
          <c:val>
            <c:numRef>
              <c:f>'Diagnostic chart data'!$AP$11:$AP$13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data'!$O$11:$O$13</c:f>
              <c:strCache>
                <c:ptCount val="0"/>
              </c:strCache>
            </c:strRef>
          </c:cat>
          <c:val>
            <c:numRef>
              <c:f>'Diagnostic chart data'!$T$11:$T$13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data'!$O$11:$O$13</c:f>
              <c:strCache>
                <c:ptCount val="0"/>
              </c:strCache>
            </c:strRef>
          </c:cat>
          <c:val>
            <c:numRef>
              <c:f>'Diagnostic chart data'!$U$11:$U$13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data'!$AQ$11:$AQ$13</c:f>
              <c:strCache>
                <c:ptCount val="0"/>
              </c:strCache>
            </c:strRef>
          </c:cat>
          <c:val>
            <c:numRef>
              <c:f>'Diagnostic chart data'!$AV$11:$AV$13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data'!$AQ$11:$AQ$13</c:f>
              <c:strCache>
                <c:ptCount val="0"/>
              </c:strCache>
            </c:strRef>
          </c:cat>
          <c:val>
            <c:numRef>
              <c:f>'Diagnostic chart data'!$AW$11:$AW$13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data'!$V$11:$V$13</c:f>
              <c:strCache>
                <c:ptCount val="0"/>
              </c:strCache>
            </c:strRef>
          </c:cat>
          <c:val>
            <c:numRef>
              <c:f>'Diagnostic chart data'!$AA$11:$AA$13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data'!$V$11:$V$13</c:f>
              <c:strCache>
                <c:ptCount val="0"/>
              </c:strCache>
            </c:strRef>
          </c:cat>
          <c:val>
            <c:numRef>
              <c:f>'Diagnostic chart data'!$AB$11:$AB$13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data'!$AX$11:$AX$13</c:f>
              <c:strCache>
                <c:ptCount val="0"/>
              </c:strCache>
            </c:strRef>
          </c:cat>
          <c:val>
            <c:numRef>
              <c:f>'Diagnostic chart data'!$BC$11:$BC$13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data'!$AX$11:$AX$13</c:f>
              <c:strCache>
                <c:ptCount val="0"/>
              </c:strCache>
            </c:strRef>
          </c:cat>
          <c:val>
            <c:numRef>
              <c:f>'Diagnostic chart data'!$BD$11:$BD$13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data'!$A$17:$A$19</c:f>
              <c:strCache>
                <c:ptCount val="0"/>
              </c:strCache>
            </c:strRef>
          </c:cat>
          <c:val>
            <c:numRef>
              <c:f>'Diagnostic chart data'!$B$17:$B$19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data'!$A$17:$A$19</c:f>
              <c:strCache>
                <c:ptCount val="0"/>
              </c:strCache>
            </c:strRef>
          </c:cat>
          <c:val>
            <c:numRef>
              <c:f>'Diagnostic chart data'!$C$17:$C$19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data'!$A$17:$A$19</c:f>
              <c:strCache>
                <c:ptCount val="0"/>
              </c:strCache>
            </c:strRef>
          </c:cat>
          <c:val>
            <c:numRef>
              <c:f>'Diagnostic chart data'!$D$17:$D$19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data'!$A$17:$A$19</c:f>
              <c:strCache>
                <c:ptCount val="0"/>
              </c:strCache>
            </c:strRef>
          </c:cat>
          <c:val>
            <c:numRef>
              <c:f>'Diagnostic chart data'!$E$17:$E$19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data'!$AC$17:$AC$19</c:f>
              <c:strCache>
                <c:ptCount val="0"/>
              </c:strCache>
            </c:strRef>
          </c:cat>
          <c:val>
            <c:numRef>
              <c:f>'Diagnostic chart data'!$AD$17:$AD$19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data'!$AC$17:$AC$19</c:f>
              <c:strCache>
                <c:ptCount val="0"/>
              </c:strCache>
            </c:strRef>
          </c:cat>
          <c:val>
            <c:numRef>
              <c:f>'Diagnostic chart data'!$AE$17:$AE$19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data'!$AC$17:$AC$19</c:f>
              <c:strCache>
                <c:ptCount val="0"/>
              </c:strCache>
            </c:strRef>
          </c:cat>
          <c:val>
            <c:numRef>
              <c:f>'Diagnostic chart data'!$AF$17:$AF$19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data'!$AC$17:$AC$19</c:f>
              <c:strCache>
                <c:ptCount val="0"/>
              </c:strCache>
            </c:strRef>
          </c:cat>
          <c:val>
            <c:numRef>
              <c:f>'Diagnostic chart data'!$AG$17:$AG$19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data'!$H$17:$H$19</c:f>
              <c:strCache>
                <c:ptCount val="0"/>
              </c:strCache>
            </c:strRef>
          </c:cat>
          <c:val>
            <c:numRef>
              <c:f>'Diagnostic chart data'!$I$17:$I$19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data'!$H$17:$H$19</c:f>
              <c:strCache>
                <c:ptCount val="0"/>
              </c:strCache>
            </c:strRef>
          </c:cat>
          <c:val>
            <c:numRef>
              <c:f>'Diagnostic chart data'!$J$17:$J$19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data'!$H$17:$H$19</c:f>
              <c:strCache>
                <c:ptCount val="0"/>
              </c:strCache>
            </c:strRef>
          </c:cat>
          <c:val>
            <c:numRef>
              <c:f>'Diagnostic chart data'!$K$17:$K$19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data'!$H$17:$H$19</c:f>
              <c:strCache>
                <c:ptCount val="0"/>
              </c:strCache>
            </c:strRef>
          </c:cat>
          <c:val>
            <c:numRef>
              <c:f>'Diagnostic chart data'!$L$17:$L$19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data'!$AJ$17:$AJ$19</c:f>
              <c:strCache>
                <c:ptCount val="0"/>
              </c:strCache>
            </c:strRef>
          </c:cat>
          <c:val>
            <c:numRef>
              <c:f>'Diagnostic chart data'!$AK$17:$AK$19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data'!$AJ$17:$AJ$19</c:f>
              <c:strCache>
                <c:ptCount val="0"/>
              </c:strCache>
            </c:strRef>
          </c:cat>
          <c:val>
            <c:numRef>
              <c:f>'Diagnostic chart data'!$AL$17:$AL$19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data'!$AJ$17:$AJ$19</c:f>
              <c:strCache>
                <c:ptCount val="0"/>
              </c:strCache>
            </c:strRef>
          </c:cat>
          <c:val>
            <c:numRef>
              <c:f>'Diagnostic chart data'!$AM$17:$AM$19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data'!$AJ$17:$AJ$19</c:f>
              <c:strCache>
                <c:ptCount val="0"/>
              </c:strCache>
            </c:strRef>
          </c:cat>
          <c:val>
            <c:numRef>
              <c:f>'Diagnostic chart data'!$AN$17:$AN$19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data'!$O$17:$O$19</c:f>
              <c:strCache>
                <c:ptCount val="0"/>
              </c:strCache>
            </c:strRef>
          </c:cat>
          <c:val>
            <c:numRef>
              <c:f>'Diagnostic chart data'!$P$17:$P$19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data'!$O$17:$O$19</c:f>
              <c:strCache>
                <c:ptCount val="0"/>
              </c:strCache>
            </c:strRef>
          </c:cat>
          <c:val>
            <c:numRef>
              <c:f>'Diagnostic chart data'!$Q$17:$Q$19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data'!$O$17:$O$19</c:f>
              <c:strCache>
                <c:ptCount val="0"/>
              </c:strCache>
            </c:strRef>
          </c:cat>
          <c:val>
            <c:numRef>
              <c:f>'Diagnostic chart data'!$R$17:$R$19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data'!$O$17:$O$19</c:f>
              <c:strCache>
                <c:ptCount val="0"/>
              </c:strCache>
            </c:strRef>
          </c:cat>
          <c:val>
            <c:numRef>
              <c:f>'Diagnostic chart data'!$S$17:$S$19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data'!$AQ$17:$AQ$19</c:f>
              <c:strCache>
                <c:ptCount val="0"/>
              </c:strCache>
            </c:strRef>
          </c:cat>
          <c:val>
            <c:numRef>
              <c:f>'Diagnostic chart data'!$AR$17:$AR$19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data'!$AQ$17:$AQ$19</c:f>
              <c:strCache>
                <c:ptCount val="0"/>
              </c:strCache>
            </c:strRef>
          </c:cat>
          <c:val>
            <c:numRef>
              <c:f>'Diagnostic chart data'!$AS$17:$AS$19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data'!$AQ$17:$AQ$19</c:f>
              <c:strCache>
                <c:ptCount val="0"/>
              </c:strCache>
            </c:strRef>
          </c:cat>
          <c:val>
            <c:numRef>
              <c:f>'Diagnostic chart data'!$AT$17:$AT$19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data'!$AQ$17:$AQ$19</c:f>
              <c:strCache>
                <c:ptCount val="0"/>
              </c:strCache>
            </c:strRef>
          </c:cat>
          <c:val>
            <c:numRef>
              <c:f>'Diagnostic chart data'!$AU$17:$AU$19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data'!$V$17:$V$19</c:f>
              <c:strCache>
                <c:ptCount val="0"/>
              </c:strCache>
            </c:strRef>
          </c:cat>
          <c:val>
            <c:numRef>
              <c:f>'Diagnostic chart data'!$W$17:$W$19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data'!$V$17:$V$19</c:f>
              <c:strCache>
                <c:ptCount val="0"/>
              </c:strCache>
            </c:strRef>
          </c:cat>
          <c:val>
            <c:numRef>
              <c:f>'Diagnostic chart data'!$X$17:$X$19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data'!$V$17:$V$19</c:f>
              <c:strCache>
                <c:ptCount val="0"/>
              </c:strCache>
            </c:strRef>
          </c:cat>
          <c:val>
            <c:numRef>
              <c:f>'Diagnostic chart data'!$Y$17:$Y$19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data'!$V$17:$V$19</c:f>
              <c:strCache>
                <c:ptCount val="0"/>
              </c:strCache>
            </c:strRef>
          </c:cat>
          <c:val>
            <c:numRef>
              <c:f>'Diagnostic chart data'!$Z$17:$Z$19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data'!$AX$17:$AX$19</c:f>
              <c:strCache>
                <c:ptCount val="0"/>
              </c:strCache>
            </c:strRef>
          </c:cat>
          <c:val>
            <c:numRef>
              <c:f>'Diagnostic chart data'!$AY$17:$AY$19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data'!$AX$17:$AX$19</c:f>
              <c:strCache>
                <c:ptCount val="0"/>
              </c:strCache>
            </c:strRef>
          </c:cat>
          <c:val>
            <c:numRef>
              <c:f>'Diagnostic chart data'!$AZ$17:$AZ$19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data'!$AX$17:$AX$19</c:f>
              <c:strCache>
                <c:ptCount val="0"/>
              </c:strCache>
            </c:strRef>
          </c:cat>
          <c:val>
            <c:numRef>
              <c:f>'Diagnostic chart data'!$BA$17:$BA$19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data'!$AX$17:$AX$19</c:f>
              <c:strCache>
                <c:ptCount val="0"/>
              </c:strCache>
            </c:strRef>
          </c:cat>
          <c:val>
            <c:numRef>
              <c:f>'Diagnostic chart data'!$BB$17:$BB$19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data'!$A$17:$A$19</c:f>
              <c:strCache>
                <c:ptCount val="0"/>
              </c:strCache>
            </c:strRef>
          </c:cat>
          <c:val>
            <c:numRef>
              <c:f>'Diagnostic chart data'!$F$17:$F$19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data'!$A$17:$A$19</c:f>
              <c:strCache>
                <c:ptCount val="0"/>
              </c:strCache>
            </c:strRef>
          </c:cat>
          <c:val>
            <c:numRef>
              <c:f>'Diagnostic chart data'!$G$17:$G$19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data'!$AC$17:$AC$19</c:f>
              <c:strCache>
                <c:ptCount val="0"/>
              </c:strCache>
            </c:strRef>
          </c:cat>
          <c:val>
            <c:numRef>
              <c:f>'Diagnostic chart data'!$AH$17:$AH$19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data'!$AC$17:$AC$19</c:f>
              <c:strCache>
                <c:ptCount val="0"/>
              </c:strCache>
            </c:strRef>
          </c:cat>
          <c:val>
            <c:numRef>
              <c:f>'Diagnostic chart data'!$AI$17:$AI$19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data'!$H$17:$H$19</c:f>
              <c:strCache>
                <c:ptCount val="0"/>
              </c:strCache>
            </c:strRef>
          </c:cat>
          <c:val>
            <c:numRef>
              <c:f>'Diagnostic chart data'!$M$17:$M$19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data'!$H$17:$H$19</c:f>
              <c:strCache>
                <c:ptCount val="0"/>
              </c:strCache>
            </c:strRef>
          </c:cat>
          <c:val>
            <c:numRef>
              <c:f>'Diagnostic chart data'!$N$17:$N$19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data'!$AJ$17:$AJ$19</c:f>
              <c:strCache>
                <c:ptCount val="0"/>
              </c:strCache>
            </c:strRef>
          </c:cat>
          <c:val>
            <c:numRef>
              <c:f>'Diagnostic chart data'!$AO$17:$AO$19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data'!$AJ$17:$AJ$19</c:f>
              <c:strCache>
                <c:ptCount val="0"/>
              </c:strCache>
            </c:strRef>
          </c:cat>
          <c:val>
            <c:numRef>
              <c:f>'Diagnostic chart data'!$AP$17:$AP$19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data'!$O$17:$O$19</c:f>
              <c:strCache>
                <c:ptCount val="0"/>
              </c:strCache>
            </c:strRef>
          </c:cat>
          <c:val>
            <c:numRef>
              <c:f>'Diagnostic chart data'!$T$17:$T$19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data'!$O$17:$O$19</c:f>
              <c:strCache>
                <c:ptCount val="0"/>
              </c:strCache>
            </c:strRef>
          </c:cat>
          <c:val>
            <c:numRef>
              <c:f>'Diagnostic chart data'!$U$17:$U$19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data'!$AQ$17:$AQ$19</c:f>
              <c:strCache>
                <c:ptCount val="0"/>
              </c:strCache>
            </c:strRef>
          </c:cat>
          <c:val>
            <c:numRef>
              <c:f>'Diagnostic chart data'!$AV$17:$AV$19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data'!$AQ$17:$AQ$19</c:f>
              <c:strCache>
                <c:ptCount val="0"/>
              </c:strCache>
            </c:strRef>
          </c:cat>
          <c:val>
            <c:numRef>
              <c:f>'Diagnostic chart data'!$AW$17:$AW$19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data'!$V$17:$V$19</c:f>
              <c:strCache>
                <c:ptCount val="0"/>
              </c:strCache>
            </c:strRef>
          </c:cat>
          <c:val>
            <c:numRef>
              <c:f>'Diagnostic chart data'!$AA$17:$AA$19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data'!$V$17:$V$19</c:f>
              <c:strCache>
                <c:ptCount val="0"/>
              </c:strCache>
            </c:strRef>
          </c:cat>
          <c:val>
            <c:numRef>
              <c:f>'Diagnostic chart data'!$AB$17:$AB$19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data'!$AX$17:$AX$19</c:f>
              <c:strCache>
                <c:ptCount val="0"/>
              </c:strCache>
            </c:strRef>
          </c:cat>
          <c:val>
            <c:numRef>
              <c:f>'Diagnostic chart data'!$BC$17:$BC$19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data'!$AX$17:$AX$19</c:f>
              <c:strCache>
                <c:ptCount val="0"/>
              </c:strCache>
            </c:strRef>
          </c:cat>
          <c:val>
            <c:numRef>
              <c:f>'Diagnostic chart data'!$BD$17:$BD$19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data'!$A$23:$A$25</c:f>
              <c:strCache>
                <c:ptCount val="0"/>
              </c:strCache>
            </c:strRef>
          </c:cat>
          <c:val>
            <c:numRef>
              <c:f>'Diagnostic chart data'!$B$23:$B$25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data'!$A$23:$A$25</c:f>
              <c:strCache>
                <c:ptCount val="0"/>
              </c:strCache>
            </c:strRef>
          </c:cat>
          <c:val>
            <c:numRef>
              <c:f>'Diagnostic chart data'!$C$23:$C$25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data'!$A$23:$A$25</c:f>
              <c:strCache>
                <c:ptCount val="0"/>
              </c:strCache>
            </c:strRef>
          </c:cat>
          <c:val>
            <c:numRef>
              <c:f>'Diagnostic chart data'!$D$23:$D$25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data'!$A$23:$A$25</c:f>
              <c:strCache>
                <c:ptCount val="0"/>
              </c:strCache>
            </c:strRef>
          </c:cat>
          <c:val>
            <c:numRef>
              <c:f>'Diagnostic chart data'!$E$23:$E$25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data'!$AC$23:$AC$25</c:f>
              <c:strCache>
                <c:ptCount val="0"/>
              </c:strCache>
            </c:strRef>
          </c:cat>
          <c:val>
            <c:numRef>
              <c:f>'Diagnostic chart data'!$AD$23:$AD$25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data'!$AC$23:$AC$25</c:f>
              <c:strCache>
                <c:ptCount val="0"/>
              </c:strCache>
            </c:strRef>
          </c:cat>
          <c:val>
            <c:numRef>
              <c:f>'Diagnostic chart data'!$AE$23:$AE$25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data'!$AC$23:$AC$25</c:f>
              <c:strCache>
                <c:ptCount val="0"/>
              </c:strCache>
            </c:strRef>
          </c:cat>
          <c:val>
            <c:numRef>
              <c:f>'Diagnostic chart data'!$AF$23:$AF$25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data'!$AC$23:$AC$25</c:f>
              <c:strCache>
                <c:ptCount val="0"/>
              </c:strCache>
            </c:strRef>
          </c:cat>
          <c:val>
            <c:numRef>
              <c:f>'Diagnostic chart data'!$AG$23:$AG$25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data'!$H$23:$H$25</c:f>
              <c:strCache>
                <c:ptCount val="0"/>
              </c:strCache>
            </c:strRef>
          </c:cat>
          <c:val>
            <c:numRef>
              <c:f>'Diagnostic chart data'!$I$23:$I$25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data'!$H$23:$H$25</c:f>
              <c:strCache>
                <c:ptCount val="0"/>
              </c:strCache>
            </c:strRef>
          </c:cat>
          <c:val>
            <c:numRef>
              <c:f>'Diagnostic chart data'!$J$23:$J$25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data'!$H$23:$H$25</c:f>
              <c:strCache>
                <c:ptCount val="0"/>
              </c:strCache>
            </c:strRef>
          </c:cat>
          <c:val>
            <c:numRef>
              <c:f>'Diagnostic chart data'!$K$23:$K$25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data'!$H$23:$H$25</c:f>
              <c:strCache>
                <c:ptCount val="0"/>
              </c:strCache>
            </c:strRef>
          </c:cat>
          <c:val>
            <c:numRef>
              <c:f>'Diagnostic chart data'!$L$23:$L$25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data'!$AJ$23:$AJ$25</c:f>
              <c:strCache>
                <c:ptCount val="0"/>
              </c:strCache>
            </c:strRef>
          </c:cat>
          <c:val>
            <c:numRef>
              <c:f>'Diagnostic chart data'!$AK$23:$AK$25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data'!$AJ$23:$AJ$25</c:f>
              <c:strCache>
                <c:ptCount val="0"/>
              </c:strCache>
            </c:strRef>
          </c:cat>
          <c:val>
            <c:numRef>
              <c:f>'Diagnostic chart data'!$AL$23:$AL$25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data'!$AJ$23:$AJ$25</c:f>
              <c:strCache>
                <c:ptCount val="0"/>
              </c:strCache>
            </c:strRef>
          </c:cat>
          <c:val>
            <c:numRef>
              <c:f>'Diagnostic chart data'!$AM$23:$AM$25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data'!$AJ$23:$AJ$25</c:f>
              <c:strCache>
                <c:ptCount val="0"/>
              </c:strCache>
            </c:strRef>
          </c:cat>
          <c:val>
            <c:numRef>
              <c:f>'Diagnostic chart data'!$AN$23:$AN$25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data'!$O$23:$O$25</c:f>
              <c:strCache>
                <c:ptCount val="0"/>
              </c:strCache>
            </c:strRef>
          </c:cat>
          <c:val>
            <c:numRef>
              <c:f>'Diagnostic chart data'!$P$23:$P$25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data'!$O$23:$O$25</c:f>
              <c:strCache>
                <c:ptCount val="0"/>
              </c:strCache>
            </c:strRef>
          </c:cat>
          <c:val>
            <c:numRef>
              <c:f>'Diagnostic chart data'!$Q$23:$Q$25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data'!$O$23:$O$25</c:f>
              <c:strCache>
                <c:ptCount val="0"/>
              </c:strCache>
            </c:strRef>
          </c:cat>
          <c:val>
            <c:numRef>
              <c:f>'Diagnostic chart data'!$R$23:$R$25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data'!$O$23:$O$25</c:f>
              <c:strCache>
                <c:ptCount val="0"/>
              </c:strCache>
            </c:strRef>
          </c:cat>
          <c:val>
            <c:numRef>
              <c:f>'Diagnostic chart data'!$S$23:$S$25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data'!$AQ$23:$AQ$25</c:f>
              <c:strCache>
                <c:ptCount val="0"/>
              </c:strCache>
            </c:strRef>
          </c:cat>
          <c:val>
            <c:numRef>
              <c:f>'Diagnostic chart data'!$AR$23:$AR$25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data'!$AQ$23:$AQ$25</c:f>
              <c:strCache>
                <c:ptCount val="0"/>
              </c:strCache>
            </c:strRef>
          </c:cat>
          <c:val>
            <c:numRef>
              <c:f>'Diagnostic chart data'!$AS$23:$AS$25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data'!$AQ$23:$AQ$25</c:f>
              <c:strCache>
                <c:ptCount val="0"/>
              </c:strCache>
            </c:strRef>
          </c:cat>
          <c:val>
            <c:numRef>
              <c:f>'Diagnostic chart data'!$AT$23:$AT$25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data'!$AQ$23:$AQ$25</c:f>
              <c:strCache>
                <c:ptCount val="0"/>
              </c:strCache>
            </c:strRef>
          </c:cat>
          <c:val>
            <c:numRef>
              <c:f>'Diagnostic chart data'!$AU$23:$AU$25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data'!$V$23:$V$25</c:f>
              <c:strCache>
                <c:ptCount val="0"/>
              </c:strCache>
            </c:strRef>
          </c:cat>
          <c:val>
            <c:numRef>
              <c:f>'Diagnostic chart data'!$W$23:$W$25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data'!$V$23:$V$25</c:f>
              <c:strCache>
                <c:ptCount val="0"/>
              </c:strCache>
            </c:strRef>
          </c:cat>
          <c:val>
            <c:numRef>
              <c:f>'Diagnostic chart data'!$X$23:$X$25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data'!$V$23:$V$25</c:f>
              <c:strCache>
                <c:ptCount val="0"/>
              </c:strCache>
            </c:strRef>
          </c:cat>
          <c:val>
            <c:numRef>
              <c:f>'Diagnostic chart data'!$Y$23:$Y$25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data'!$V$23:$V$25</c:f>
              <c:strCache>
                <c:ptCount val="0"/>
              </c:strCache>
            </c:strRef>
          </c:cat>
          <c:val>
            <c:numRef>
              <c:f>'Diagnostic chart data'!$Z$23:$Z$25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data'!$AX$23:$AX$25</c:f>
              <c:strCache>
                <c:ptCount val="0"/>
              </c:strCache>
            </c:strRef>
          </c:cat>
          <c:val>
            <c:numRef>
              <c:f>'Diagnostic chart data'!$AY$23:$AY$25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data'!$AX$23:$AX$25</c:f>
              <c:strCache>
                <c:ptCount val="0"/>
              </c:strCache>
            </c:strRef>
          </c:cat>
          <c:val>
            <c:numRef>
              <c:f>'Diagnostic chart data'!$AZ$23:$AZ$25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data'!$AX$23:$AX$25</c:f>
              <c:strCache>
                <c:ptCount val="0"/>
              </c:strCache>
            </c:strRef>
          </c:cat>
          <c:val>
            <c:numRef>
              <c:f>'Diagnostic chart data'!$BA$23:$BA$25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data'!$AX$23:$AX$25</c:f>
              <c:strCache>
                <c:ptCount val="0"/>
              </c:strCache>
            </c:strRef>
          </c:cat>
          <c:val>
            <c:numRef>
              <c:f>'Diagnostic chart data'!$BB$23:$BB$25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data'!$A$23:$A$25</c:f>
              <c:strCache>
                <c:ptCount val="0"/>
              </c:strCache>
            </c:strRef>
          </c:cat>
          <c:val>
            <c:numRef>
              <c:f>'Diagnostic chart data'!$F$23:$F$25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data'!$A$23:$A$25</c:f>
              <c:strCache>
                <c:ptCount val="0"/>
              </c:strCache>
            </c:strRef>
          </c:cat>
          <c:val>
            <c:numRef>
              <c:f>'Diagnostic chart data'!$G$23:$G$25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data'!$AC$23:$AC$25</c:f>
              <c:strCache>
                <c:ptCount val="0"/>
              </c:strCache>
            </c:strRef>
          </c:cat>
          <c:val>
            <c:numRef>
              <c:f>'Diagnostic chart data'!$AH$23:$AH$25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data'!$AC$23:$AC$25</c:f>
              <c:strCache>
                <c:ptCount val="0"/>
              </c:strCache>
            </c:strRef>
          </c:cat>
          <c:val>
            <c:numRef>
              <c:f>'Diagnostic chart data'!$AI$23:$AI$25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data'!$H$23:$H$25</c:f>
              <c:strCache>
                <c:ptCount val="0"/>
              </c:strCache>
            </c:strRef>
          </c:cat>
          <c:val>
            <c:numRef>
              <c:f>'Diagnostic chart data'!$M$23:$M$25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data'!$H$23:$H$25</c:f>
              <c:strCache>
                <c:ptCount val="0"/>
              </c:strCache>
            </c:strRef>
          </c:cat>
          <c:val>
            <c:numRef>
              <c:f>'Diagnostic chart data'!$N$23:$N$25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data'!$AJ$23:$AJ$25</c:f>
              <c:strCache>
                <c:ptCount val="0"/>
              </c:strCache>
            </c:strRef>
          </c:cat>
          <c:val>
            <c:numRef>
              <c:f>'Diagnostic chart data'!$AO$23:$AO$25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data'!$AJ$23:$AJ$25</c:f>
              <c:strCache>
                <c:ptCount val="0"/>
              </c:strCache>
            </c:strRef>
          </c:cat>
          <c:val>
            <c:numRef>
              <c:f>'Diagnostic chart data'!$AP$23:$AP$25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data'!$O$23:$O$25</c:f>
              <c:strCache>
                <c:ptCount val="0"/>
              </c:strCache>
            </c:strRef>
          </c:cat>
          <c:val>
            <c:numRef>
              <c:f>'Diagnostic chart data'!$T$23:$T$25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data'!$O$23:$O$25</c:f>
              <c:strCache>
                <c:ptCount val="0"/>
              </c:strCache>
            </c:strRef>
          </c:cat>
          <c:val>
            <c:numRef>
              <c:f>'Diagnostic chart data'!$U$23:$U$25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data'!$AQ$23:$AQ$25</c:f>
              <c:strCache>
                <c:ptCount val="0"/>
              </c:strCache>
            </c:strRef>
          </c:cat>
          <c:val>
            <c:numRef>
              <c:f>'Diagnostic chart data'!$AV$23:$AV$25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data'!$AQ$23:$AQ$25</c:f>
              <c:strCache>
                <c:ptCount val="0"/>
              </c:strCache>
            </c:strRef>
          </c:cat>
          <c:val>
            <c:numRef>
              <c:f>'Diagnostic chart data'!$AW$23:$AW$25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data'!$V$23:$V$25</c:f>
              <c:strCache>
                <c:ptCount val="0"/>
              </c:strCache>
            </c:strRef>
          </c:cat>
          <c:val>
            <c:numRef>
              <c:f>'Diagnostic chart data'!$AA$23:$AA$25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data'!$V$23:$V$25</c:f>
              <c:strCache>
                <c:ptCount val="0"/>
              </c:strCache>
            </c:strRef>
          </c:cat>
          <c:val>
            <c:numRef>
              <c:f>'Diagnostic chart data'!$AB$23:$AB$25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data'!$AX$23:$AX$25</c:f>
              <c:strCache>
                <c:ptCount val="0"/>
              </c:strCache>
            </c:strRef>
          </c:cat>
          <c:val>
            <c:numRef>
              <c:f>'Diagnostic chart data'!$BC$23:$BC$25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data'!$AX$23:$AX$25</c:f>
              <c:strCache>
                <c:ptCount val="0"/>
              </c:strCache>
            </c:strRef>
          </c:cat>
          <c:val>
            <c:numRef>
              <c:f>'Diagnostic chart data'!$BD$23:$BD$25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data'!$A$29:$A$31</c:f>
              <c:strCache>
                <c:ptCount val="0"/>
              </c:strCache>
            </c:strRef>
          </c:cat>
          <c:val>
            <c:numRef>
              <c:f>'Diagnostic chart data'!$B$29:$B$31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data'!$A$29:$A$31</c:f>
              <c:strCache>
                <c:ptCount val="0"/>
              </c:strCache>
            </c:strRef>
          </c:cat>
          <c:val>
            <c:numRef>
              <c:f>'Diagnostic chart data'!$C$29:$C$31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data'!$A$29:$A$31</c:f>
              <c:strCache>
                <c:ptCount val="0"/>
              </c:strCache>
            </c:strRef>
          </c:cat>
          <c:val>
            <c:numRef>
              <c:f>'Diagnostic chart data'!$D$29:$D$31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data'!$A$29:$A$31</c:f>
              <c:strCache>
                <c:ptCount val="0"/>
              </c:strCache>
            </c:strRef>
          </c:cat>
          <c:val>
            <c:numRef>
              <c:f>'Diagnostic chart data'!$E$29:$E$31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data'!$AC$29:$AC$31</c:f>
              <c:strCache>
                <c:ptCount val="0"/>
              </c:strCache>
            </c:strRef>
          </c:cat>
          <c:val>
            <c:numRef>
              <c:f>'Diagnostic chart data'!$AD$29:$AD$31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data'!$AC$29:$AC$31</c:f>
              <c:strCache>
                <c:ptCount val="0"/>
              </c:strCache>
            </c:strRef>
          </c:cat>
          <c:val>
            <c:numRef>
              <c:f>'Diagnostic chart data'!$AE$29:$AE$31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data'!$AC$29:$AC$31</c:f>
              <c:strCache>
                <c:ptCount val="0"/>
              </c:strCache>
            </c:strRef>
          </c:cat>
          <c:val>
            <c:numRef>
              <c:f>'Diagnostic chart data'!$AF$29:$AF$31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data'!$AC$29:$AC$31</c:f>
              <c:strCache>
                <c:ptCount val="0"/>
              </c:strCache>
            </c:strRef>
          </c:cat>
          <c:val>
            <c:numRef>
              <c:f>'Diagnostic chart data'!$AG$29:$AG$31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data'!$H$29:$H$31</c:f>
              <c:strCache>
                <c:ptCount val="0"/>
              </c:strCache>
            </c:strRef>
          </c:cat>
          <c:val>
            <c:numRef>
              <c:f>'Diagnostic chart data'!$I$29:$I$31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data'!$H$29:$H$31</c:f>
              <c:strCache>
                <c:ptCount val="0"/>
              </c:strCache>
            </c:strRef>
          </c:cat>
          <c:val>
            <c:numRef>
              <c:f>'Diagnostic chart data'!$J$29:$J$31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data'!$H$29:$H$31</c:f>
              <c:strCache>
                <c:ptCount val="0"/>
              </c:strCache>
            </c:strRef>
          </c:cat>
          <c:val>
            <c:numRef>
              <c:f>'Diagnostic chart data'!$K$29:$K$31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data'!$H$29:$H$31</c:f>
              <c:strCache>
                <c:ptCount val="0"/>
              </c:strCache>
            </c:strRef>
          </c:cat>
          <c:val>
            <c:numRef>
              <c:f>'Diagnostic chart data'!$L$29:$L$31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data'!$AJ$29:$AJ$31</c:f>
              <c:strCache>
                <c:ptCount val="0"/>
              </c:strCache>
            </c:strRef>
          </c:cat>
          <c:val>
            <c:numRef>
              <c:f>'Diagnostic chart data'!$AK$29:$AK$31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data'!$AJ$29:$AJ$31</c:f>
              <c:strCache>
                <c:ptCount val="0"/>
              </c:strCache>
            </c:strRef>
          </c:cat>
          <c:val>
            <c:numRef>
              <c:f>'Diagnostic chart data'!$AL$29:$AL$31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data'!$AJ$29:$AJ$31</c:f>
              <c:strCache>
                <c:ptCount val="0"/>
              </c:strCache>
            </c:strRef>
          </c:cat>
          <c:val>
            <c:numRef>
              <c:f>'Diagnostic chart data'!$AM$29:$AM$31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data'!$AJ$29:$AJ$31</c:f>
              <c:strCache>
                <c:ptCount val="0"/>
              </c:strCache>
            </c:strRef>
          </c:cat>
          <c:val>
            <c:numRef>
              <c:f>'Diagnostic chart data'!$AN$29:$AN$31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data'!$O$29:$O$31</c:f>
              <c:strCache>
                <c:ptCount val="0"/>
              </c:strCache>
            </c:strRef>
          </c:cat>
          <c:val>
            <c:numRef>
              <c:f>'Diagnostic chart data'!$P$29:$P$31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data'!$O$29:$O$31</c:f>
              <c:strCache>
                <c:ptCount val="0"/>
              </c:strCache>
            </c:strRef>
          </c:cat>
          <c:val>
            <c:numRef>
              <c:f>'Diagnostic chart data'!$Q$29:$Q$31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data'!$O$29:$O$31</c:f>
              <c:strCache>
                <c:ptCount val="0"/>
              </c:strCache>
            </c:strRef>
          </c:cat>
          <c:val>
            <c:numRef>
              <c:f>'Diagnostic chart data'!$R$29:$R$31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data'!$O$29:$O$31</c:f>
              <c:strCache>
                <c:ptCount val="0"/>
              </c:strCache>
            </c:strRef>
          </c:cat>
          <c:val>
            <c:numRef>
              <c:f>'Diagnostic chart data'!$S$29:$S$31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data'!$AQ$29:$AQ$31</c:f>
              <c:strCache>
                <c:ptCount val="0"/>
              </c:strCache>
            </c:strRef>
          </c:cat>
          <c:val>
            <c:numRef>
              <c:f>'Diagnostic chart data'!$AR$29:$AR$31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data'!$AQ$29:$AQ$31</c:f>
              <c:strCache>
                <c:ptCount val="0"/>
              </c:strCache>
            </c:strRef>
          </c:cat>
          <c:val>
            <c:numRef>
              <c:f>'Diagnostic chart data'!$AS$29:$AS$31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data'!$AQ$29:$AQ$31</c:f>
              <c:strCache>
                <c:ptCount val="0"/>
              </c:strCache>
            </c:strRef>
          </c:cat>
          <c:val>
            <c:numRef>
              <c:f>'Diagnostic chart data'!$AT$29:$AT$31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data'!$AQ$29:$AQ$31</c:f>
              <c:strCache>
                <c:ptCount val="0"/>
              </c:strCache>
            </c:strRef>
          </c:cat>
          <c:val>
            <c:numRef>
              <c:f>'Diagnostic chart data'!$AU$29:$AU$31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data'!$V$29:$V$31</c:f>
              <c:strCache>
                <c:ptCount val="0"/>
              </c:strCache>
            </c:strRef>
          </c:cat>
          <c:val>
            <c:numRef>
              <c:f>'Diagnostic chart data'!$W$29:$W$31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data'!$V$29:$V$31</c:f>
              <c:strCache>
                <c:ptCount val="0"/>
              </c:strCache>
            </c:strRef>
          </c:cat>
          <c:val>
            <c:numRef>
              <c:f>'Diagnostic chart data'!$X$29:$X$31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data'!$V$29:$V$31</c:f>
              <c:strCache>
                <c:ptCount val="0"/>
              </c:strCache>
            </c:strRef>
          </c:cat>
          <c:val>
            <c:numRef>
              <c:f>'Diagnostic chart data'!$Y$29:$Y$31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data'!$V$29:$V$31</c:f>
              <c:strCache>
                <c:ptCount val="0"/>
              </c:strCache>
            </c:strRef>
          </c:cat>
          <c:val>
            <c:numRef>
              <c:f>'Diagnostic chart data'!$Z$29:$Z$31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data'!$AX$29:$AX$31</c:f>
              <c:strCache>
                <c:ptCount val="0"/>
              </c:strCache>
            </c:strRef>
          </c:cat>
          <c:val>
            <c:numRef>
              <c:f>'Diagnostic chart data'!$AY$29:$AY$31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data'!$AX$29:$AX$31</c:f>
              <c:strCache>
                <c:ptCount val="0"/>
              </c:strCache>
            </c:strRef>
          </c:cat>
          <c:val>
            <c:numRef>
              <c:f>'Diagnostic chart data'!$AZ$29:$AZ$31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data'!$AX$29:$AX$31</c:f>
              <c:strCache>
                <c:ptCount val="0"/>
              </c:strCache>
            </c:strRef>
          </c:cat>
          <c:val>
            <c:numRef>
              <c:f>'Diagnostic chart data'!$BA$29:$BA$31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data'!$AX$29:$AX$31</c:f>
              <c:strCache>
                <c:ptCount val="0"/>
              </c:strCache>
            </c:strRef>
          </c:cat>
          <c:val>
            <c:numRef>
              <c:f>'Diagnostic chart data'!$BB$29:$BB$31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data'!$A$29:$A$31</c:f>
              <c:strCache>
                <c:ptCount val="0"/>
              </c:strCache>
            </c:strRef>
          </c:cat>
          <c:val>
            <c:numRef>
              <c:f>'Diagnostic chart data'!$F$29:$F$31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data'!$A$29:$A$31</c:f>
              <c:strCache>
                <c:ptCount val="0"/>
              </c:strCache>
            </c:strRef>
          </c:cat>
          <c:val>
            <c:numRef>
              <c:f>'Diagnostic chart data'!$G$29:$G$31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data'!$AC$29:$AC$31</c:f>
              <c:strCache>
                <c:ptCount val="0"/>
              </c:strCache>
            </c:strRef>
          </c:cat>
          <c:val>
            <c:numRef>
              <c:f>'Diagnostic chart data'!$AH$29:$AH$31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data'!$AC$29:$AC$31</c:f>
              <c:strCache>
                <c:ptCount val="0"/>
              </c:strCache>
            </c:strRef>
          </c:cat>
          <c:val>
            <c:numRef>
              <c:f>'Diagnostic chart data'!$AI$29:$AI$31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data'!$H$29:$H$31</c:f>
              <c:strCache>
                <c:ptCount val="0"/>
              </c:strCache>
            </c:strRef>
          </c:cat>
          <c:val>
            <c:numRef>
              <c:f>'Diagnostic chart data'!$M$29:$M$31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data'!$H$29:$H$31</c:f>
              <c:strCache>
                <c:ptCount val="0"/>
              </c:strCache>
            </c:strRef>
          </c:cat>
          <c:val>
            <c:numRef>
              <c:f>'Diagnostic chart data'!$N$29:$N$31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data'!$AJ$29:$AJ$31</c:f>
              <c:strCache>
                <c:ptCount val="0"/>
              </c:strCache>
            </c:strRef>
          </c:cat>
          <c:val>
            <c:numRef>
              <c:f>'Diagnostic chart data'!$AO$29:$AO$31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data'!$AJ$29:$AJ$31</c:f>
              <c:strCache>
                <c:ptCount val="0"/>
              </c:strCache>
            </c:strRef>
          </c:cat>
          <c:val>
            <c:numRef>
              <c:f>'Diagnostic chart data'!$AP$29:$AP$31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data'!$O$29:$O$31</c:f>
              <c:strCache>
                <c:ptCount val="0"/>
              </c:strCache>
            </c:strRef>
          </c:cat>
          <c:val>
            <c:numRef>
              <c:f>'Diagnostic chart data'!$T$29:$T$31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data'!$O$29:$O$31</c:f>
              <c:strCache>
                <c:ptCount val="0"/>
              </c:strCache>
            </c:strRef>
          </c:cat>
          <c:val>
            <c:numRef>
              <c:f>'Diagnostic chart data'!$U$29:$U$31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data'!$AQ$29:$AQ$31</c:f>
              <c:strCache>
                <c:ptCount val="0"/>
              </c:strCache>
            </c:strRef>
          </c:cat>
          <c:val>
            <c:numRef>
              <c:f>'Diagnostic chart data'!$AV$29:$AV$31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data'!$AQ$29:$AQ$31</c:f>
              <c:strCache>
                <c:ptCount val="0"/>
              </c:strCache>
            </c:strRef>
          </c:cat>
          <c:val>
            <c:numRef>
              <c:f>'Diagnostic chart data'!$AW$29:$AW$31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data'!$V$29:$V$31</c:f>
              <c:strCache>
                <c:ptCount val="0"/>
              </c:strCache>
            </c:strRef>
          </c:cat>
          <c:val>
            <c:numRef>
              <c:f>'Diagnostic chart data'!$AA$29:$AA$31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data'!$V$29:$V$31</c:f>
              <c:strCache>
                <c:ptCount val="0"/>
              </c:strCache>
            </c:strRef>
          </c:cat>
          <c:val>
            <c:numRef>
              <c:f>'Diagnostic chart data'!$AB$29:$AB$31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data'!$AX$29:$AX$31</c:f>
              <c:strCache>
                <c:ptCount val="0"/>
              </c:strCache>
            </c:strRef>
          </c:cat>
          <c:val>
            <c:numRef>
              <c:f>'Diagnostic chart data'!$BC$29:$BC$31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data'!$AX$29:$AX$31</c:f>
              <c:strCache>
                <c:ptCount val="0"/>
              </c:strCache>
            </c:strRef>
          </c:cat>
          <c:val>
            <c:numRef>
              <c:f>'Diagnostic chart data'!$BD$29:$BD$31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data'!$A$35:$A$37</c:f>
              <c:strCache>
                <c:ptCount val="0"/>
              </c:strCache>
            </c:strRef>
          </c:cat>
          <c:val>
            <c:numRef>
              <c:f>'Diagnostic chart data'!$B$35:$B$37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data'!$A$35:$A$37</c:f>
              <c:strCache>
                <c:ptCount val="0"/>
              </c:strCache>
            </c:strRef>
          </c:cat>
          <c:val>
            <c:numRef>
              <c:f>'Diagnostic chart data'!$C$35:$C$37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data'!$A$35:$A$37</c:f>
              <c:strCache>
                <c:ptCount val="0"/>
              </c:strCache>
            </c:strRef>
          </c:cat>
          <c:val>
            <c:numRef>
              <c:f>'Diagnostic chart data'!$D$35:$D$37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data'!$A$35:$A$37</c:f>
              <c:strCache>
                <c:ptCount val="0"/>
              </c:strCache>
            </c:strRef>
          </c:cat>
          <c:val>
            <c:numRef>
              <c:f>'Diagnostic chart data'!$E$35:$E$37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data'!$AC$35:$AC$37</c:f>
              <c:strCache>
                <c:ptCount val="0"/>
              </c:strCache>
            </c:strRef>
          </c:cat>
          <c:val>
            <c:numRef>
              <c:f>'Diagnostic chart data'!$AD$35:$AD$37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data'!$AC$35:$AC$37</c:f>
              <c:strCache>
                <c:ptCount val="0"/>
              </c:strCache>
            </c:strRef>
          </c:cat>
          <c:val>
            <c:numRef>
              <c:f>'Diagnostic chart data'!$AE$35:$AE$37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data'!$AC$35:$AC$37</c:f>
              <c:strCache>
                <c:ptCount val="0"/>
              </c:strCache>
            </c:strRef>
          </c:cat>
          <c:val>
            <c:numRef>
              <c:f>'Diagnostic chart data'!$AF$35:$AF$37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data'!$AC$35:$AC$37</c:f>
              <c:strCache>
                <c:ptCount val="0"/>
              </c:strCache>
            </c:strRef>
          </c:cat>
          <c:val>
            <c:numRef>
              <c:f>'Diagnostic chart data'!$AG$35:$AG$37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data'!$H$35:$H$37</c:f>
              <c:strCache>
                <c:ptCount val="0"/>
              </c:strCache>
            </c:strRef>
          </c:cat>
          <c:val>
            <c:numRef>
              <c:f>'Diagnostic chart data'!$I$35:$I$37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data'!$H$35:$H$37</c:f>
              <c:strCache>
                <c:ptCount val="0"/>
              </c:strCache>
            </c:strRef>
          </c:cat>
          <c:val>
            <c:numRef>
              <c:f>'Diagnostic chart data'!$J$35:$J$37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data'!$H$35:$H$37</c:f>
              <c:strCache>
                <c:ptCount val="0"/>
              </c:strCache>
            </c:strRef>
          </c:cat>
          <c:val>
            <c:numRef>
              <c:f>'Diagnostic chart data'!$K$35:$K$37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data'!$H$35:$H$37</c:f>
              <c:strCache>
                <c:ptCount val="0"/>
              </c:strCache>
            </c:strRef>
          </c:cat>
          <c:val>
            <c:numRef>
              <c:f>'Diagnostic chart data'!$L$35:$L$37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data'!$AJ$35:$AJ$37</c:f>
              <c:strCache>
                <c:ptCount val="0"/>
              </c:strCache>
            </c:strRef>
          </c:cat>
          <c:val>
            <c:numRef>
              <c:f>'Diagnostic chart data'!$AK$35:$AK$37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data'!$AJ$35:$AJ$37</c:f>
              <c:strCache>
                <c:ptCount val="0"/>
              </c:strCache>
            </c:strRef>
          </c:cat>
          <c:val>
            <c:numRef>
              <c:f>'Diagnostic chart data'!$AL$35:$AL$37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data'!$AJ$35:$AJ$37</c:f>
              <c:strCache>
                <c:ptCount val="0"/>
              </c:strCache>
            </c:strRef>
          </c:cat>
          <c:val>
            <c:numRef>
              <c:f>'Diagnostic chart data'!$AM$35:$AM$37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data'!$AJ$35:$AJ$37</c:f>
              <c:strCache>
                <c:ptCount val="0"/>
              </c:strCache>
            </c:strRef>
          </c:cat>
          <c:val>
            <c:numRef>
              <c:f>'Diagnostic chart data'!$AN$35:$AN$37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data'!$O$35:$O$37</c:f>
              <c:strCache>
                <c:ptCount val="0"/>
              </c:strCache>
            </c:strRef>
          </c:cat>
          <c:val>
            <c:numRef>
              <c:f>'Diagnostic chart data'!$P$35:$P$37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data'!$O$35:$O$37</c:f>
              <c:strCache>
                <c:ptCount val="0"/>
              </c:strCache>
            </c:strRef>
          </c:cat>
          <c:val>
            <c:numRef>
              <c:f>'Diagnostic chart data'!$Q$35:$Q$37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data'!$O$35:$O$37</c:f>
              <c:strCache>
                <c:ptCount val="0"/>
              </c:strCache>
            </c:strRef>
          </c:cat>
          <c:val>
            <c:numRef>
              <c:f>'Diagnostic chart data'!$R$35:$R$37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data'!$O$35:$O$37</c:f>
              <c:strCache>
                <c:ptCount val="0"/>
              </c:strCache>
            </c:strRef>
          </c:cat>
          <c:val>
            <c:numRef>
              <c:f>'Diagnostic chart data'!$S$35:$S$37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data'!$AQ$35:$AQ$37</c:f>
              <c:strCache>
                <c:ptCount val="0"/>
              </c:strCache>
            </c:strRef>
          </c:cat>
          <c:val>
            <c:numRef>
              <c:f>'Diagnostic chart data'!$AR$35:$AR$37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data'!$AQ$35:$AQ$37</c:f>
              <c:strCache>
                <c:ptCount val="0"/>
              </c:strCache>
            </c:strRef>
          </c:cat>
          <c:val>
            <c:numRef>
              <c:f>'Diagnostic chart data'!$AS$35:$AS$37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data'!$AQ$35:$AQ$37</c:f>
              <c:strCache>
                <c:ptCount val="0"/>
              </c:strCache>
            </c:strRef>
          </c:cat>
          <c:val>
            <c:numRef>
              <c:f>'Diagnostic chart data'!$AT$35:$AT$37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data'!$AQ$35:$AQ$37</c:f>
              <c:strCache>
                <c:ptCount val="0"/>
              </c:strCache>
            </c:strRef>
          </c:cat>
          <c:val>
            <c:numRef>
              <c:f>'Diagnostic chart data'!$AU$35:$AU$37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data'!$V$35:$V$37</c:f>
              <c:strCache>
                <c:ptCount val="0"/>
              </c:strCache>
            </c:strRef>
          </c:cat>
          <c:val>
            <c:numRef>
              <c:f>'Diagnostic chart data'!$W$35:$W$37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data'!$V$35:$V$37</c:f>
              <c:strCache>
                <c:ptCount val="0"/>
              </c:strCache>
            </c:strRef>
          </c:cat>
          <c:val>
            <c:numRef>
              <c:f>'Diagnostic chart data'!$X$35:$X$37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data'!$V$35:$V$37</c:f>
              <c:strCache>
                <c:ptCount val="0"/>
              </c:strCache>
            </c:strRef>
          </c:cat>
          <c:val>
            <c:numRef>
              <c:f>'Diagnostic chart data'!$Y$35:$Y$37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data'!$V$35:$V$37</c:f>
              <c:strCache>
                <c:ptCount val="0"/>
              </c:strCache>
            </c:strRef>
          </c:cat>
          <c:val>
            <c:numRef>
              <c:f>'Diagnostic chart data'!$Z$35:$Z$37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M0 (4 parameters) — FNR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data'!$AX$35:$AX$37</c:f>
              <c:strCache>
                <c:ptCount val="0"/>
              </c:strCache>
            </c:strRef>
          </c:cat>
          <c:val>
            <c:numRef>
              <c:f>'Diagnostic chart data'!$AY$35:$AY$37</c:f>
              <c:numCache>
                <c:formatCode>0</c:formatCode>
                <c:ptCount val="0"/>
              </c:numCache>
            </c:numRef>
          </c:val>
          <c:smooth val="0"/>
        </c:ser>
        <c:ser>
          <c:idx val="5"/>
          <c:order val="5"/>
          <c:tx>
            <c:v>M0 (4 parameters) — FPR</c:v>
          </c:tx>
          <c:spPr>
            <a:ln xmlns:a="http://schemas.openxmlformats.org/drawingml/2006/main" w="23813">
              <a:solidFill>
                <a:srgbClr val="009E73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data'!$AX$35:$AX$37</c:f>
              <c:strCache>
                <c:ptCount val="0"/>
              </c:strCache>
            </c:strRef>
          </c:cat>
          <c:val>
            <c:numRef>
              <c:f>'Diagnostic chart data'!$AZ$35:$AZ$37</c:f>
              <c:numCache>
                <c:formatCode>0</c:formatCode>
                <c:ptCount val="0"/>
              </c:numCache>
            </c:numRef>
          </c:val>
          <c:smooth val="0"/>
        </c:ser>
        <c:ser>
          <c:idx val="6"/>
          <c:order val="6"/>
          <c:tx>
            <c:v>M2 (5 parameters) — FNR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data'!$AX$35:$AX$37</c:f>
              <c:strCache>
                <c:ptCount val="0"/>
              </c:strCache>
            </c:strRef>
          </c:cat>
          <c:val>
            <c:numRef>
              <c:f>'Diagnostic chart data'!$BA$35:$BA$37</c:f>
              <c:numCache>
                <c:formatCode>0</c:formatCode>
                <c:ptCount val="0"/>
              </c:numCache>
            </c:numRef>
          </c:val>
          <c:smooth val="0"/>
        </c:ser>
        <c:ser>
          <c:idx val="7"/>
          <c:order val="7"/>
          <c:tx>
            <c:v>M2 (5 parameters) — FPR</c:v>
          </c:tx>
          <c:spPr>
            <a:ln xmlns:a="http://schemas.openxmlformats.org/drawingml/2006/main" w="23813">
              <a:solidFill>
                <a:srgbClr val="CC79A7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data'!$AX$35:$AX$37</c:f>
              <c:strCache>
                <c:ptCount val="0"/>
              </c:strCache>
            </c:strRef>
          </c:cat>
          <c:val>
            <c:numRef>
              <c:f>'Diagnostic chart data'!$BB$35:$BB$37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data'!$A$35:$A$37</c:f>
              <c:strCache>
                <c:ptCount val="0"/>
              </c:strCache>
            </c:strRef>
          </c:cat>
          <c:val>
            <c:numRef>
              <c:f>'Diagnostic chart data'!$F$35:$F$37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data'!$A$35:$A$37</c:f>
              <c:strCache>
                <c:ptCount val="0"/>
              </c:strCache>
            </c:strRef>
          </c:cat>
          <c:val>
            <c:numRef>
              <c:f>'Diagnostic chart data'!$G$35:$G$37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data'!$AC$35:$AC$37</c:f>
              <c:strCache>
                <c:ptCount val="0"/>
              </c:strCache>
            </c:strRef>
          </c:cat>
          <c:val>
            <c:numRef>
              <c:f>'Diagnostic chart data'!$AH$35:$AH$37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data'!$AC$35:$AC$37</c:f>
              <c:strCache>
                <c:ptCount val="0"/>
              </c:strCache>
            </c:strRef>
          </c:cat>
          <c:val>
            <c:numRef>
              <c:f>'Diagnostic chart data'!$AI$35:$AI$37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data'!$H$35:$H$37</c:f>
              <c:strCache>
                <c:ptCount val="0"/>
              </c:strCache>
            </c:strRef>
          </c:cat>
          <c:val>
            <c:numRef>
              <c:f>'Diagnostic chart data'!$M$35:$M$37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data'!$H$35:$H$37</c:f>
              <c:strCache>
                <c:ptCount val="0"/>
              </c:strCache>
            </c:strRef>
          </c:cat>
          <c:val>
            <c:numRef>
              <c:f>'Diagnostic chart data'!$N$35:$N$37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data'!$AJ$35:$AJ$37</c:f>
              <c:strCache>
                <c:ptCount val="0"/>
              </c:strCache>
            </c:strRef>
          </c:cat>
          <c:val>
            <c:numRef>
              <c:f>'Diagnostic chart data'!$AO$35:$AO$37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data'!$AJ$35:$AJ$37</c:f>
              <c:strCache>
                <c:ptCount val="0"/>
              </c:strCache>
            </c:strRef>
          </c:cat>
          <c:val>
            <c:numRef>
              <c:f>'Diagnostic chart data'!$AP$35:$AP$37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data'!$O$35:$O$37</c:f>
              <c:strCache>
                <c:ptCount val="0"/>
              </c:strCache>
            </c:strRef>
          </c:cat>
          <c:val>
            <c:numRef>
              <c:f>'Diagnostic chart data'!$T$35:$T$37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data'!$O$35:$O$37</c:f>
              <c:strCache>
                <c:ptCount val="0"/>
              </c:strCache>
            </c:strRef>
          </c:cat>
          <c:val>
            <c:numRef>
              <c:f>'Diagnostic chart data'!$U$35:$U$37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data'!$AQ$35:$AQ$37</c:f>
              <c:strCache>
                <c:ptCount val="0"/>
              </c:strCache>
            </c:strRef>
          </c:cat>
          <c:val>
            <c:numRef>
              <c:f>'Diagnostic chart data'!$AV$35:$AV$37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data'!$AQ$35:$AQ$37</c:f>
              <c:strCache>
                <c:ptCount val="0"/>
              </c:strCache>
            </c:strRef>
          </c:cat>
          <c:val>
            <c:numRef>
              <c:f>'Diagnostic chart data'!$AW$35:$AW$37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data'!$V$35:$V$37</c:f>
              <c:strCache>
                <c:ptCount val="0"/>
              </c:strCache>
            </c:strRef>
          </c:cat>
          <c:val>
            <c:numRef>
              <c:f>'Diagnostic chart data'!$AA$35:$AA$37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data'!$V$35:$V$37</c:f>
              <c:strCache>
                <c:ptCount val="0"/>
              </c:strCache>
            </c:strRef>
          </c:cat>
          <c:val>
            <c:numRef>
              <c:f>'Diagnostic chart data'!$AB$35:$AB$37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M0 (4 parameters)</c:v>
          </c:tx>
          <c:spPr>
            <a:ln xmlns:a="http://schemas.openxmlformats.org/drawingml/2006/main" w="35719">
              <a:solidFill>
                <a:srgbClr val="009E73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9E73"/>
              </a:solidFill>
            </c:spPr>
          </c:marker>
          <c:cat>
            <c:strRef>
              <c:f>'Diagnostic chart data'!$AX$35:$AX$37</c:f>
              <c:strCache>
                <c:ptCount val="0"/>
              </c:strCache>
            </c:strRef>
          </c:cat>
          <c:val>
            <c:numRef>
              <c:f>'Diagnostic chart data'!$BC$35:$BC$37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M2 (5 parameters)</c:v>
          </c:tx>
          <c:spPr>
            <a:ln xmlns:a="http://schemas.openxmlformats.org/drawingml/2006/main" w="35719">
              <a:solidFill>
                <a:srgbClr val="CC79A7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CC79A7"/>
              </a:solidFill>
            </c:spPr>
          </c:marker>
          <c:cat>
            <c:strRef>
              <c:f>'Diagnostic chart data'!$AX$35:$AX$37</c:f>
              <c:strCache>
                <c:ptCount val="0"/>
              </c:strCache>
            </c:strRef>
          </c:cat>
          <c:val>
            <c:numRef>
              <c:f>'Diagnostic chart data'!$BD$35:$BD$37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data'!$A$41:$A$43</c:f>
              <c:strCache>
                <c:ptCount val="0"/>
              </c:strCache>
            </c:strRef>
          </c:cat>
          <c:val>
            <c:numRef>
              <c:f>'Diagnostic chart data'!$B$41:$B$43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data'!$A$41:$A$43</c:f>
              <c:strCache>
                <c:ptCount val="0"/>
              </c:strCache>
            </c:strRef>
          </c:cat>
          <c:val>
            <c:numRef>
              <c:f>'Diagnostic chart data'!$C$41:$C$43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data'!$A$41:$A$43</c:f>
              <c:strCache>
                <c:ptCount val="0"/>
              </c:strCache>
            </c:strRef>
          </c:cat>
          <c:val>
            <c:numRef>
              <c:f>'Diagnostic chart data'!$D$41:$D$43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data'!$A$41:$A$43</c:f>
              <c:strCache>
                <c:ptCount val="0"/>
              </c:strCache>
            </c:strRef>
          </c:cat>
          <c:val>
            <c:numRef>
              <c:f>'Diagnostic chart data'!$E$41:$E$43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data'!$H$41:$H$43</c:f>
              <c:strCache>
                <c:ptCount val="0"/>
              </c:strCache>
            </c:strRef>
          </c:cat>
          <c:val>
            <c:numRef>
              <c:f>'Diagnostic chart data'!$I$41:$I$43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data'!$H$41:$H$43</c:f>
              <c:strCache>
                <c:ptCount val="0"/>
              </c:strCache>
            </c:strRef>
          </c:cat>
          <c:val>
            <c:numRef>
              <c:f>'Diagnostic chart data'!$J$41:$J$43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data'!$H$41:$H$43</c:f>
              <c:strCache>
                <c:ptCount val="0"/>
              </c:strCache>
            </c:strRef>
          </c:cat>
          <c:val>
            <c:numRef>
              <c:f>'Diagnostic chart data'!$K$41:$K$43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data'!$H$41:$H$43</c:f>
              <c:strCache>
                <c:ptCount val="0"/>
              </c:strCache>
            </c:strRef>
          </c:cat>
          <c:val>
            <c:numRef>
              <c:f>'Diagnostic chart data'!$L$41:$L$43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data'!$O$41:$O$43</c:f>
              <c:strCache>
                <c:ptCount val="0"/>
              </c:strCache>
            </c:strRef>
          </c:cat>
          <c:val>
            <c:numRef>
              <c:f>'Diagnostic chart data'!$P$41:$P$43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data'!$O$41:$O$43</c:f>
              <c:strCache>
                <c:ptCount val="0"/>
              </c:strCache>
            </c:strRef>
          </c:cat>
          <c:val>
            <c:numRef>
              <c:f>'Diagnostic chart data'!$Q$41:$Q$43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data'!$O$41:$O$43</c:f>
              <c:strCache>
                <c:ptCount val="0"/>
              </c:strCache>
            </c:strRef>
          </c:cat>
          <c:val>
            <c:numRef>
              <c:f>'Diagnostic chart data'!$R$41:$R$43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data'!$O$41:$O$43</c:f>
              <c:strCache>
                <c:ptCount val="0"/>
              </c:strCache>
            </c:strRef>
          </c:cat>
          <c:val>
            <c:numRef>
              <c:f>'Diagnostic chart data'!$S$41:$S$43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data'!$V$41:$V$43</c:f>
              <c:strCache>
                <c:ptCount val="0"/>
              </c:strCache>
            </c:strRef>
          </c:cat>
          <c:val>
            <c:numRef>
              <c:f>'Diagnostic chart data'!$W$41:$W$43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data'!$V$41:$V$43</c:f>
              <c:strCache>
                <c:ptCount val="0"/>
              </c:strCache>
            </c:strRef>
          </c:cat>
          <c:val>
            <c:numRef>
              <c:f>'Diagnostic chart data'!$X$41:$X$43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data'!$V$41:$V$43</c:f>
              <c:strCache>
                <c:ptCount val="0"/>
              </c:strCache>
            </c:strRef>
          </c:cat>
          <c:val>
            <c:numRef>
              <c:f>'Diagnostic chart data'!$Y$41:$Y$43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data'!$V$41:$V$43</c:f>
              <c:strCache>
                <c:ptCount val="0"/>
              </c:strCache>
            </c:strRef>
          </c:cat>
          <c:val>
            <c:numRef>
              <c:f>'Diagnostic chart data'!$Z$41:$Z$43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data'!$A$41:$A$43</c:f>
              <c:strCache>
                <c:ptCount val="0"/>
              </c:strCache>
            </c:strRef>
          </c:cat>
          <c:val>
            <c:numRef>
              <c:f>'Diagnostic chart data'!$F$41:$F$43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data'!$A$41:$A$43</c:f>
              <c:strCache>
                <c:ptCount val="0"/>
              </c:strCache>
            </c:strRef>
          </c:cat>
          <c:val>
            <c:numRef>
              <c:f>'Diagnostic chart data'!$G$41:$G$43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data'!$H$41:$H$43</c:f>
              <c:strCache>
                <c:ptCount val="0"/>
              </c:strCache>
            </c:strRef>
          </c:cat>
          <c:val>
            <c:numRef>
              <c:f>'Diagnostic chart data'!$M$41:$M$43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data'!$H$41:$H$43</c:f>
              <c:strCache>
                <c:ptCount val="0"/>
              </c:strCache>
            </c:strRef>
          </c:cat>
          <c:val>
            <c:numRef>
              <c:f>'Diagnostic chart data'!$N$41:$N$43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data'!$O$41:$O$43</c:f>
              <c:strCache>
                <c:ptCount val="0"/>
              </c:strCache>
            </c:strRef>
          </c:cat>
          <c:val>
            <c:numRef>
              <c:f>'Diagnostic chart data'!$T$41:$T$43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data'!$O$41:$O$43</c:f>
              <c:strCache>
                <c:ptCount val="0"/>
              </c:strCache>
            </c:strRef>
          </c:cat>
          <c:val>
            <c:numRef>
              <c:f>'Diagnostic chart data'!$U$41:$U$43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data'!$V$41:$V$43</c:f>
              <c:strCache>
                <c:ptCount val="0"/>
              </c:strCache>
            </c:strRef>
          </c:cat>
          <c:val>
            <c:numRef>
              <c:f>'Diagnostic chart data'!$AA$41:$AA$43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data'!$V$41:$V$43</c:f>
              <c:strCache>
                <c:ptCount val="0"/>
              </c:strCache>
            </c:strRef>
          </c:cat>
          <c:val>
            <c:numRef>
              <c:f>'Diagnostic chart data'!$AB$41:$AB$43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data'!$A$47:$A$49</c:f>
              <c:strCache>
                <c:ptCount val="0"/>
              </c:strCache>
            </c:strRef>
          </c:cat>
          <c:val>
            <c:numRef>
              <c:f>'Diagnostic chart data'!$B$47:$B$49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data'!$A$47:$A$49</c:f>
              <c:strCache>
                <c:ptCount val="0"/>
              </c:strCache>
            </c:strRef>
          </c:cat>
          <c:val>
            <c:numRef>
              <c:f>'Diagnostic chart data'!$C$47:$C$49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data'!$A$47:$A$49</c:f>
              <c:strCache>
                <c:ptCount val="0"/>
              </c:strCache>
            </c:strRef>
          </c:cat>
          <c:val>
            <c:numRef>
              <c:f>'Diagnostic chart data'!$D$47:$D$49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data'!$A$47:$A$49</c:f>
              <c:strCache>
                <c:ptCount val="0"/>
              </c:strCache>
            </c:strRef>
          </c:cat>
          <c:val>
            <c:numRef>
              <c:f>'Diagnostic chart data'!$E$47:$E$49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data'!$H$47:$H$49</c:f>
              <c:strCache>
                <c:ptCount val="0"/>
              </c:strCache>
            </c:strRef>
          </c:cat>
          <c:val>
            <c:numRef>
              <c:f>'Diagnostic chart data'!$I$47:$I$49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data'!$H$47:$H$49</c:f>
              <c:strCache>
                <c:ptCount val="0"/>
              </c:strCache>
            </c:strRef>
          </c:cat>
          <c:val>
            <c:numRef>
              <c:f>'Diagnostic chart data'!$J$47:$J$49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data'!$H$47:$H$49</c:f>
              <c:strCache>
                <c:ptCount val="0"/>
              </c:strCache>
            </c:strRef>
          </c:cat>
          <c:val>
            <c:numRef>
              <c:f>'Diagnostic chart data'!$K$47:$K$49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data'!$H$47:$H$49</c:f>
              <c:strCache>
                <c:ptCount val="0"/>
              </c:strCache>
            </c:strRef>
          </c:cat>
          <c:val>
            <c:numRef>
              <c:f>'Diagnostic chart data'!$L$47:$L$49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data'!$O$47:$O$49</c:f>
              <c:strCache>
                <c:ptCount val="0"/>
              </c:strCache>
            </c:strRef>
          </c:cat>
          <c:val>
            <c:numRef>
              <c:f>'Diagnostic chart data'!$P$47:$P$49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data'!$O$47:$O$49</c:f>
              <c:strCache>
                <c:ptCount val="0"/>
              </c:strCache>
            </c:strRef>
          </c:cat>
          <c:val>
            <c:numRef>
              <c:f>'Diagnostic chart data'!$Q$47:$Q$49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data'!$O$47:$O$49</c:f>
              <c:strCache>
                <c:ptCount val="0"/>
              </c:strCache>
            </c:strRef>
          </c:cat>
          <c:val>
            <c:numRef>
              <c:f>'Diagnostic chart data'!$R$47:$R$49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data'!$O$47:$O$49</c:f>
              <c:strCache>
                <c:ptCount val="0"/>
              </c:strCache>
            </c:strRef>
          </c:cat>
          <c:val>
            <c:numRef>
              <c:f>'Diagnostic chart data'!$S$47:$S$49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data'!$V$47:$V$49</c:f>
              <c:strCache>
                <c:ptCount val="0"/>
              </c:strCache>
            </c:strRef>
          </c:cat>
          <c:val>
            <c:numRef>
              <c:f>'Diagnostic chart data'!$W$47:$W$49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data'!$V$47:$V$49</c:f>
              <c:strCache>
                <c:ptCount val="0"/>
              </c:strCache>
            </c:strRef>
          </c:cat>
          <c:val>
            <c:numRef>
              <c:f>'Diagnostic chart data'!$X$47:$X$49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data'!$V$47:$V$49</c:f>
              <c:strCache>
                <c:ptCount val="0"/>
              </c:strCache>
            </c:strRef>
          </c:cat>
          <c:val>
            <c:numRef>
              <c:f>'Diagnostic chart data'!$Y$47:$Y$49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data'!$V$47:$V$49</c:f>
              <c:strCache>
                <c:ptCount val="0"/>
              </c:strCache>
            </c:strRef>
          </c:cat>
          <c:val>
            <c:numRef>
              <c:f>'Diagnostic chart data'!$Z$47:$Z$49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data'!$A$47:$A$49</c:f>
              <c:strCache>
                <c:ptCount val="0"/>
              </c:strCache>
            </c:strRef>
          </c:cat>
          <c:val>
            <c:numRef>
              <c:f>'Diagnostic chart data'!$F$47:$F$49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data'!$A$47:$A$49</c:f>
              <c:strCache>
                <c:ptCount val="0"/>
              </c:strCache>
            </c:strRef>
          </c:cat>
          <c:val>
            <c:numRef>
              <c:f>'Diagnostic chart data'!$G$47:$G$49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data'!$H$47:$H$49</c:f>
              <c:strCache>
                <c:ptCount val="0"/>
              </c:strCache>
            </c:strRef>
          </c:cat>
          <c:val>
            <c:numRef>
              <c:f>'Diagnostic chart data'!$M$47:$M$49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data'!$H$47:$H$49</c:f>
              <c:strCache>
                <c:ptCount val="0"/>
              </c:strCache>
            </c:strRef>
          </c:cat>
          <c:val>
            <c:numRef>
              <c:f>'Diagnostic chart data'!$N$47:$N$49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data'!$O$47:$O$49</c:f>
              <c:strCache>
                <c:ptCount val="0"/>
              </c:strCache>
            </c:strRef>
          </c:cat>
          <c:val>
            <c:numRef>
              <c:f>'Diagnostic chart data'!$T$47:$T$49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data'!$O$47:$O$49</c:f>
              <c:strCache>
                <c:ptCount val="0"/>
              </c:strCache>
            </c:strRef>
          </c:cat>
          <c:val>
            <c:numRef>
              <c:f>'Diagnostic chart data'!$U$47:$U$49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data'!$V$47:$V$49</c:f>
              <c:strCache>
                <c:ptCount val="0"/>
              </c:strCache>
            </c:strRef>
          </c:cat>
          <c:val>
            <c:numRef>
              <c:f>'Diagnostic chart data'!$AA$47:$AA$49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data'!$V$47:$V$49</c:f>
              <c:strCache>
                <c:ptCount val="0"/>
              </c:strCache>
            </c:strRef>
          </c:cat>
          <c:val>
            <c:numRef>
              <c:f>'Diagnostic chart data'!$AB$47:$AB$49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data'!$A$53:$A$55</c:f>
              <c:strCache>
                <c:ptCount val="0"/>
              </c:strCache>
            </c:strRef>
          </c:cat>
          <c:val>
            <c:numRef>
              <c:f>'Diagnostic chart data'!$B$53:$B$55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data'!$A$53:$A$55</c:f>
              <c:strCache>
                <c:ptCount val="0"/>
              </c:strCache>
            </c:strRef>
          </c:cat>
          <c:val>
            <c:numRef>
              <c:f>'Diagnostic chart data'!$C$53:$C$55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data'!$A$53:$A$55</c:f>
              <c:strCache>
                <c:ptCount val="0"/>
              </c:strCache>
            </c:strRef>
          </c:cat>
          <c:val>
            <c:numRef>
              <c:f>'Diagnostic chart data'!$D$53:$D$55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data'!$A$53:$A$55</c:f>
              <c:strCache>
                <c:ptCount val="0"/>
              </c:strCache>
            </c:strRef>
          </c:cat>
          <c:val>
            <c:numRef>
              <c:f>'Diagnostic chart data'!$E$53:$E$55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data'!$H$53:$H$55</c:f>
              <c:strCache>
                <c:ptCount val="0"/>
              </c:strCache>
            </c:strRef>
          </c:cat>
          <c:val>
            <c:numRef>
              <c:f>'Diagnostic chart data'!$I$53:$I$55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data'!$H$53:$H$55</c:f>
              <c:strCache>
                <c:ptCount val="0"/>
              </c:strCache>
            </c:strRef>
          </c:cat>
          <c:val>
            <c:numRef>
              <c:f>'Diagnostic chart data'!$J$53:$J$55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data'!$H$53:$H$55</c:f>
              <c:strCache>
                <c:ptCount val="0"/>
              </c:strCache>
            </c:strRef>
          </c:cat>
          <c:val>
            <c:numRef>
              <c:f>'Diagnostic chart data'!$K$53:$K$55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data'!$H$53:$H$55</c:f>
              <c:strCache>
                <c:ptCount val="0"/>
              </c:strCache>
            </c:strRef>
          </c:cat>
          <c:val>
            <c:numRef>
              <c:f>'Diagnostic chart data'!$L$53:$L$55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data'!$O$53:$O$55</c:f>
              <c:strCache>
                <c:ptCount val="0"/>
              </c:strCache>
            </c:strRef>
          </c:cat>
          <c:val>
            <c:numRef>
              <c:f>'Diagnostic chart data'!$P$53:$P$55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data'!$O$53:$O$55</c:f>
              <c:strCache>
                <c:ptCount val="0"/>
              </c:strCache>
            </c:strRef>
          </c:cat>
          <c:val>
            <c:numRef>
              <c:f>'Diagnostic chart data'!$Q$53:$Q$55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data'!$O$53:$O$55</c:f>
              <c:strCache>
                <c:ptCount val="0"/>
              </c:strCache>
            </c:strRef>
          </c:cat>
          <c:val>
            <c:numRef>
              <c:f>'Diagnostic chart data'!$R$53:$R$55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data'!$O$53:$O$55</c:f>
              <c:strCache>
                <c:ptCount val="0"/>
              </c:strCache>
            </c:strRef>
          </c:cat>
          <c:val>
            <c:numRef>
              <c:f>'Diagnostic chart data'!$S$53:$S$55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— FNR</c:v>
          </c:tx>
          <c:spPr>
            <a:ln xmlns:a="http://schemas.openxmlformats.org/drawingml/2006/main" w="35719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data'!$V$53:$V$55</c:f>
              <c:strCache>
                <c:ptCount val="0"/>
              </c:strCache>
            </c:strRef>
          </c:cat>
          <c:val>
            <c:numRef>
              <c:f>'Diagnostic chart data'!$W$53:$W$55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— FPR</c:v>
          </c:tx>
          <c:spPr>
            <a:ln xmlns:a="http://schemas.openxmlformats.org/drawingml/2006/main" w="23813">
              <a:solidFill>
                <a:srgbClr val="0072B2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data'!$V$53:$V$55</c:f>
              <c:strCache>
                <c:ptCount val="0"/>
              </c:strCache>
            </c:strRef>
          </c:cat>
          <c:val>
            <c:numRef>
              <c:f>'Diagnostic chart data'!$X$53:$X$55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M3 — FNR</c:v>
          </c:tx>
          <c:spPr>
            <a:ln xmlns:a="http://schemas.openxmlformats.org/drawingml/2006/main" w="35719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data'!$V$53:$V$55</c:f>
              <c:strCache>
                <c:ptCount val="0"/>
              </c:strCache>
            </c:strRef>
          </c:cat>
          <c:val>
            <c:numRef>
              <c:f>'Diagnostic chart data'!$Y$53:$Y$55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M3 — FPR</c:v>
          </c:tx>
          <c:spPr>
            <a:ln xmlns:a="http://schemas.openxmlformats.org/drawingml/2006/main" w="23813">
              <a:solidFill>
                <a:srgbClr val="D55E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data'!$V$53:$V$55</c:f>
              <c:strCache>
                <c:ptCount val="0"/>
              </c:strCache>
            </c:strRef>
          </c:cat>
          <c:val>
            <c:numRef>
              <c:f>'Diagnostic chart data'!$Z$53:$Z$55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data'!$A$53:$A$55</c:f>
              <c:strCache>
                <c:ptCount val="0"/>
              </c:strCache>
            </c:strRef>
          </c:cat>
          <c:val>
            <c:numRef>
              <c:f>'Diagnostic chart data'!$F$53:$F$55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data'!$A$53:$A$55</c:f>
              <c:strCache>
                <c:ptCount val="0"/>
              </c:strCache>
            </c:strRef>
          </c:cat>
          <c:val>
            <c:numRef>
              <c:f>'Diagnostic chart data'!$G$53:$G$55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Mahalanobis L∞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data'!$H$53:$H$55</c:f>
              <c:strCache>
                <c:ptCount val="0"/>
              </c:strCache>
            </c:strRef>
          </c:cat>
          <c:val>
            <c:numRef>
              <c:f>'Diagnostic chart data'!$M$53:$M$55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data'!$H$53:$H$55</c:f>
              <c:strCache>
                <c:ptCount val="0"/>
              </c:strCache>
            </c:strRef>
          </c:cat>
          <c:val>
            <c:numRef>
              <c:f>'Diagnostic chart data'!$N$53:$N$55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Density typicality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data'!$O$53:$O$55</c:f>
              <c:strCache>
                <c:ptCount val="0"/>
              </c:strCache>
            </c:strRef>
          </c:cat>
          <c:val>
            <c:numRef>
              <c:f>'Diagnostic chart data'!$T$53:$T$55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data'!$O$53:$O$55</c:f>
              <c:strCache>
                <c:ptCount val="0"/>
              </c:strCache>
            </c:strRef>
          </c:cat>
          <c:val>
            <c:numRef>
              <c:f>'Diagnostic chart data'!$U$53:$U$55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Summary MMD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M1 (5 parameters)</c:v>
          </c:tx>
          <c:spPr>
            <a:ln xmlns:a="http://schemas.openxmlformats.org/drawingml/2006/main" w="30956">
              <a:solidFill>
                <a:srgbClr val="0072B2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0072B2"/>
              </a:solidFill>
            </c:spPr>
          </c:marker>
          <c:cat>
            <c:strRef>
              <c:f>'Diagnostic chart data'!$V$53:$V$55</c:f>
              <c:strCache>
                <c:ptCount val="0"/>
              </c:strCache>
            </c:strRef>
          </c:cat>
          <c:val>
            <c:numRef>
              <c:f>'Diagnostic chart data'!$AA$53:$AA$55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M3 (7 parameters)</c:v>
          </c:tx>
          <c:spPr>
            <a:ln xmlns:a="http://schemas.openxmlformats.org/drawingml/2006/main" w="30956">
              <a:solidFill>
                <a:srgbClr val="D55E00"/>
              </a:solidFill>
              <a:prstDash val="solid"/>
            </a:ln>
          </c:spPr>
          <c:marker>
            <c:symbol val="circle"/>
            <c:size val="8"/>
            <c:spPr>
              <a:solidFill xmlns:a="http://schemas.openxmlformats.org/drawingml/2006/main">
                <a:srgbClr val="D55E00"/>
              </a:solidFill>
            </c:spPr>
          </c:marker>
          <c:cat>
            <c:strRef>
              <c:f>'Diagnostic chart data'!$V$53:$V$55</c:f>
              <c:strCache>
                <c:ptCount val="0"/>
              </c:strCache>
            </c:strRef>
          </c:cat>
          <c:val>
            <c:numRef>
              <c:f>'Diagnostic chart data'!$AB$53:$AB$55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102</xdr:row>
      <xdr:rowOff>0</xdr:rowOff>
    </xdr:from>
    <xdr:ext cx="62865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f6ab2a9f914f39"/>
        </a:graphicData>
      </a:graphic>
    </xdr:graphicFrame>
    <xdr:clientData/>
  </xdr:oneCellAnchor>
  <xdr:oneCellAnchor>
    <xdr:from>
      <xdr:col>11</xdr:col>
      <xdr:colOff>0</xdr:colOff>
      <xdr:row>102</xdr:row>
      <xdr:rowOff>0</xdr:rowOff>
    </xdr:from>
    <xdr:ext cx="62865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a96f3cc69f41a6"/>
        </a:graphicData>
      </a:graphic>
    </xdr:graphicFrame>
    <xdr:clientData/>
  </xdr:oneCellAnchor>
  <xdr:oneCellAnchor>
    <xdr:from>
      <xdr:col>0</xdr:col>
      <xdr:colOff>0</xdr:colOff>
      <xdr:row>142</xdr:row>
      <xdr:rowOff>0</xdr:rowOff>
    </xdr:from>
    <xdr:ext cx="6286500" cy="26670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05eff6b77a4c0f"/>
        </a:graphicData>
      </a:graphic>
    </xdr:graphicFrame>
    <xdr:clientData/>
  </xdr:oneCellAnchor>
  <xdr:oneCellAnchor>
    <xdr:from>
      <xdr:col>11</xdr:col>
      <xdr:colOff>0</xdr:colOff>
      <xdr:row>142</xdr:row>
      <xdr:rowOff>0</xdr:rowOff>
    </xdr:from>
    <xdr:ext cx="6286500" cy="26670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da1f9f34a44dcb"/>
        </a:graphicData>
      </a:graphic>
    </xdr:graphicFrame>
    <xdr:clientData/>
  </xdr:oneCellAnchor>
  <xdr:oneCellAnchor>
    <xdr:from>
      <xdr:col>0</xdr:col>
      <xdr:colOff>0</xdr:colOff>
      <xdr:row>182</xdr:row>
      <xdr:rowOff>0</xdr:rowOff>
    </xdr:from>
    <xdr:ext cx="6286500" cy="266700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c0b6efbcc440fc"/>
        </a:graphicData>
      </a:graphic>
    </xdr:graphicFrame>
    <xdr:clientData/>
  </xdr:oneCellAnchor>
  <xdr:oneCellAnchor>
    <xdr:from>
      <xdr:col>11</xdr:col>
      <xdr:colOff>0</xdr:colOff>
      <xdr:row>182</xdr:row>
      <xdr:rowOff>0</xdr:rowOff>
    </xdr:from>
    <xdr:ext cx="6286500" cy="266700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9511213ca24e20"/>
        </a:graphicData>
      </a:graphic>
    </xdr:graphicFrame>
    <xdr:clientData/>
  </xdr:oneCellAnchor>
  <xdr:oneCellAnchor>
    <xdr:from>
      <xdr:col>0</xdr:col>
      <xdr:colOff>0</xdr:colOff>
      <xdr:row>222</xdr:row>
      <xdr:rowOff>0</xdr:rowOff>
    </xdr:from>
    <xdr:ext cx="6286500" cy="2667000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18f5343f184c9f"/>
        </a:graphicData>
      </a:graphic>
    </xdr:graphicFrame>
    <xdr:clientData/>
  </xdr:oneCellAnchor>
  <xdr:oneCellAnchor>
    <xdr:from>
      <xdr:col>11</xdr:col>
      <xdr:colOff>0</xdr:colOff>
      <xdr:row>222</xdr:row>
      <xdr:rowOff>0</xdr:rowOff>
    </xdr:from>
    <xdr:ext cx="6286500" cy="266700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2529949c0e4254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286500" cy="2667000"/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8187e7dca8447c"/>
        </a:graphicData>
      </a:graphic>
    </xdr:graphicFrame>
    <xdr:clientData/>
  </xdr:oneCellAnchor>
  <xdr:oneCellAnchor>
    <xdr:from>
      <xdr:col>11</xdr:col>
      <xdr:colOff>0</xdr:colOff>
      <xdr:row>22</xdr:row>
      <xdr:rowOff>0</xdr:rowOff>
    </xdr:from>
    <xdr:ext cx="6286500" cy="2667000"/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51227ce2784477"/>
        </a:graphicData>
      </a:graphic>
    </xdr:graphicFrame>
    <xdr:clientData/>
  </xdr:oneCellAnchor>
  <xdr:oneCellAnchor>
    <xdr:from>
      <xdr:col>0</xdr:col>
      <xdr:colOff>0</xdr:colOff>
      <xdr:row>62</xdr:row>
      <xdr:rowOff>0</xdr:rowOff>
    </xdr:from>
    <xdr:ext cx="6286500" cy="2667000"/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51a6c256ca4ce7"/>
        </a:graphicData>
      </a:graphic>
    </xdr:graphicFrame>
    <xdr:clientData/>
  </xdr:oneCellAnchor>
  <xdr:oneCellAnchor>
    <xdr:from>
      <xdr:col>11</xdr:col>
      <xdr:colOff>0</xdr:colOff>
      <xdr:row>62</xdr:row>
      <xdr:rowOff>0</xdr:rowOff>
    </xdr:from>
    <xdr:ext cx="6286500" cy="2667000"/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cf488a86d84b3a"/>
        </a:graphicData>
      </a:graphic>
    </xdr:graphicFrame>
    <xdr:clientData/>
  </xdr:oneCellAnchor>
  <xdr:oneCellAnchor>
    <xdr:from>
      <xdr:col>0</xdr:col>
      <xdr:colOff>0</xdr:colOff>
      <xdr:row>82</xdr:row>
      <xdr:rowOff>0</xdr:rowOff>
    </xdr:from>
    <xdr:ext cx="6286500" cy="2667000"/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1af43a67794fc5"/>
        </a:graphicData>
      </a:graphic>
    </xdr:graphicFrame>
    <xdr:clientData/>
  </xdr:oneCellAnchor>
  <xdr:oneCellAnchor>
    <xdr:from>
      <xdr:col>11</xdr:col>
      <xdr:colOff>0</xdr:colOff>
      <xdr:row>82</xdr:row>
      <xdr:rowOff>0</xdr:rowOff>
    </xdr:from>
    <xdr:ext cx="6286500" cy="2667000"/>
    <xdr:graphicFrame macro="">
      <xdr:nvGraphicFramePr>
        <xdr:cNvPr id="1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ce6d37a0d04680"/>
        </a:graphicData>
      </a:graphic>
    </xdr:graphicFrame>
    <xdr:clientData/>
  </xdr:oneCellAnchor>
  <xdr:oneCellAnchor>
    <xdr:from>
      <xdr:col>0</xdr:col>
      <xdr:colOff>0</xdr:colOff>
      <xdr:row>122</xdr:row>
      <xdr:rowOff>0</xdr:rowOff>
    </xdr:from>
    <xdr:ext cx="6286500" cy="2667000"/>
    <xdr:graphicFrame macro="">
      <xdr:nvGraphicFramePr>
        <xdr:cNvPr id="1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bcb34e0e9746e9"/>
        </a:graphicData>
      </a:graphic>
    </xdr:graphicFrame>
    <xdr:clientData/>
  </xdr:oneCellAnchor>
  <xdr:oneCellAnchor>
    <xdr:from>
      <xdr:col>11</xdr:col>
      <xdr:colOff>0</xdr:colOff>
      <xdr:row>122</xdr:row>
      <xdr:rowOff>0</xdr:rowOff>
    </xdr:from>
    <xdr:ext cx="6286500" cy="2667000"/>
    <xdr:graphicFrame macro="">
      <xdr:nvGraphicFramePr>
        <xdr:cNvPr id="1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8b6bd2cef247e1"/>
        </a:graphicData>
      </a:graphic>
    </xdr:graphicFrame>
    <xdr:clientData/>
  </xdr:oneCellAnchor>
  <xdr:oneCellAnchor>
    <xdr:from>
      <xdr:col>0</xdr:col>
      <xdr:colOff>0</xdr:colOff>
      <xdr:row>162</xdr:row>
      <xdr:rowOff>0</xdr:rowOff>
    </xdr:from>
    <xdr:ext cx="6286500" cy="2667000"/>
    <xdr:graphicFrame macro="">
      <xdr:nvGraphicFramePr>
        <xdr:cNvPr id="1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d23166aa01446f"/>
        </a:graphicData>
      </a:graphic>
    </xdr:graphicFrame>
    <xdr:clientData/>
  </xdr:oneCellAnchor>
  <xdr:oneCellAnchor>
    <xdr:from>
      <xdr:col>11</xdr:col>
      <xdr:colOff>0</xdr:colOff>
      <xdr:row>162</xdr:row>
      <xdr:rowOff>0</xdr:rowOff>
    </xdr:from>
    <xdr:ext cx="6286500" cy="2667000"/>
    <xdr:graphicFrame macro="">
      <xdr:nvGraphicFramePr>
        <xdr:cNvPr id="1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4154289f2f448d"/>
        </a:graphicData>
      </a:graphic>
    </xdr:graphicFrame>
    <xdr:clientData/>
  </xdr:oneCellAnchor>
  <xdr:oneCellAnchor>
    <xdr:from>
      <xdr:col>0</xdr:col>
      <xdr:colOff>0</xdr:colOff>
      <xdr:row>202</xdr:row>
      <xdr:rowOff>0</xdr:rowOff>
    </xdr:from>
    <xdr:ext cx="6286500" cy="2667000"/>
    <xdr:graphicFrame macro="">
      <xdr:nvGraphicFramePr>
        <xdr:cNvPr id="1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918cde33054fad"/>
        </a:graphicData>
      </a:graphic>
    </xdr:graphicFrame>
    <xdr:clientData/>
  </xdr:oneCellAnchor>
  <xdr:oneCellAnchor>
    <xdr:from>
      <xdr:col>11</xdr:col>
      <xdr:colOff>0</xdr:colOff>
      <xdr:row>202</xdr:row>
      <xdr:rowOff>0</xdr:rowOff>
    </xdr:from>
    <xdr:ext cx="6286500" cy="2667000"/>
    <xdr:graphicFrame macro="">
      <xdr:nvGraphicFramePr>
        <xdr:cNvPr id="2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de0c5455344177"/>
        </a:graphicData>
      </a:graphic>
    </xdr:graphicFrame>
    <xdr:clientData/>
  </xdr:oneCellAnchor>
  <xdr:oneCellAnchor>
    <xdr:from>
      <xdr:col>0</xdr:col>
      <xdr:colOff>0</xdr:colOff>
      <xdr:row>2</xdr:row>
      <xdr:rowOff>0</xdr:rowOff>
    </xdr:from>
    <xdr:ext cx="6286500" cy="2667000"/>
    <xdr:graphicFrame macro="">
      <xdr:nvGraphicFramePr>
        <xdr:cNvPr id="2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9e3e329cd64919"/>
        </a:graphicData>
      </a:graphic>
    </xdr:graphicFrame>
    <xdr:clientData/>
  </xdr:oneCellAnchor>
  <xdr:oneCellAnchor>
    <xdr:from>
      <xdr:col>11</xdr:col>
      <xdr:colOff>0</xdr:colOff>
      <xdr:row>2</xdr:row>
      <xdr:rowOff>0</xdr:rowOff>
    </xdr:from>
    <xdr:ext cx="6286500" cy="2667000"/>
    <xdr:graphicFrame macro="">
      <xdr:nvGraphicFramePr>
        <xdr:cNvPr id="2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cee3ef5b044d8b"/>
        </a:graphicData>
      </a:graphic>
    </xdr:graphicFrame>
    <xdr:clientData/>
  </xdr:oneCellAnchor>
  <xdr:oneCellAnchor>
    <xdr:from>
      <xdr:col>0</xdr:col>
      <xdr:colOff>0</xdr:colOff>
      <xdr:row>42</xdr:row>
      <xdr:rowOff>0</xdr:rowOff>
    </xdr:from>
    <xdr:ext cx="6286500" cy="2667000"/>
    <xdr:graphicFrame macro="">
      <xdr:nvGraphicFramePr>
        <xdr:cNvPr id="2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477a2d34ed468c"/>
        </a:graphicData>
      </a:graphic>
    </xdr:graphicFrame>
    <xdr:clientData/>
  </xdr:oneCellAnchor>
  <xdr:oneCellAnchor>
    <xdr:from>
      <xdr:col>11</xdr:col>
      <xdr:colOff>0</xdr:colOff>
      <xdr:row>42</xdr:row>
      <xdr:rowOff>0</xdr:rowOff>
    </xdr:from>
    <xdr:ext cx="6286500" cy="2667000"/>
    <xdr:graphicFrame macro="">
      <xdr:nvGraphicFramePr>
        <xdr:cNvPr id="2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0284cd85b84a7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102</xdr:row>
      <xdr:rowOff>0</xdr:rowOff>
    </xdr:from>
    <xdr:ext cx="62865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43d988813d434e"/>
        </a:graphicData>
      </a:graphic>
    </xdr:graphicFrame>
    <xdr:clientData/>
  </xdr:oneCellAnchor>
  <xdr:oneCellAnchor>
    <xdr:from>
      <xdr:col>11</xdr:col>
      <xdr:colOff>0</xdr:colOff>
      <xdr:row>102</xdr:row>
      <xdr:rowOff>0</xdr:rowOff>
    </xdr:from>
    <xdr:ext cx="62865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0a93db37a54812"/>
        </a:graphicData>
      </a:graphic>
    </xdr:graphicFrame>
    <xdr:clientData/>
  </xdr:oneCellAnchor>
  <xdr:oneCellAnchor>
    <xdr:from>
      <xdr:col>0</xdr:col>
      <xdr:colOff>0</xdr:colOff>
      <xdr:row>142</xdr:row>
      <xdr:rowOff>0</xdr:rowOff>
    </xdr:from>
    <xdr:ext cx="6286500" cy="26670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067ea6f22749d1"/>
        </a:graphicData>
      </a:graphic>
    </xdr:graphicFrame>
    <xdr:clientData/>
  </xdr:oneCellAnchor>
  <xdr:oneCellAnchor>
    <xdr:from>
      <xdr:col>11</xdr:col>
      <xdr:colOff>0</xdr:colOff>
      <xdr:row>142</xdr:row>
      <xdr:rowOff>0</xdr:rowOff>
    </xdr:from>
    <xdr:ext cx="6286500" cy="26670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8aa848b3d14aff"/>
        </a:graphicData>
      </a:graphic>
    </xdr:graphicFrame>
    <xdr:clientData/>
  </xdr:oneCellAnchor>
  <xdr:oneCellAnchor>
    <xdr:from>
      <xdr:col>0</xdr:col>
      <xdr:colOff>0</xdr:colOff>
      <xdr:row>182</xdr:row>
      <xdr:rowOff>0</xdr:rowOff>
    </xdr:from>
    <xdr:ext cx="6286500" cy="266700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5df1b32ba547ec"/>
        </a:graphicData>
      </a:graphic>
    </xdr:graphicFrame>
    <xdr:clientData/>
  </xdr:oneCellAnchor>
  <xdr:oneCellAnchor>
    <xdr:from>
      <xdr:col>11</xdr:col>
      <xdr:colOff>0</xdr:colOff>
      <xdr:row>182</xdr:row>
      <xdr:rowOff>0</xdr:rowOff>
    </xdr:from>
    <xdr:ext cx="6286500" cy="266700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0632b21e114cb2"/>
        </a:graphicData>
      </a:graphic>
    </xdr:graphicFrame>
    <xdr:clientData/>
  </xdr:oneCellAnchor>
  <xdr:oneCellAnchor>
    <xdr:from>
      <xdr:col>0</xdr:col>
      <xdr:colOff>0</xdr:colOff>
      <xdr:row>222</xdr:row>
      <xdr:rowOff>0</xdr:rowOff>
    </xdr:from>
    <xdr:ext cx="6286500" cy="2667000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a8ee2b94a649b7"/>
        </a:graphicData>
      </a:graphic>
    </xdr:graphicFrame>
    <xdr:clientData/>
  </xdr:oneCellAnchor>
  <xdr:oneCellAnchor>
    <xdr:from>
      <xdr:col>11</xdr:col>
      <xdr:colOff>0</xdr:colOff>
      <xdr:row>222</xdr:row>
      <xdr:rowOff>0</xdr:rowOff>
    </xdr:from>
    <xdr:ext cx="6286500" cy="266700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6949f3979942e7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286500" cy="2667000"/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b9e41646494796"/>
        </a:graphicData>
      </a:graphic>
    </xdr:graphicFrame>
    <xdr:clientData/>
  </xdr:oneCellAnchor>
  <xdr:oneCellAnchor>
    <xdr:from>
      <xdr:col>11</xdr:col>
      <xdr:colOff>0</xdr:colOff>
      <xdr:row>22</xdr:row>
      <xdr:rowOff>0</xdr:rowOff>
    </xdr:from>
    <xdr:ext cx="6286500" cy="2667000"/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926c1fe12f4ae5"/>
        </a:graphicData>
      </a:graphic>
    </xdr:graphicFrame>
    <xdr:clientData/>
  </xdr:oneCellAnchor>
  <xdr:oneCellAnchor>
    <xdr:from>
      <xdr:col>0</xdr:col>
      <xdr:colOff>0</xdr:colOff>
      <xdr:row>62</xdr:row>
      <xdr:rowOff>0</xdr:rowOff>
    </xdr:from>
    <xdr:ext cx="6286500" cy="2667000"/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b42aad7adf4245"/>
        </a:graphicData>
      </a:graphic>
    </xdr:graphicFrame>
    <xdr:clientData/>
  </xdr:oneCellAnchor>
  <xdr:oneCellAnchor>
    <xdr:from>
      <xdr:col>11</xdr:col>
      <xdr:colOff>0</xdr:colOff>
      <xdr:row>62</xdr:row>
      <xdr:rowOff>0</xdr:rowOff>
    </xdr:from>
    <xdr:ext cx="6286500" cy="2667000"/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294b0bf59f452c"/>
        </a:graphicData>
      </a:graphic>
    </xdr:graphicFrame>
    <xdr:clientData/>
  </xdr:oneCellAnchor>
  <xdr:oneCellAnchor>
    <xdr:from>
      <xdr:col>0</xdr:col>
      <xdr:colOff>0</xdr:colOff>
      <xdr:row>82</xdr:row>
      <xdr:rowOff>0</xdr:rowOff>
    </xdr:from>
    <xdr:ext cx="6286500" cy="2667000"/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74e3278c7d476f"/>
        </a:graphicData>
      </a:graphic>
    </xdr:graphicFrame>
    <xdr:clientData/>
  </xdr:oneCellAnchor>
  <xdr:oneCellAnchor>
    <xdr:from>
      <xdr:col>11</xdr:col>
      <xdr:colOff>0</xdr:colOff>
      <xdr:row>82</xdr:row>
      <xdr:rowOff>0</xdr:rowOff>
    </xdr:from>
    <xdr:ext cx="6286500" cy="2667000"/>
    <xdr:graphicFrame macro="">
      <xdr:nvGraphicFramePr>
        <xdr:cNvPr id="1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2b5a805c334510"/>
        </a:graphicData>
      </a:graphic>
    </xdr:graphicFrame>
    <xdr:clientData/>
  </xdr:oneCellAnchor>
  <xdr:oneCellAnchor>
    <xdr:from>
      <xdr:col>0</xdr:col>
      <xdr:colOff>0</xdr:colOff>
      <xdr:row>122</xdr:row>
      <xdr:rowOff>0</xdr:rowOff>
    </xdr:from>
    <xdr:ext cx="6286500" cy="2667000"/>
    <xdr:graphicFrame macro="">
      <xdr:nvGraphicFramePr>
        <xdr:cNvPr id="1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e8b73e5ed8473a"/>
        </a:graphicData>
      </a:graphic>
    </xdr:graphicFrame>
    <xdr:clientData/>
  </xdr:oneCellAnchor>
  <xdr:oneCellAnchor>
    <xdr:from>
      <xdr:col>11</xdr:col>
      <xdr:colOff>0</xdr:colOff>
      <xdr:row>122</xdr:row>
      <xdr:rowOff>0</xdr:rowOff>
    </xdr:from>
    <xdr:ext cx="6286500" cy="2667000"/>
    <xdr:graphicFrame macro="">
      <xdr:nvGraphicFramePr>
        <xdr:cNvPr id="1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2e3422f7ad47ea"/>
        </a:graphicData>
      </a:graphic>
    </xdr:graphicFrame>
    <xdr:clientData/>
  </xdr:oneCellAnchor>
  <xdr:oneCellAnchor>
    <xdr:from>
      <xdr:col>0</xdr:col>
      <xdr:colOff>0</xdr:colOff>
      <xdr:row>162</xdr:row>
      <xdr:rowOff>0</xdr:rowOff>
    </xdr:from>
    <xdr:ext cx="6286500" cy="2667000"/>
    <xdr:graphicFrame macro="">
      <xdr:nvGraphicFramePr>
        <xdr:cNvPr id="1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1766d22939429d"/>
        </a:graphicData>
      </a:graphic>
    </xdr:graphicFrame>
    <xdr:clientData/>
  </xdr:oneCellAnchor>
  <xdr:oneCellAnchor>
    <xdr:from>
      <xdr:col>11</xdr:col>
      <xdr:colOff>0</xdr:colOff>
      <xdr:row>162</xdr:row>
      <xdr:rowOff>0</xdr:rowOff>
    </xdr:from>
    <xdr:ext cx="6286500" cy="2667000"/>
    <xdr:graphicFrame macro="">
      <xdr:nvGraphicFramePr>
        <xdr:cNvPr id="1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ca90c78a3842cd"/>
        </a:graphicData>
      </a:graphic>
    </xdr:graphicFrame>
    <xdr:clientData/>
  </xdr:oneCellAnchor>
  <xdr:oneCellAnchor>
    <xdr:from>
      <xdr:col>0</xdr:col>
      <xdr:colOff>0</xdr:colOff>
      <xdr:row>202</xdr:row>
      <xdr:rowOff>0</xdr:rowOff>
    </xdr:from>
    <xdr:ext cx="6286500" cy="2667000"/>
    <xdr:graphicFrame macro="">
      <xdr:nvGraphicFramePr>
        <xdr:cNvPr id="1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c73b9f3b3b4090"/>
        </a:graphicData>
      </a:graphic>
    </xdr:graphicFrame>
    <xdr:clientData/>
  </xdr:oneCellAnchor>
  <xdr:oneCellAnchor>
    <xdr:from>
      <xdr:col>11</xdr:col>
      <xdr:colOff>0</xdr:colOff>
      <xdr:row>202</xdr:row>
      <xdr:rowOff>0</xdr:rowOff>
    </xdr:from>
    <xdr:ext cx="6286500" cy="2667000"/>
    <xdr:graphicFrame macro="">
      <xdr:nvGraphicFramePr>
        <xdr:cNvPr id="2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499787455e4d5a"/>
        </a:graphicData>
      </a:graphic>
    </xdr:graphicFrame>
    <xdr:clientData/>
  </xdr:oneCellAnchor>
  <xdr:oneCellAnchor>
    <xdr:from>
      <xdr:col>0</xdr:col>
      <xdr:colOff>0</xdr:colOff>
      <xdr:row>2</xdr:row>
      <xdr:rowOff>0</xdr:rowOff>
    </xdr:from>
    <xdr:ext cx="6286500" cy="2667000"/>
    <xdr:graphicFrame macro="">
      <xdr:nvGraphicFramePr>
        <xdr:cNvPr id="2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8a912e3c2749b1"/>
        </a:graphicData>
      </a:graphic>
    </xdr:graphicFrame>
    <xdr:clientData/>
  </xdr:oneCellAnchor>
  <xdr:oneCellAnchor>
    <xdr:from>
      <xdr:col>11</xdr:col>
      <xdr:colOff>0</xdr:colOff>
      <xdr:row>2</xdr:row>
      <xdr:rowOff>0</xdr:rowOff>
    </xdr:from>
    <xdr:ext cx="6286500" cy="2667000"/>
    <xdr:graphicFrame macro="">
      <xdr:nvGraphicFramePr>
        <xdr:cNvPr id="2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d80504e4c84b3c"/>
        </a:graphicData>
      </a:graphic>
    </xdr:graphicFrame>
    <xdr:clientData/>
  </xdr:oneCellAnchor>
  <xdr:oneCellAnchor>
    <xdr:from>
      <xdr:col>0</xdr:col>
      <xdr:colOff>0</xdr:colOff>
      <xdr:row>42</xdr:row>
      <xdr:rowOff>0</xdr:rowOff>
    </xdr:from>
    <xdr:ext cx="6286500" cy="2667000"/>
    <xdr:graphicFrame macro="">
      <xdr:nvGraphicFramePr>
        <xdr:cNvPr id="2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bcd2054c944468"/>
        </a:graphicData>
      </a:graphic>
    </xdr:graphicFrame>
    <xdr:clientData/>
  </xdr:oneCellAnchor>
  <xdr:oneCellAnchor>
    <xdr:from>
      <xdr:col>11</xdr:col>
      <xdr:colOff>0</xdr:colOff>
      <xdr:row>42</xdr:row>
      <xdr:rowOff>0</xdr:rowOff>
    </xdr:from>
    <xdr:ext cx="6286500" cy="2667000"/>
    <xdr:graphicFrame macro="">
      <xdr:nvGraphicFramePr>
        <xdr:cNvPr id="2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6ef564c18047da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62865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cbed793bc84823"/>
        </a:graphicData>
      </a:graphic>
    </xdr:graphicFrame>
    <xdr:clientData/>
  </xdr:oneCellAnchor>
  <xdr:oneCellAnchor>
    <xdr:from>
      <xdr:col>11</xdr:col>
      <xdr:colOff>0</xdr:colOff>
      <xdr:row>2</xdr:row>
      <xdr:rowOff>0</xdr:rowOff>
    </xdr:from>
    <xdr:ext cx="62865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a082491ab34dea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286500" cy="26670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61f4ece01e43d1"/>
        </a:graphicData>
      </a:graphic>
    </xdr:graphicFrame>
    <xdr:clientData/>
  </xdr:oneCellAnchor>
  <xdr:oneCellAnchor>
    <xdr:from>
      <xdr:col>11</xdr:col>
      <xdr:colOff>0</xdr:colOff>
      <xdr:row>22</xdr:row>
      <xdr:rowOff>0</xdr:rowOff>
    </xdr:from>
    <xdr:ext cx="6286500" cy="26670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f7c1b0833243a8"/>
        </a:graphicData>
      </a:graphic>
    </xdr:graphicFrame>
    <xdr:clientData/>
  </xdr:oneCellAnchor>
  <xdr:oneCellAnchor>
    <xdr:from>
      <xdr:col>0</xdr:col>
      <xdr:colOff>0</xdr:colOff>
      <xdr:row>42</xdr:row>
      <xdr:rowOff>0</xdr:rowOff>
    </xdr:from>
    <xdr:ext cx="6286500" cy="266700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9895333b424cd0"/>
        </a:graphicData>
      </a:graphic>
    </xdr:graphicFrame>
    <xdr:clientData/>
  </xdr:oneCellAnchor>
  <xdr:oneCellAnchor>
    <xdr:from>
      <xdr:col>11</xdr:col>
      <xdr:colOff>0</xdr:colOff>
      <xdr:row>42</xdr:row>
      <xdr:rowOff>0</xdr:rowOff>
    </xdr:from>
    <xdr:ext cx="6286500" cy="266700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85503b8f224870"/>
        </a:graphicData>
      </a:graphic>
    </xdr:graphicFrame>
    <xdr:clientData/>
  </xdr:oneCellAnchor>
  <xdr:oneCellAnchor>
    <xdr:from>
      <xdr:col>0</xdr:col>
      <xdr:colOff>0</xdr:colOff>
      <xdr:row>62</xdr:row>
      <xdr:rowOff>0</xdr:rowOff>
    </xdr:from>
    <xdr:ext cx="6286500" cy="2667000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c2476fa5984fde"/>
        </a:graphicData>
      </a:graphic>
    </xdr:graphicFrame>
    <xdr:clientData/>
  </xdr:oneCellAnchor>
  <xdr:oneCellAnchor>
    <xdr:from>
      <xdr:col>11</xdr:col>
      <xdr:colOff>0</xdr:colOff>
      <xdr:row>62</xdr:row>
      <xdr:rowOff>0</xdr:rowOff>
    </xdr:from>
    <xdr:ext cx="6286500" cy="266700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a94354858a4a0e"/>
        </a:graphicData>
      </a:graphic>
    </xdr:graphicFrame>
    <xdr:clientData/>
  </xdr:oneCellAnchor>
  <xdr:oneCellAnchor>
    <xdr:from>
      <xdr:col>0</xdr:col>
      <xdr:colOff>0</xdr:colOff>
      <xdr:row>82</xdr:row>
      <xdr:rowOff>0</xdr:rowOff>
    </xdr:from>
    <xdr:ext cx="6286500" cy="2667000"/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028c8057bd4564"/>
        </a:graphicData>
      </a:graphic>
    </xdr:graphicFrame>
    <xdr:clientData/>
  </xdr:oneCellAnchor>
  <xdr:oneCellAnchor>
    <xdr:from>
      <xdr:col>11</xdr:col>
      <xdr:colOff>0</xdr:colOff>
      <xdr:row>82</xdr:row>
      <xdr:rowOff>0</xdr:rowOff>
    </xdr:from>
    <xdr:ext cx="6286500" cy="2667000"/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f4079554f54431"/>
        </a:graphicData>
      </a:graphic>
    </xdr:graphicFrame>
    <xdr:clientData/>
  </xdr:oneCellAnchor>
  <xdr:oneCellAnchor>
    <xdr:from>
      <xdr:col>0</xdr:col>
      <xdr:colOff>0</xdr:colOff>
      <xdr:row>102</xdr:row>
      <xdr:rowOff>0</xdr:rowOff>
    </xdr:from>
    <xdr:ext cx="6286500" cy="2667000"/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bc62e625b6480a"/>
        </a:graphicData>
      </a:graphic>
    </xdr:graphicFrame>
    <xdr:clientData/>
  </xdr:oneCellAnchor>
  <xdr:oneCellAnchor>
    <xdr:from>
      <xdr:col>11</xdr:col>
      <xdr:colOff>0</xdr:colOff>
      <xdr:row>102</xdr:row>
      <xdr:rowOff>0</xdr:rowOff>
    </xdr:from>
    <xdr:ext cx="6286500" cy="2667000"/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ccdf716dd649ed"/>
        </a:graphicData>
      </a:graphic>
    </xdr:graphicFrame>
    <xdr:clientData/>
  </xdr:oneCellAnchor>
  <xdr:oneCellAnchor>
    <xdr:from>
      <xdr:col>0</xdr:col>
      <xdr:colOff>0</xdr:colOff>
      <xdr:row>122</xdr:row>
      <xdr:rowOff>0</xdr:rowOff>
    </xdr:from>
    <xdr:ext cx="6286500" cy="2667000"/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f7c8d43de24f5a"/>
        </a:graphicData>
      </a:graphic>
    </xdr:graphicFrame>
    <xdr:clientData/>
  </xdr:oneCellAnchor>
  <xdr:oneCellAnchor>
    <xdr:from>
      <xdr:col>11</xdr:col>
      <xdr:colOff>0</xdr:colOff>
      <xdr:row>122</xdr:row>
      <xdr:rowOff>0</xdr:rowOff>
    </xdr:from>
    <xdr:ext cx="6286500" cy="2667000"/>
    <xdr:graphicFrame macro="">
      <xdr:nvGraphicFramePr>
        <xdr:cNvPr id="1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cbe3bd5ea14a12"/>
        </a:graphicData>
      </a:graphic>
    </xdr:graphicFrame>
    <xdr:clientData/>
  </xdr:oneCellAnchor>
  <xdr:oneCellAnchor>
    <xdr:from>
      <xdr:col>0</xdr:col>
      <xdr:colOff>0</xdr:colOff>
      <xdr:row>142</xdr:row>
      <xdr:rowOff>0</xdr:rowOff>
    </xdr:from>
    <xdr:ext cx="6286500" cy="2667000"/>
    <xdr:graphicFrame macro="">
      <xdr:nvGraphicFramePr>
        <xdr:cNvPr id="1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f845d3cb8c49b0"/>
        </a:graphicData>
      </a:graphic>
    </xdr:graphicFrame>
    <xdr:clientData/>
  </xdr:oneCellAnchor>
  <xdr:oneCellAnchor>
    <xdr:from>
      <xdr:col>11</xdr:col>
      <xdr:colOff>0</xdr:colOff>
      <xdr:row>142</xdr:row>
      <xdr:rowOff>0</xdr:rowOff>
    </xdr:from>
    <xdr:ext cx="6286500" cy="2667000"/>
    <xdr:graphicFrame macro="">
      <xdr:nvGraphicFramePr>
        <xdr:cNvPr id="1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410f9570804f18"/>
        </a:graphicData>
      </a:graphic>
    </xdr:graphicFrame>
    <xdr:clientData/>
  </xdr:oneCellAnchor>
  <xdr:oneCellAnchor>
    <xdr:from>
      <xdr:col>0</xdr:col>
      <xdr:colOff>0</xdr:colOff>
      <xdr:row>162</xdr:row>
      <xdr:rowOff>0</xdr:rowOff>
    </xdr:from>
    <xdr:ext cx="6286500" cy="2667000"/>
    <xdr:graphicFrame macro="">
      <xdr:nvGraphicFramePr>
        <xdr:cNvPr id="1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878a21a012483e"/>
        </a:graphicData>
      </a:graphic>
    </xdr:graphicFrame>
    <xdr:clientData/>
  </xdr:oneCellAnchor>
  <xdr:oneCellAnchor>
    <xdr:from>
      <xdr:col>11</xdr:col>
      <xdr:colOff>0</xdr:colOff>
      <xdr:row>162</xdr:row>
      <xdr:rowOff>0</xdr:rowOff>
    </xdr:from>
    <xdr:ext cx="6286500" cy="2667000"/>
    <xdr:graphicFrame macro="">
      <xdr:nvGraphicFramePr>
        <xdr:cNvPr id="1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07825f3347448a"/>
        </a:graphicData>
      </a:graphic>
    </xdr:graphicFrame>
    <xdr:clientData/>
  </xdr:oneCellAnchor>
  <xdr:oneCellAnchor>
    <xdr:from>
      <xdr:col>0</xdr:col>
      <xdr:colOff>0</xdr:colOff>
      <xdr:row>182</xdr:row>
      <xdr:rowOff>0</xdr:rowOff>
    </xdr:from>
    <xdr:ext cx="6286500" cy="2667000"/>
    <xdr:graphicFrame macro="">
      <xdr:nvGraphicFramePr>
        <xdr:cNvPr id="1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9e53c393e44473"/>
        </a:graphicData>
      </a:graphic>
    </xdr:graphicFrame>
    <xdr:clientData/>
  </xdr:oneCellAnchor>
  <xdr:oneCellAnchor>
    <xdr:from>
      <xdr:col>11</xdr:col>
      <xdr:colOff>0</xdr:colOff>
      <xdr:row>182</xdr:row>
      <xdr:rowOff>0</xdr:rowOff>
    </xdr:from>
    <xdr:ext cx="6286500" cy="2667000"/>
    <xdr:graphicFrame macro="">
      <xdr:nvGraphicFramePr>
        <xdr:cNvPr id="2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ac9a18c66945c8"/>
        </a:graphicData>
      </a:graphic>
    </xdr:graphicFrame>
    <xdr:clientData/>
  </xdr:oneCellAnchor>
  <xdr:oneCellAnchor>
    <xdr:from>
      <xdr:col>0</xdr:col>
      <xdr:colOff>0</xdr:colOff>
      <xdr:row>202</xdr:row>
      <xdr:rowOff>0</xdr:rowOff>
    </xdr:from>
    <xdr:ext cx="6286500" cy="2667000"/>
    <xdr:graphicFrame macro="">
      <xdr:nvGraphicFramePr>
        <xdr:cNvPr id="2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111bc0f9b043b6"/>
        </a:graphicData>
      </a:graphic>
    </xdr:graphicFrame>
    <xdr:clientData/>
  </xdr:oneCellAnchor>
  <xdr:oneCellAnchor>
    <xdr:from>
      <xdr:col>11</xdr:col>
      <xdr:colOff>0</xdr:colOff>
      <xdr:row>202</xdr:row>
      <xdr:rowOff>0</xdr:rowOff>
    </xdr:from>
    <xdr:ext cx="6286500" cy="2667000"/>
    <xdr:graphicFrame macro="">
      <xdr:nvGraphicFramePr>
        <xdr:cNvPr id="2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dc7973ca8341a3"/>
        </a:graphicData>
      </a:graphic>
    </xdr:graphicFrame>
    <xdr:clientData/>
  </xdr:oneCellAnchor>
  <xdr:oneCellAnchor>
    <xdr:from>
      <xdr:col>0</xdr:col>
      <xdr:colOff>0</xdr:colOff>
      <xdr:row>222</xdr:row>
      <xdr:rowOff>0</xdr:rowOff>
    </xdr:from>
    <xdr:ext cx="6286500" cy="2667000"/>
    <xdr:graphicFrame macro="">
      <xdr:nvGraphicFramePr>
        <xdr:cNvPr id="2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5bf378f3054c39"/>
        </a:graphicData>
      </a:graphic>
    </xdr:graphicFrame>
    <xdr:clientData/>
  </xdr:oneCellAnchor>
  <xdr:oneCellAnchor>
    <xdr:from>
      <xdr:col>11</xdr:col>
      <xdr:colOff>0</xdr:colOff>
      <xdr:row>222</xdr:row>
      <xdr:rowOff>0</xdr:rowOff>
    </xdr:from>
    <xdr:ext cx="6286500" cy="2667000"/>
    <xdr:graphicFrame macro="">
      <xdr:nvGraphicFramePr>
        <xdr:cNvPr id="2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a8581f4e2b465a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3143250" cy="2095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7c243fbd7b4dc3"/>
        </a:graphicData>
      </a:graphic>
    </xdr:graphicFrame>
    <xdr:clientData/>
  </xdr:oneCellAnchor>
  <xdr:oneCellAnchor>
    <xdr:from>
      <xdr:col>6</xdr:col>
      <xdr:colOff>0</xdr:colOff>
      <xdr:row>2</xdr:row>
      <xdr:rowOff>0</xdr:rowOff>
    </xdr:from>
    <xdr:ext cx="3143250" cy="2095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8368f1ca4a427a"/>
        </a:graphicData>
      </a:graphic>
    </xdr:graphicFrame>
    <xdr:clientData/>
  </xdr:oneCellAnchor>
  <xdr:oneCellAnchor>
    <xdr:from>
      <xdr:col>12</xdr:col>
      <xdr:colOff>0</xdr:colOff>
      <xdr:row>2</xdr:row>
      <xdr:rowOff>0</xdr:rowOff>
    </xdr:from>
    <xdr:ext cx="3143250" cy="2095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68ed1fb22f4222"/>
        </a:graphicData>
      </a:graphic>
    </xdr:graphicFrame>
    <xdr:clientData/>
  </xdr:oneCellAnchor>
  <xdr:oneCellAnchor>
    <xdr:from>
      <xdr:col>18</xdr:col>
      <xdr:colOff>0</xdr:colOff>
      <xdr:row>2</xdr:row>
      <xdr:rowOff>0</xdr:rowOff>
    </xdr:from>
    <xdr:ext cx="3143250" cy="20955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387e2562f2465f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3143250" cy="209550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075944d5a24267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3143250" cy="209550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e74fa8ecc54592"/>
        </a:graphicData>
      </a:graphic>
    </xdr:graphicFrame>
    <xdr:clientData/>
  </xdr:oneCellAnchor>
  <xdr:oneCellAnchor>
    <xdr:from>
      <xdr:col>12</xdr:col>
      <xdr:colOff>0</xdr:colOff>
      <xdr:row>21</xdr:row>
      <xdr:rowOff>0</xdr:rowOff>
    </xdr:from>
    <xdr:ext cx="3143250" cy="2095500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5f05797fd843ac"/>
        </a:graphicData>
      </a:graphic>
    </xdr:graphicFrame>
    <xdr:clientData/>
  </xdr:oneCellAnchor>
  <xdr:oneCellAnchor>
    <xdr:from>
      <xdr:col>18</xdr:col>
      <xdr:colOff>0</xdr:colOff>
      <xdr:row>21</xdr:row>
      <xdr:rowOff>0</xdr:rowOff>
    </xdr:from>
    <xdr:ext cx="3143250" cy="209550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e6f999d0064111"/>
        </a:graphicData>
      </a:graphic>
    </xdr:graphicFrame>
    <xdr:clientData/>
  </xdr:oneCellAnchor>
  <xdr:oneCellAnchor>
    <xdr:from>
      <xdr:col>0</xdr:col>
      <xdr:colOff>0</xdr:colOff>
      <xdr:row>40</xdr:row>
      <xdr:rowOff>0</xdr:rowOff>
    </xdr:from>
    <xdr:ext cx="3143250" cy="2095500"/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2e9f6848bf456f"/>
        </a:graphicData>
      </a:graphic>
    </xdr:graphicFrame>
    <xdr:clientData/>
  </xdr:oneCellAnchor>
  <xdr:oneCellAnchor>
    <xdr:from>
      <xdr:col>6</xdr:col>
      <xdr:colOff>0</xdr:colOff>
      <xdr:row>40</xdr:row>
      <xdr:rowOff>0</xdr:rowOff>
    </xdr:from>
    <xdr:ext cx="3143250" cy="2095500"/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a57ce3bee54efc"/>
        </a:graphicData>
      </a:graphic>
    </xdr:graphicFrame>
    <xdr:clientData/>
  </xdr:oneCellAnchor>
  <xdr:oneCellAnchor>
    <xdr:from>
      <xdr:col>12</xdr:col>
      <xdr:colOff>0</xdr:colOff>
      <xdr:row>40</xdr:row>
      <xdr:rowOff>0</xdr:rowOff>
    </xdr:from>
    <xdr:ext cx="3143250" cy="2095500"/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b795613ee445b9"/>
        </a:graphicData>
      </a:graphic>
    </xdr:graphicFrame>
    <xdr:clientData/>
  </xdr:oneCellAnchor>
  <xdr:oneCellAnchor>
    <xdr:from>
      <xdr:col>18</xdr:col>
      <xdr:colOff>0</xdr:colOff>
      <xdr:row>40</xdr:row>
      <xdr:rowOff>0</xdr:rowOff>
    </xdr:from>
    <xdr:ext cx="3143250" cy="2095500"/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fec89c6d0b4d1f"/>
        </a:graphicData>
      </a:graphic>
    </xdr:graphicFrame>
    <xdr:clientData/>
  </xdr:oneCellAnchor>
  <xdr:oneCellAnchor>
    <xdr:from>
      <xdr:col>0</xdr:col>
      <xdr:colOff>0</xdr:colOff>
      <xdr:row>59</xdr:row>
      <xdr:rowOff>0</xdr:rowOff>
    </xdr:from>
    <xdr:ext cx="3143250" cy="2095500"/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4ad30b2d1c42e9"/>
        </a:graphicData>
      </a:graphic>
    </xdr:graphicFrame>
    <xdr:clientData/>
  </xdr:oneCellAnchor>
  <xdr:oneCellAnchor>
    <xdr:from>
      <xdr:col>6</xdr:col>
      <xdr:colOff>0</xdr:colOff>
      <xdr:row>59</xdr:row>
      <xdr:rowOff>0</xdr:rowOff>
    </xdr:from>
    <xdr:ext cx="3143250" cy="2095500"/>
    <xdr:graphicFrame macro="">
      <xdr:nvGraphicFramePr>
        <xdr:cNvPr id="1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85e86494894d34"/>
        </a:graphicData>
      </a:graphic>
    </xdr:graphicFrame>
    <xdr:clientData/>
  </xdr:oneCellAnchor>
  <xdr:oneCellAnchor>
    <xdr:from>
      <xdr:col>12</xdr:col>
      <xdr:colOff>0</xdr:colOff>
      <xdr:row>59</xdr:row>
      <xdr:rowOff>0</xdr:rowOff>
    </xdr:from>
    <xdr:ext cx="3143250" cy="2095500"/>
    <xdr:graphicFrame macro="">
      <xdr:nvGraphicFramePr>
        <xdr:cNvPr id="1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f841b5ce1c4737"/>
        </a:graphicData>
      </a:graphic>
    </xdr:graphicFrame>
    <xdr:clientData/>
  </xdr:oneCellAnchor>
  <xdr:oneCellAnchor>
    <xdr:from>
      <xdr:col>18</xdr:col>
      <xdr:colOff>0</xdr:colOff>
      <xdr:row>59</xdr:row>
      <xdr:rowOff>0</xdr:rowOff>
    </xdr:from>
    <xdr:ext cx="3143250" cy="2095500"/>
    <xdr:graphicFrame macro="">
      <xdr:nvGraphicFramePr>
        <xdr:cNvPr id="1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a44c2877304ed8"/>
        </a:graphicData>
      </a:graphic>
    </xdr:graphicFrame>
    <xdr:clientData/>
  </xdr:oneCellAnchor>
  <xdr:oneCellAnchor>
    <xdr:from>
      <xdr:col>0</xdr:col>
      <xdr:colOff>0</xdr:colOff>
      <xdr:row>78</xdr:row>
      <xdr:rowOff>0</xdr:rowOff>
    </xdr:from>
    <xdr:ext cx="3143250" cy="2095500"/>
    <xdr:graphicFrame macro="">
      <xdr:nvGraphicFramePr>
        <xdr:cNvPr id="1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3ad51d62c943c9"/>
        </a:graphicData>
      </a:graphic>
    </xdr:graphicFrame>
    <xdr:clientData/>
  </xdr:oneCellAnchor>
  <xdr:oneCellAnchor>
    <xdr:from>
      <xdr:col>6</xdr:col>
      <xdr:colOff>0</xdr:colOff>
      <xdr:row>78</xdr:row>
      <xdr:rowOff>0</xdr:rowOff>
    </xdr:from>
    <xdr:ext cx="3143250" cy="2095500"/>
    <xdr:graphicFrame macro="">
      <xdr:nvGraphicFramePr>
        <xdr:cNvPr id="1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1c61dfad6a41ab"/>
        </a:graphicData>
      </a:graphic>
    </xdr:graphicFrame>
    <xdr:clientData/>
  </xdr:oneCellAnchor>
  <xdr:oneCellAnchor>
    <xdr:from>
      <xdr:col>12</xdr:col>
      <xdr:colOff>0</xdr:colOff>
      <xdr:row>78</xdr:row>
      <xdr:rowOff>0</xdr:rowOff>
    </xdr:from>
    <xdr:ext cx="3143250" cy="2095500"/>
    <xdr:graphicFrame macro="">
      <xdr:nvGraphicFramePr>
        <xdr:cNvPr id="1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5712a87eb543d0"/>
        </a:graphicData>
      </a:graphic>
    </xdr:graphicFrame>
    <xdr:clientData/>
  </xdr:oneCellAnchor>
  <xdr:oneCellAnchor>
    <xdr:from>
      <xdr:col>18</xdr:col>
      <xdr:colOff>0</xdr:colOff>
      <xdr:row>78</xdr:row>
      <xdr:rowOff>0</xdr:rowOff>
    </xdr:from>
    <xdr:ext cx="3143250" cy="2095500"/>
    <xdr:graphicFrame macro="">
      <xdr:nvGraphicFramePr>
        <xdr:cNvPr id="2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cf3ffbc4c84f7f"/>
        </a:graphicData>
      </a:graphic>
    </xdr:graphicFrame>
    <xdr:clientData/>
  </xdr:oneCellAnchor>
  <xdr:oneCellAnchor>
    <xdr:from>
      <xdr:col>0</xdr:col>
      <xdr:colOff>0</xdr:colOff>
      <xdr:row>97</xdr:row>
      <xdr:rowOff>0</xdr:rowOff>
    </xdr:from>
    <xdr:ext cx="3143250" cy="2095500"/>
    <xdr:graphicFrame macro="">
      <xdr:nvGraphicFramePr>
        <xdr:cNvPr id="2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3dfa31b4a14e2f"/>
        </a:graphicData>
      </a:graphic>
    </xdr:graphicFrame>
    <xdr:clientData/>
  </xdr:oneCellAnchor>
  <xdr:oneCellAnchor>
    <xdr:from>
      <xdr:col>6</xdr:col>
      <xdr:colOff>0</xdr:colOff>
      <xdr:row>97</xdr:row>
      <xdr:rowOff>0</xdr:rowOff>
    </xdr:from>
    <xdr:ext cx="3143250" cy="2095500"/>
    <xdr:graphicFrame macro="">
      <xdr:nvGraphicFramePr>
        <xdr:cNvPr id="2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01f347c0e44831"/>
        </a:graphicData>
      </a:graphic>
    </xdr:graphicFrame>
    <xdr:clientData/>
  </xdr:oneCellAnchor>
  <xdr:oneCellAnchor>
    <xdr:from>
      <xdr:col>12</xdr:col>
      <xdr:colOff>0</xdr:colOff>
      <xdr:row>97</xdr:row>
      <xdr:rowOff>0</xdr:rowOff>
    </xdr:from>
    <xdr:ext cx="3143250" cy="2095500"/>
    <xdr:graphicFrame macro="">
      <xdr:nvGraphicFramePr>
        <xdr:cNvPr id="2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d95fa0368542ec"/>
        </a:graphicData>
      </a:graphic>
    </xdr:graphicFrame>
    <xdr:clientData/>
  </xdr:oneCellAnchor>
  <xdr:oneCellAnchor>
    <xdr:from>
      <xdr:col>18</xdr:col>
      <xdr:colOff>0</xdr:colOff>
      <xdr:row>97</xdr:row>
      <xdr:rowOff>0</xdr:rowOff>
    </xdr:from>
    <xdr:ext cx="3143250" cy="2095500"/>
    <xdr:graphicFrame macro="">
      <xdr:nvGraphicFramePr>
        <xdr:cNvPr id="2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d3e881ce43434c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3143250" cy="2095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27b387369a4c4e"/>
        </a:graphicData>
      </a:graphic>
    </xdr:graphicFrame>
    <xdr:clientData/>
  </xdr:oneCellAnchor>
  <xdr:oneCellAnchor>
    <xdr:from>
      <xdr:col>6</xdr:col>
      <xdr:colOff>0</xdr:colOff>
      <xdr:row>2</xdr:row>
      <xdr:rowOff>0</xdr:rowOff>
    </xdr:from>
    <xdr:ext cx="3143250" cy="2095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0889199d85494e"/>
        </a:graphicData>
      </a:graphic>
    </xdr:graphicFrame>
    <xdr:clientData/>
  </xdr:oneCellAnchor>
  <xdr:oneCellAnchor>
    <xdr:from>
      <xdr:col>12</xdr:col>
      <xdr:colOff>0</xdr:colOff>
      <xdr:row>2</xdr:row>
      <xdr:rowOff>0</xdr:rowOff>
    </xdr:from>
    <xdr:ext cx="3143250" cy="2095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ff055d9766447b"/>
        </a:graphicData>
      </a:graphic>
    </xdr:graphicFrame>
    <xdr:clientData/>
  </xdr:oneCellAnchor>
  <xdr:oneCellAnchor>
    <xdr:from>
      <xdr:col>18</xdr:col>
      <xdr:colOff>0</xdr:colOff>
      <xdr:row>2</xdr:row>
      <xdr:rowOff>0</xdr:rowOff>
    </xdr:from>
    <xdr:ext cx="3143250" cy="20955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2cdfd1e2804e7c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3143250" cy="209550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26a951a87545e9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3143250" cy="209550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2ede95599d4b0f"/>
        </a:graphicData>
      </a:graphic>
    </xdr:graphicFrame>
    <xdr:clientData/>
  </xdr:oneCellAnchor>
  <xdr:oneCellAnchor>
    <xdr:from>
      <xdr:col>12</xdr:col>
      <xdr:colOff>0</xdr:colOff>
      <xdr:row>21</xdr:row>
      <xdr:rowOff>0</xdr:rowOff>
    </xdr:from>
    <xdr:ext cx="3143250" cy="2095500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d36e8d7a964026"/>
        </a:graphicData>
      </a:graphic>
    </xdr:graphicFrame>
    <xdr:clientData/>
  </xdr:oneCellAnchor>
  <xdr:oneCellAnchor>
    <xdr:from>
      <xdr:col>18</xdr:col>
      <xdr:colOff>0</xdr:colOff>
      <xdr:row>21</xdr:row>
      <xdr:rowOff>0</xdr:rowOff>
    </xdr:from>
    <xdr:ext cx="3143250" cy="209550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e6cdba7baf4698"/>
        </a:graphicData>
      </a:graphic>
    </xdr:graphicFrame>
    <xdr:clientData/>
  </xdr:oneCellAnchor>
  <xdr:oneCellAnchor>
    <xdr:from>
      <xdr:col>0</xdr:col>
      <xdr:colOff>0</xdr:colOff>
      <xdr:row>40</xdr:row>
      <xdr:rowOff>0</xdr:rowOff>
    </xdr:from>
    <xdr:ext cx="3143250" cy="2095500"/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9b9fd9610d4be4"/>
        </a:graphicData>
      </a:graphic>
    </xdr:graphicFrame>
    <xdr:clientData/>
  </xdr:oneCellAnchor>
  <xdr:oneCellAnchor>
    <xdr:from>
      <xdr:col>6</xdr:col>
      <xdr:colOff>0</xdr:colOff>
      <xdr:row>40</xdr:row>
      <xdr:rowOff>0</xdr:rowOff>
    </xdr:from>
    <xdr:ext cx="3143250" cy="2095500"/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18753d84f54f55"/>
        </a:graphicData>
      </a:graphic>
    </xdr:graphicFrame>
    <xdr:clientData/>
  </xdr:oneCellAnchor>
  <xdr:oneCellAnchor>
    <xdr:from>
      <xdr:col>12</xdr:col>
      <xdr:colOff>0</xdr:colOff>
      <xdr:row>40</xdr:row>
      <xdr:rowOff>0</xdr:rowOff>
    </xdr:from>
    <xdr:ext cx="3143250" cy="2095500"/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643894d5524f04"/>
        </a:graphicData>
      </a:graphic>
    </xdr:graphicFrame>
    <xdr:clientData/>
  </xdr:oneCellAnchor>
  <xdr:oneCellAnchor>
    <xdr:from>
      <xdr:col>18</xdr:col>
      <xdr:colOff>0</xdr:colOff>
      <xdr:row>40</xdr:row>
      <xdr:rowOff>0</xdr:rowOff>
    </xdr:from>
    <xdr:ext cx="3143250" cy="2095500"/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e85d84e82a4e38"/>
        </a:graphicData>
      </a:graphic>
    </xdr:graphicFrame>
    <xdr:clientData/>
  </xdr:oneCellAnchor>
  <xdr:oneCellAnchor>
    <xdr:from>
      <xdr:col>0</xdr:col>
      <xdr:colOff>0</xdr:colOff>
      <xdr:row>59</xdr:row>
      <xdr:rowOff>0</xdr:rowOff>
    </xdr:from>
    <xdr:ext cx="3143250" cy="2095500"/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89c620a5b94d9a"/>
        </a:graphicData>
      </a:graphic>
    </xdr:graphicFrame>
    <xdr:clientData/>
  </xdr:oneCellAnchor>
  <xdr:oneCellAnchor>
    <xdr:from>
      <xdr:col>6</xdr:col>
      <xdr:colOff>0</xdr:colOff>
      <xdr:row>59</xdr:row>
      <xdr:rowOff>0</xdr:rowOff>
    </xdr:from>
    <xdr:ext cx="3143250" cy="2095500"/>
    <xdr:graphicFrame macro="">
      <xdr:nvGraphicFramePr>
        <xdr:cNvPr id="1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0af9e05d2048c8"/>
        </a:graphicData>
      </a:graphic>
    </xdr:graphicFrame>
    <xdr:clientData/>
  </xdr:oneCellAnchor>
  <xdr:oneCellAnchor>
    <xdr:from>
      <xdr:col>12</xdr:col>
      <xdr:colOff>0</xdr:colOff>
      <xdr:row>59</xdr:row>
      <xdr:rowOff>0</xdr:rowOff>
    </xdr:from>
    <xdr:ext cx="3143250" cy="2095500"/>
    <xdr:graphicFrame macro="">
      <xdr:nvGraphicFramePr>
        <xdr:cNvPr id="1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3cb6d0a5924dff"/>
        </a:graphicData>
      </a:graphic>
    </xdr:graphicFrame>
    <xdr:clientData/>
  </xdr:oneCellAnchor>
  <xdr:oneCellAnchor>
    <xdr:from>
      <xdr:col>18</xdr:col>
      <xdr:colOff>0</xdr:colOff>
      <xdr:row>59</xdr:row>
      <xdr:rowOff>0</xdr:rowOff>
    </xdr:from>
    <xdr:ext cx="3143250" cy="2095500"/>
    <xdr:graphicFrame macro="">
      <xdr:nvGraphicFramePr>
        <xdr:cNvPr id="1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4accc90b1245ec"/>
        </a:graphicData>
      </a:graphic>
    </xdr:graphicFrame>
    <xdr:clientData/>
  </xdr:oneCellAnchor>
  <xdr:oneCellAnchor>
    <xdr:from>
      <xdr:col>0</xdr:col>
      <xdr:colOff>0</xdr:colOff>
      <xdr:row>78</xdr:row>
      <xdr:rowOff>0</xdr:rowOff>
    </xdr:from>
    <xdr:ext cx="3143250" cy="2095500"/>
    <xdr:graphicFrame macro="">
      <xdr:nvGraphicFramePr>
        <xdr:cNvPr id="1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1a8b04e9594f1e"/>
        </a:graphicData>
      </a:graphic>
    </xdr:graphicFrame>
    <xdr:clientData/>
  </xdr:oneCellAnchor>
  <xdr:oneCellAnchor>
    <xdr:from>
      <xdr:col>6</xdr:col>
      <xdr:colOff>0</xdr:colOff>
      <xdr:row>78</xdr:row>
      <xdr:rowOff>0</xdr:rowOff>
    </xdr:from>
    <xdr:ext cx="3143250" cy="2095500"/>
    <xdr:graphicFrame macro="">
      <xdr:nvGraphicFramePr>
        <xdr:cNvPr id="1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fdc1adc5764275"/>
        </a:graphicData>
      </a:graphic>
    </xdr:graphicFrame>
    <xdr:clientData/>
  </xdr:oneCellAnchor>
  <xdr:oneCellAnchor>
    <xdr:from>
      <xdr:col>12</xdr:col>
      <xdr:colOff>0</xdr:colOff>
      <xdr:row>78</xdr:row>
      <xdr:rowOff>0</xdr:rowOff>
    </xdr:from>
    <xdr:ext cx="3143250" cy="2095500"/>
    <xdr:graphicFrame macro="">
      <xdr:nvGraphicFramePr>
        <xdr:cNvPr id="1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4bb817364a4586"/>
        </a:graphicData>
      </a:graphic>
    </xdr:graphicFrame>
    <xdr:clientData/>
  </xdr:oneCellAnchor>
  <xdr:oneCellAnchor>
    <xdr:from>
      <xdr:col>18</xdr:col>
      <xdr:colOff>0</xdr:colOff>
      <xdr:row>78</xdr:row>
      <xdr:rowOff>0</xdr:rowOff>
    </xdr:from>
    <xdr:ext cx="3143250" cy="2095500"/>
    <xdr:graphicFrame macro="">
      <xdr:nvGraphicFramePr>
        <xdr:cNvPr id="2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93bb894fe44a40"/>
        </a:graphicData>
      </a:graphic>
    </xdr:graphicFrame>
    <xdr:clientData/>
  </xdr:oneCellAnchor>
  <xdr:oneCellAnchor>
    <xdr:from>
      <xdr:col>0</xdr:col>
      <xdr:colOff>0</xdr:colOff>
      <xdr:row>97</xdr:row>
      <xdr:rowOff>0</xdr:rowOff>
    </xdr:from>
    <xdr:ext cx="3143250" cy="2095500"/>
    <xdr:graphicFrame macro="">
      <xdr:nvGraphicFramePr>
        <xdr:cNvPr id="2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c7b3e6af5b4812"/>
        </a:graphicData>
      </a:graphic>
    </xdr:graphicFrame>
    <xdr:clientData/>
  </xdr:oneCellAnchor>
  <xdr:oneCellAnchor>
    <xdr:from>
      <xdr:col>6</xdr:col>
      <xdr:colOff>0</xdr:colOff>
      <xdr:row>97</xdr:row>
      <xdr:rowOff>0</xdr:rowOff>
    </xdr:from>
    <xdr:ext cx="3143250" cy="2095500"/>
    <xdr:graphicFrame macro="">
      <xdr:nvGraphicFramePr>
        <xdr:cNvPr id="2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46ecf7a9694348"/>
        </a:graphicData>
      </a:graphic>
    </xdr:graphicFrame>
    <xdr:clientData/>
  </xdr:oneCellAnchor>
  <xdr:oneCellAnchor>
    <xdr:from>
      <xdr:col>12</xdr:col>
      <xdr:colOff>0</xdr:colOff>
      <xdr:row>97</xdr:row>
      <xdr:rowOff>0</xdr:rowOff>
    </xdr:from>
    <xdr:ext cx="3143250" cy="2095500"/>
    <xdr:graphicFrame macro="">
      <xdr:nvGraphicFramePr>
        <xdr:cNvPr id="2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37c41c96c843fe"/>
        </a:graphicData>
      </a:graphic>
    </xdr:graphicFrame>
    <xdr:clientData/>
  </xdr:oneCellAnchor>
  <xdr:oneCellAnchor>
    <xdr:from>
      <xdr:col>18</xdr:col>
      <xdr:colOff>0</xdr:colOff>
      <xdr:row>97</xdr:row>
      <xdr:rowOff>0</xdr:rowOff>
    </xdr:from>
    <xdr:ext cx="3143250" cy="2095500"/>
    <xdr:graphicFrame macro="">
      <xdr:nvGraphicFramePr>
        <xdr:cNvPr id="2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5194ebbc844aad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3143250" cy="2095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cac5f0fae74d33"/>
        </a:graphicData>
      </a:graphic>
    </xdr:graphicFrame>
    <xdr:clientData/>
  </xdr:oneCellAnchor>
  <xdr:oneCellAnchor>
    <xdr:from>
      <xdr:col>6</xdr:col>
      <xdr:colOff>0</xdr:colOff>
      <xdr:row>2</xdr:row>
      <xdr:rowOff>0</xdr:rowOff>
    </xdr:from>
    <xdr:ext cx="3143250" cy="2095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e6c64424174cec"/>
        </a:graphicData>
      </a:graphic>
    </xdr:graphicFrame>
    <xdr:clientData/>
  </xdr:oneCellAnchor>
  <xdr:oneCellAnchor>
    <xdr:from>
      <xdr:col>12</xdr:col>
      <xdr:colOff>0</xdr:colOff>
      <xdr:row>2</xdr:row>
      <xdr:rowOff>0</xdr:rowOff>
    </xdr:from>
    <xdr:ext cx="3143250" cy="2095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23c51784074749"/>
        </a:graphicData>
      </a:graphic>
    </xdr:graphicFrame>
    <xdr:clientData/>
  </xdr:oneCellAnchor>
  <xdr:oneCellAnchor>
    <xdr:from>
      <xdr:col>18</xdr:col>
      <xdr:colOff>0</xdr:colOff>
      <xdr:row>2</xdr:row>
      <xdr:rowOff>0</xdr:rowOff>
    </xdr:from>
    <xdr:ext cx="3143250" cy="20955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76faf55faa4384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3143250" cy="209550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f76c27c9684596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3143250" cy="209550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30d9f9f61647cb"/>
        </a:graphicData>
      </a:graphic>
    </xdr:graphicFrame>
    <xdr:clientData/>
  </xdr:oneCellAnchor>
  <xdr:oneCellAnchor>
    <xdr:from>
      <xdr:col>12</xdr:col>
      <xdr:colOff>0</xdr:colOff>
      <xdr:row>21</xdr:row>
      <xdr:rowOff>0</xdr:rowOff>
    </xdr:from>
    <xdr:ext cx="3143250" cy="2095500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fbd91396174865"/>
        </a:graphicData>
      </a:graphic>
    </xdr:graphicFrame>
    <xdr:clientData/>
  </xdr:oneCellAnchor>
  <xdr:oneCellAnchor>
    <xdr:from>
      <xdr:col>18</xdr:col>
      <xdr:colOff>0</xdr:colOff>
      <xdr:row>21</xdr:row>
      <xdr:rowOff>0</xdr:rowOff>
    </xdr:from>
    <xdr:ext cx="3143250" cy="209550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04f0bbd531482f"/>
        </a:graphicData>
      </a:graphic>
    </xdr:graphicFrame>
    <xdr:clientData/>
  </xdr:oneCellAnchor>
  <xdr:oneCellAnchor>
    <xdr:from>
      <xdr:col>0</xdr:col>
      <xdr:colOff>0</xdr:colOff>
      <xdr:row>40</xdr:row>
      <xdr:rowOff>0</xdr:rowOff>
    </xdr:from>
    <xdr:ext cx="3143250" cy="2095500"/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e3b6024dcb4c76"/>
        </a:graphicData>
      </a:graphic>
    </xdr:graphicFrame>
    <xdr:clientData/>
  </xdr:oneCellAnchor>
  <xdr:oneCellAnchor>
    <xdr:from>
      <xdr:col>6</xdr:col>
      <xdr:colOff>0</xdr:colOff>
      <xdr:row>40</xdr:row>
      <xdr:rowOff>0</xdr:rowOff>
    </xdr:from>
    <xdr:ext cx="3143250" cy="2095500"/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0aab0b2cc24c2a"/>
        </a:graphicData>
      </a:graphic>
    </xdr:graphicFrame>
    <xdr:clientData/>
  </xdr:oneCellAnchor>
  <xdr:oneCellAnchor>
    <xdr:from>
      <xdr:col>12</xdr:col>
      <xdr:colOff>0</xdr:colOff>
      <xdr:row>40</xdr:row>
      <xdr:rowOff>0</xdr:rowOff>
    </xdr:from>
    <xdr:ext cx="3143250" cy="2095500"/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bf8953433c4222"/>
        </a:graphicData>
      </a:graphic>
    </xdr:graphicFrame>
    <xdr:clientData/>
  </xdr:oneCellAnchor>
  <xdr:oneCellAnchor>
    <xdr:from>
      <xdr:col>18</xdr:col>
      <xdr:colOff>0</xdr:colOff>
      <xdr:row>40</xdr:row>
      <xdr:rowOff>0</xdr:rowOff>
    </xdr:from>
    <xdr:ext cx="3143250" cy="2095500"/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023e8f35414459"/>
        </a:graphicData>
      </a:graphic>
    </xdr:graphicFrame>
    <xdr:clientData/>
  </xdr:oneCellAnchor>
  <xdr:oneCellAnchor>
    <xdr:from>
      <xdr:col>0</xdr:col>
      <xdr:colOff>0</xdr:colOff>
      <xdr:row>59</xdr:row>
      <xdr:rowOff>0</xdr:rowOff>
    </xdr:from>
    <xdr:ext cx="3143250" cy="2095500"/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1c6ae8ea4b4b04"/>
        </a:graphicData>
      </a:graphic>
    </xdr:graphicFrame>
    <xdr:clientData/>
  </xdr:oneCellAnchor>
  <xdr:oneCellAnchor>
    <xdr:from>
      <xdr:col>6</xdr:col>
      <xdr:colOff>0</xdr:colOff>
      <xdr:row>59</xdr:row>
      <xdr:rowOff>0</xdr:rowOff>
    </xdr:from>
    <xdr:ext cx="3143250" cy="2095500"/>
    <xdr:graphicFrame macro="">
      <xdr:nvGraphicFramePr>
        <xdr:cNvPr id="1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a141b09ea84b81"/>
        </a:graphicData>
      </a:graphic>
    </xdr:graphicFrame>
    <xdr:clientData/>
  </xdr:oneCellAnchor>
  <xdr:oneCellAnchor>
    <xdr:from>
      <xdr:col>12</xdr:col>
      <xdr:colOff>0</xdr:colOff>
      <xdr:row>59</xdr:row>
      <xdr:rowOff>0</xdr:rowOff>
    </xdr:from>
    <xdr:ext cx="3143250" cy="2095500"/>
    <xdr:graphicFrame macro="">
      <xdr:nvGraphicFramePr>
        <xdr:cNvPr id="1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0a489e806048db"/>
        </a:graphicData>
      </a:graphic>
    </xdr:graphicFrame>
    <xdr:clientData/>
  </xdr:oneCellAnchor>
  <xdr:oneCellAnchor>
    <xdr:from>
      <xdr:col>18</xdr:col>
      <xdr:colOff>0</xdr:colOff>
      <xdr:row>59</xdr:row>
      <xdr:rowOff>0</xdr:rowOff>
    </xdr:from>
    <xdr:ext cx="3143250" cy="2095500"/>
    <xdr:graphicFrame macro="">
      <xdr:nvGraphicFramePr>
        <xdr:cNvPr id="1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d9f69ba5f945e0"/>
        </a:graphicData>
      </a:graphic>
    </xdr:graphicFrame>
    <xdr:clientData/>
  </xdr:oneCellAnchor>
  <xdr:oneCellAnchor>
    <xdr:from>
      <xdr:col>0</xdr:col>
      <xdr:colOff>0</xdr:colOff>
      <xdr:row>78</xdr:row>
      <xdr:rowOff>0</xdr:rowOff>
    </xdr:from>
    <xdr:ext cx="3143250" cy="2095500"/>
    <xdr:graphicFrame macro="">
      <xdr:nvGraphicFramePr>
        <xdr:cNvPr id="1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589f2140d54a90"/>
        </a:graphicData>
      </a:graphic>
    </xdr:graphicFrame>
    <xdr:clientData/>
  </xdr:oneCellAnchor>
  <xdr:oneCellAnchor>
    <xdr:from>
      <xdr:col>6</xdr:col>
      <xdr:colOff>0</xdr:colOff>
      <xdr:row>78</xdr:row>
      <xdr:rowOff>0</xdr:rowOff>
    </xdr:from>
    <xdr:ext cx="3143250" cy="2095500"/>
    <xdr:graphicFrame macro="">
      <xdr:nvGraphicFramePr>
        <xdr:cNvPr id="1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9f669da9a4496b"/>
        </a:graphicData>
      </a:graphic>
    </xdr:graphicFrame>
    <xdr:clientData/>
  </xdr:oneCellAnchor>
  <xdr:oneCellAnchor>
    <xdr:from>
      <xdr:col>12</xdr:col>
      <xdr:colOff>0</xdr:colOff>
      <xdr:row>78</xdr:row>
      <xdr:rowOff>0</xdr:rowOff>
    </xdr:from>
    <xdr:ext cx="3143250" cy="2095500"/>
    <xdr:graphicFrame macro="">
      <xdr:nvGraphicFramePr>
        <xdr:cNvPr id="1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8335fade254351"/>
        </a:graphicData>
      </a:graphic>
    </xdr:graphicFrame>
    <xdr:clientData/>
  </xdr:oneCellAnchor>
  <xdr:oneCellAnchor>
    <xdr:from>
      <xdr:col>18</xdr:col>
      <xdr:colOff>0</xdr:colOff>
      <xdr:row>78</xdr:row>
      <xdr:rowOff>0</xdr:rowOff>
    </xdr:from>
    <xdr:ext cx="3143250" cy="2095500"/>
    <xdr:graphicFrame macro="">
      <xdr:nvGraphicFramePr>
        <xdr:cNvPr id="2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c8892001dd4a20"/>
        </a:graphicData>
      </a:graphic>
    </xdr:graphicFrame>
    <xdr:clientData/>
  </xdr:oneCellAnchor>
  <xdr:oneCellAnchor>
    <xdr:from>
      <xdr:col>0</xdr:col>
      <xdr:colOff>0</xdr:colOff>
      <xdr:row>97</xdr:row>
      <xdr:rowOff>0</xdr:rowOff>
    </xdr:from>
    <xdr:ext cx="3143250" cy="2095500"/>
    <xdr:graphicFrame macro="">
      <xdr:nvGraphicFramePr>
        <xdr:cNvPr id="2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4c1333afb1441e"/>
        </a:graphicData>
      </a:graphic>
    </xdr:graphicFrame>
    <xdr:clientData/>
  </xdr:oneCellAnchor>
  <xdr:oneCellAnchor>
    <xdr:from>
      <xdr:col>6</xdr:col>
      <xdr:colOff>0</xdr:colOff>
      <xdr:row>97</xdr:row>
      <xdr:rowOff>0</xdr:rowOff>
    </xdr:from>
    <xdr:ext cx="3143250" cy="2095500"/>
    <xdr:graphicFrame macro="">
      <xdr:nvGraphicFramePr>
        <xdr:cNvPr id="2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0d075044044ec8"/>
        </a:graphicData>
      </a:graphic>
    </xdr:graphicFrame>
    <xdr:clientData/>
  </xdr:oneCellAnchor>
  <xdr:oneCellAnchor>
    <xdr:from>
      <xdr:col>12</xdr:col>
      <xdr:colOff>0</xdr:colOff>
      <xdr:row>97</xdr:row>
      <xdr:rowOff>0</xdr:rowOff>
    </xdr:from>
    <xdr:ext cx="3143250" cy="2095500"/>
    <xdr:graphicFrame macro="">
      <xdr:nvGraphicFramePr>
        <xdr:cNvPr id="2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a4c6c54c85488b"/>
        </a:graphicData>
      </a:graphic>
    </xdr:graphicFrame>
    <xdr:clientData/>
  </xdr:oneCellAnchor>
  <xdr:oneCellAnchor>
    <xdr:from>
      <xdr:col>18</xdr:col>
      <xdr:colOff>0</xdr:colOff>
      <xdr:row>97</xdr:row>
      <xdr:rowOff>0</xdr:rowOff>
    </xdr:from>
    <xdr:ext cx="3143250" cy="2095500"/>
    <xdr:graphicFrame macro="">
      <xdr:nvGraphicFramePr>
        <xdr:cNvPr id="2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230b29d57249e5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RawThresholdRates" displayName="RawThresholdRates" ref="A1:R529" headerRowCount="1" totalsRowCount="0" totalsRowShown="0">
  <x:autoFilter ref="A1:R529"/>
  <x:tableColumns count="18">
    <x:tableColumn id="1" name="Case study"/>
    <x:tableColumn id="2" name="Source group"/>
    <x:tableColumn id="3" name="Diagnostic"/>
    <x:tableColumn id="4" name="Assumed model"/>
    <x:tableColumn id="5" name="Summary dimension"/>
    <x:tableColumn id="6" name="Error metric"/>
    <x:tableColumn id="7" name="Threshold definition"/>
    <x:tableColumn id="8" name="Lower threshold"/>
    <x:tableColumn id="9" name="Upper threshold"/>
    <x:tableColumn id="10" name="TP"/>
    <x:tableColumn id="11" name="FP"/>
    <x:tableColumn id="12" name="FN"/>
    <x:tableColumn id="13" name="TN"/>
    <x:tableColumn id="14" name="N"/>
    <x:tableColumn id="15" name="FNR"/>
    <x:tableColumn id="16" name="FPR"/>
    <x:tableColumn id="17" name="F1"/>
    <x:tableColumn id="18" name="AU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514bd5788a42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5e6c18473dd34d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e9c51db842a344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7261d91ec3d243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4.xml" Id="Re952e045b4ed49e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5.xml" Id="R27a3863759dc4c9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6.xml" Id="R8fbeda6144bc4a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14" hidden="0" customWidth="1"/>
    <x:col min="5" max="5" width="16" hidden="0" customWidth="1"/>
    <x:col min="6" max="6" width="18" hidden="0" customWidth="1"/>
    <x:col min="7" max="7" width="55" hidden="0" customWidth="1"/>
    <x:col min="8" max="8" width="15" hidden="0" customWidth="1"/>
    <x:col min="9" max="9" width="15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</x:cols>
  <x:sheetData>
    <x:row r="1" ht="32" customHeight="1">
      <x:c r="A1" s="163" t="str">
        <x:v>Case study</x:v>
      </x:c>
      <x:c r="B1" s="163" t="str">
        <x:v>Source group</x:v>
      </x:c>
      <x:c r="C1" s="163" t="str">
        <x:v>Diagnostic</x:v>
      </x:c>
      <x:c r="D1" s="163" t="str">
        <x:v>Assumed model</x:v>
      </x:c>
      <x:c r="E1" s="163" t="str">
        <x:v>Summary dimension</x:v>
      </x:c>
      <x:c r="F1" s="163" t="str">
        <x:v>Error metric</x:v>
      </x:c>
      <x:c r="G1" s="163" t="str">
        <x:v>Threshold definition</x:v>
      </x:c>
      <x:c r="H1" s="163" t="str">
        <x:v>Lower threshold</x:v>
      </x:c>
      <x:c r="I1" s="163" t="str">
        <x:v>Upper threshold</x:v>
      </x:c>
      <x:c r="J1" s="163" t="str">
        <x:v>TP</x:v>
      </x:c>
      <x:c r="K1" s="163" t="str">
        <x:v>FP</x:v>
      </x:c>
      <x:c r="L1" s="163" t="str">
        <x:v>FN</x:v>
      </x:c>
      <x:c r="M1" s="163" t="str">
        <x:v>TN</x:v>
      </x:c>
      <x:c r="N1" s="163" t="str">
        <x:v>N</x:v>
      </x:c>
      <x:c r="O1" s="163" t="str">
        <x:v>FNR</x:v>
      </x:c>
      <x:c r="P1" s="163" t="str">
        <x:v>FPR</x:v>
      </x:c>
      <x:c r="Q1" s="163" t="str">
        <x:v>F1</x:v>
      </x:c>
      <x:c r="R1" s="163" t="str">
        <x:v>AUC</x:v>
      </x:c>
    </x:row>
    <x:row r="2">
      <x:c r="A2" s="167" t="str">
        <x:v>Diffusion</x:v>
      </x:c>
      <x:c r="B2" s="167" t="str">
        <x:v>empirical</x:v>
      </x:c>
      <x:c r="C2" s="167" t="str">
        <x:v>l2</x:v>
      </x:c>
      <x:c r="D2" s="167" t="str">
        <x:v>m1</x:v>
      </x:c>
      <x:c r="E2" s="167" t="str">
        <x:v>S=D</x:v>
      </x:c>
      <x:c r="F2" s="167" t="str">
        <x:v>log10_ml_error</x:v>
      </x:c>
      <x:c r="G2" s="167" t="str">
        <x:v>ESS-filtered raw NPE-MCMC central 90% interval [q5, q95]</x:v>
      </x:c>
      <x:c r="H2" s="168" t="n">
        <x:v>-0.008423959577185865</x:v>
      </x:c>
      <x:c r="I2" s="168" t="n">
        <x:v>0.016820901663210173</x:v>
      </x:c>
      <x:c r="J2" s="169" t="n">
        <x:v>14</x:v>
      </x:c>
      <x:c r="K2" s="169" t="n">
        <x:v>1</x:v>
      </x:c>
      <x:c r="L2" s="169" t="n">
        <x:v>2</x:v>
      </x:c>
      <x:c r="M2" s="169" t="n">
        <x:v>0</x:v>
      </x:c>
      <x:c r="N2" s="169" t="n">
        <x:v>17</x:v>
      </x:c>
      <x:c r="O2" s="269" t="n">
        <x:v>0.125</x:v>
      </x:c>
      <x:c r="P2" s="269" t="n">
        <x:v>1</x:v>
      </x:c>
      <x:c r="Q2" s="269" t="n">
        <x:v>0.9032258064516129</x:v>
      </x:c>
      <x:c r="R2" s="269" t="n">
        <x:v>0.5</x:v>
      </x:c>
    </x:row>
    <x:row r="3">
      <x:c r="A3" s="167" t="str">
        <x:v>Diffusion</x:v>
      </x:c>
      <x:c r="B3" s="167" t="str">
        <x:v>empirical</x:v>
      </x:c>
      <x:c r="C3" s="167" t="str">
        <x:v>linf</x:v>
      </x:c>
      <x:c r="D3" s="167" t="str">
        <x:v>m1</x:v>
      </x:c>
      <x:c r="E3" s="167" t="str">
        <x:v>S=D</x:v>
      </x:c>
      <x:c r="F3" s="167" t="str">
        <x:v>log10_ml_error</x:v>
      </x:c>
      <x:c r="G3" s="167" t="str">
        <x:v>ESS-filtered raw NPE-MCMC central 90% interval [q5, q95]</x:v>
      </x:c>
      <x:c r="H3" s="168" t="n">
        <x:v>-0.008423959577185865</x:v>
      </x:c>
      <x:c r="I3" s="168" t="n">
        <x:v>0.016820901663210173</x:v>
      </x:c>
      <x:c r="J3" s="169" t="n">
        <x:v>16</x:v>
      </x:c>
      <x:c r="K3" s="169" t="n">
        <x:v>1</x:v>
      </x:c>
      <x:c r="L3" s="169" t="n">
        <x:v>0</x:v>
      </x:c>
      <x:c r="M3" s="169" t="n">
        <x:v>0</x:v>
      </x:c>
      <x:c r="N3" s="169" t="n">
        <x:v>17</x:v>
      </x:c>
      <x:c r="O3" s="219" t="n">
        <x:v>0</x:v>
      </x:c>
      <x:c r="P3" s="269" t="n">
        <x:v>1</x:v>
      </x:c>
      <x:c r="Q3" s="219" t="n">
        <x:v>0.9696969696969697</x:v>
      </x:c>
      <x:c r="R3" s="269" t="n">
        <x:v>0.4375</x:v>
      </x:c>
    </x:row>
    <x:row r="4">
      <x:c r="A4" s="167" t="str">
        <x:v>Diffusion</x:v>
      </x:c>
      <x:c r="B4" s="167" t="str">
        <x:v>empirical</x:v>
      </x:c>
      <x:c r="C4" s="167" t="str">
        <x:v>density</x:v>
      </x:c>
      <x:c r="D4" s="167" t="str">
        <x:v>m1</x:v>
      </x:c>
      <x:c r="E4" s="167" t="str">
        <x:v>S=D</x:v>
      </x:c>
      <x:c r="F4" s="167" t="str">
        <x:v>log10_ml_error</x:v>
      </x:c>
      <x:c r="G4" s="167" t="str">
        <x:v>ESS-filtered raw NPE-MCMC central 90% interval [q5, q95]</x:v>
      </x:c>
      <x:c r="H4" s="168" t="n">
        <x:v>-0.008423959577185865</x:v>
      </x:c>
      <x:c r="I4" s="168" t="n">
        <x:v>0.016820901663210173</x:v>
      </x:c>
      <x:c r="J4" s="169" t="n">
        <x:v>10</x:v>
      </x:c>
      <x:c r="K4" s="169" t="n">
        <x:v>0</x:v>
      </x:c>
      <x:c r="L4" s="169" t="n">
        <x:v>6</x:v>
      </x:c>
      <x:c r="M4" s="169" t="n">
        <x:v>1</x:v>
      </x:c>
      <x:c r="N4" s="169" t="n">
        <x:v>17</x:v>
      </x:c>
      <x:c r="O4" s="269" t="n">
        <x:v>0.375</x:v>
      </x:c>
      <x:c r="P4" s="219" t="n">
        <x:v>0</x:v>
      </x:c>
      <x:c r="Q4" s="269" t="n">
        <x:v>0.7692307692307693</x:v>
      </x:c>
      <x:c r="R4" s="219" t="n">
        <x:v>0.8125</x:v>
      </x:c>
    </x:row>
    <x:row r="5">
      <x:c r="A5" s="167" t="str">
        <x:v>Diffusion</x:v>
      </x:c>
      <x:c r="B5" s="167" t="str">
        <x:v>empirical</x:v>
      </x:c>
      <x:c r="C5" s="167" t="str">
        <x:v>mmd</x:v>
      </x:c>
      <x:c r="D5" s="167" t="str">
        <x:v>m1</x:v>
      </x:c>
      <x:c r="E5" s="167" t="str">
        <x:v>S=D</x:v>
      </x:c>
      <x:c r="F5" s="167" t="str">
        <x:v>log10_ml_error</x:v>
      </x:c>
      <x:c r="G5" s="167" t="str">
        <x:v>ESS-filtered raw NPE-MCMC central 90% interval [q5, q95]</x:v>
      </x:c>
      <x:c r="H5" s="168" t="n">
        <x:v>-0.008423959577185865</x:v>
      </x:c>
      <x:c r="I5" s="168" t="n">
        <x:v>0.016820901663210173</x:v>
      </x:c>
      <x:c r="J5" s="169" t="n">
        <x:v>3</x:v>
      </x:c>
      <x:c r="K5" s="169" t="n">
        <x:v>0</x:v>
      </x:c>
      <x:c r="L5" s="169" t="n">
        <x:v>13</x:v>
      </x:c>
      <x:c r="M5" s="169" t="n">
        <x:v>1</x:v>
      </x:c>
      <x:c r="N5" s="169" t="n">
        <x:v>17</x:v>
      </x:c>
      <x:c r="O5" s="269" t="n">
        <x:v>0.8125</x:v>
      </x:c>
      <x:c r="P5" s="219" t="n">
        <x:v>0</x:v>
      </x:c>
      <x:c r="Q5" s="269" t="n">
        <x:v>0.3157894736842105</x:v>
      </x:c>
      <x:c r="R5" s="269" t="n">
        <x:v>0.25</x:v>
      </x:c>
    </x:row>
    <x:row r="6">
      <x:c r="A6" s="167" t="str">
        <x:v>Diffusion</x:v>
      </x:c>
      <x:c r="B6" s="167" t="str">
        <x:v>empirical</x:v>
      </x:c>
      <x:c r="C6" s="167" t="str">
        <x:v>l2</x:v>
      </x:c>
      <x:c r="D6" s="167" t="str">
        <x:v>m1</x:v>
      </x:c>
      <x:c r="E6" s="167" t="str">
        <x:v>S=2D</x:v>
      </x:c>
      <x:c r="F6" s="167" t="str">
        <x:v>log10_ml_error</x:v>
      </x:c>
      <x:c r="G6" s="167" t="str">
        <x:v>ESS-filtered raw NPE-MCMC central 90% interval [q5, q95]</x:v>
      </x:c>
      <x:c r="H6" s="168" t="n">
        <x:v>-0.011684912336838</x:v>
      </x:c>
      <x:c r="I6" s="168" t="n">
        <x:v>0.01596084313129805</x:v>
      </x:c>
      <x:c r="J6" s="169" t="n">
        <x:v>5</x:v>
      </x:c>
      <x:c r="K6" s="169" t="n">
        <x:v>0</x:v>
      </x:c>
      <x:c r="L6" s="169" t="n">
        <x:v>9</x:v>
      </x:c>
      <x:c r="M6" s="169" t="n">
        <x:v>3</x:v>
      </x:c>
      <x:c r="N6" s="169" t="n">
        <x:v>17</x:v>
      </x:c>
      <x:c r="O6" s="269" t="n">
        <x:v>0.6428571428571429</x:v>
      </x:c>
      <x:c r="P6" s="219" t="n">
        <x:v>0</x:v>
      </x:c>
      <x:c r="Q6" s="269" t="n">
        <x:v>0.5263157894736842</x:v>
      </x:c>
      <x:c r="R6" s="219" t="n">
        <x:v>0.6428571428571428</x:v>
      </x:c>
    </x:row>
    <x:row r="7">
      <x:c r="A7" s="167" t="str">
        <x:v>Diffusion</x:v>
      </x:c>
      <x:c r="B7" s="167" t="str">
        <x:v>empirical</x:v>
      </x:c>
      <x:c r="C7" s="167" t="str">
        <x:v>linf</x:v>
      </x:c>
      <x:c r="D7" s="167" t="str">
        <x:v>m1</x:v>
      </x:c>
      <x:c r="E7" s="167" t="str">
        <x:v>S=2D</x:v>
      </x:c>
      <x:c r="F7" s="167" t="str">
        <x:v>log10_ml_error</x:v>
      </x:c>
      <x:c r="G7" s="167" t="str">
        <x:v>ESS-filtered raw NPE-MCMC central 90% interval [q5, q95]</x:v>
      </x:c>
      <x:c r="H7" s="168" t="n">
        <x:v>-0.011684912336838</x:v>
      </x:c>
      <x:c r="I7" s="168" t="n">
        <x:v>0.01596084313129805</x:v>
      </x:c>
      <x:c r="J7" s="169" t="n">
        <x:v>11</x:v>
      </x:c>
      <x:c r="K7" s="169" t="n">
        <x:v>3</x:v>
      </x:c>
      <x:c r="L7" s="169" t="n">
        <x:v>3</x:v>
      </x:c>
      <x:c r="M7" s="169" t="n">
        <x:v>0</x:v>
      </x:c>
      <x:c r="N7" s="169" t="n">
        <x:v>17</x:v>
      </x:c>
      <x:c r="O7" s="219" t="n">
        <x:v>0.21428571428571427</x:v>
      </x:c>
      <x:c r="P7" s="269" t="n">
        <x:v>1</x:v>
      </x:c>
      <x:c r="Q7" s="219" t="n">
        <x:v>0.7857142857142857</x:v>
      </x:c>
      <x:c r="R7" s="269" t="n">
        <x:v>0.5714285714285714</x:v>
      </x:c>
    </x:row>
    <x:row r="8">
      <x:c r="A8" s="167" t="str">
        <x:v>Diffusion</x:v>
      </x:c>
      <x:c r="B8" s="167" t="str">
        <x:v>empirical</x:v>
      </x:c>
      <x:c r="C8" s="167" t="str">
        <x:v>density</x:v>
      </x:c>
      <x:c r="D8" s="167" t="str">
        <x:v>m1</x:v>
      </x:c>
      <x:c r="E8" s="167" t="str">
        <x:v>S=2D</x:v>
      </x:c>
      <x:c r="F8" s="167" t="str">
        <x:v>log10_ml_error</x:v>
      </x:c>
      <x:c r="G8" s="167" t="str">
        <x:v>ESS-filtered raw NPE-MCMC central 90% interval [q5, q95]</x:v>
      </x:c>
      <x:c r="H8" s="168" t="n">
        <x:v>-0.011684912336838</x:v>
      </x:c>
      <x:c r="I8" s="168" t="n">
        <x:v>0.01596084313129805</x:v>
      </x:c>
      <x:c r="J8" s="169" t="n">
        <x:v>11</x:v>
      </x:c>
      <x:c r="K8" s="169" t="n">
        <x:v>3</x:v>
      </x:c>
      <x:c r="L8" s="169" t="n">
        <x:v>3</x:v>
      </x:c>
      <x:c r="M8" s="169" t="n">
        <x:v>0</x:v>
      </x:c>
      <x:c r="N8" s="169" t="n">
        <x:v>17</x:v>
      </x:c>
      <x:c r="O8" s="269" t="n">
        <x:v>0.21428571428571427</x:v>
      </x:c>
      <x:c r="P8" s="269" t="n">
        <x:v>1</x:v>
      </x:c>
      <x:c r="Q8" s="269" t="n">
        <x:v>0.7857142857142857</x:v>
      </x:c>
      <x:c r="R8" s="269" t="n">
        <x:v>0.3571428571428572</x:v>
      </x:c>
    </x:row>
    <x:row r="9">
      <x:c r="A9" s="167" t="str">
        <x:v>Diffusion</x:v>
      </x:c>
      <x:c r="B9" s="167" t="str">
        <x:v>empirical</x:v>
      </x:c>
      <x:c r="C9" s="167" t="str">
        <x:v>mmd</x:v>
      </x:c>
      <x:c r="D9" s="167" t="str">
        <x:v>m1</x:v>
      </x:c>
      <x:c r="E9" s="167" t="str">
        <x:v>S=2D</x:v>
      </x:c>
      <x:c r="F9" s="167" t="str">
        <x:v>log10_ml_error</x:v>
      </x:c>
      <x:c r="G9" s="167" t="str">
        <x:v>ESS-filtered raw NPE-MCMC central 90% interval [q5, q95]</x:v>
      </x:c>
      <x:c r="H9" s="168" t="n">
        <x:v>-0.011684912336838</x:v>
      </x:c>
      <x:c r="I9" s="168" t="n">
        <x:v>0.01596084313129805</x:v>
      </x:c>
      <x:c r="J9" s="169" t="n">
        <x:v>0</x:v>
      </x:c>
      <x:c r="K9" s="169" t="n">
        <x:v>0</x:v>
      </x:c>
      <x:c r="L9" s="169" t="n">
        <x:v>14</x:v>
      </x:c>
      <x:c r="M9" s="169" t="n">
        <x:v>3</x:v>
      </x:c>
      <x:c r="N9" s="169" t="n">
        <x:v>17</x:v>
      </x:c>
      <x:c r="O9" s="269" t="n">
        <x:v>1</x:v>
      </x:c>
      <x:c r="P9" s="219" t="n">
        <x:v>0</x:v>
      </x:c>
      <x:c r="Q9" s="269" t="n">
        <x:v>0</x:v>
      </x:c>
      <x:c r="R9" s="269" t="n">
        <x:v>0.5</x:v>
      </x:c>
    </x:row>
    <x:row r="10">
      <x:c r="A10" s="167" t="str">
        <x:v>Diffusion</x:v>
      </x:c>
      <x:c r="B10" s="167" t="str">
        <x:v>empirical</x:v>
      </x:c>
      <x:c r="C10" s="167" t="str">
        <x:v>l2</x:v>
      </x:c>
      <x:c r="D10" s="167" t="str">
        <x:v>m1</x:v>
      </x:c>
      <x:c r="E10" s="167" t="str">
        <x:v>S=4D</x:v>
      </x:c>
      <x:c r="F10" s="167" t="str">
        <x:v>log10_ml_error</x:v>
      </x:c>
      <x:c r="G10" s="167" t="str">
        <x:v>ESS-filtered raw NPE-MCMC central 90% interval [q5, q95]</x:v>
      </x:c>
      <x:c r="H10" s="168" t="n">
        <x:v>-0.010797630787211169</x:v>
      </x:c>
      <x:c r="I10" s="168" t="n">
        <x:v>0.019351309234290834</x:v>
      </x:c>
      <x:c r="J10" s="169" t="n">
        <x:v>14</x:v>
      </x:c>
      <x:c r="K10" s="169" t="n">
        <x:v>1</x:v>
      </x:c>
      <x:c r="L10" s="169" t="n">
        <x:v>2</x:v>
      </x:c>
      <x:c r="M10" s="169" t="n">
        <x:v>0</x:v>
      </x:c>
      <x:c r="N10" s="169" t="n">
        <x:v>17</x:v>
      </x:c>
      <x:c r="O10" s="269" t="n">
        <x:v>0.125</x:v>
      </x:c>
      <x:c r="P10" s="269" t="n">
        <x:v>1</x:v>
      </x:c>
      <x:c r="Q10" s="269" t="n">
        <x:v>0.9032258064516129</x:v>
      </x:c>
      <x:c r="R10" s="269" t="n">
        <x:v>0.375</x:v>
      </x:c>
    </x:row>
    <x:row r="11">
      <x:c r="A11" s="167" t="str">
        <x:v>Diffusion</x:v>
      </x:c>
      <x:c r="B11" s="167" t="str">
        <x:v>empirical</x:v>
      </x:c>
      <x:c r="C11" s="167" t="str">
        <x:v>linf</x:v>
      </x:c>
      <x:c r="D11" s="167" t="str">
        <x:v>m1</x:v>
      </x:c>
      <x:c r="E11" s="167" t="str">
        <x:v>S=4D</x:v>
      </x:c>
      <x:c r="F11" s="167" t="str">
        <x:v>log10_ml_error</x:v>
      </x:c>
      <x:c r="G11" s="167" t="str">
        <x:v>ESS-filtered raw NPE-MCMC central 90% interval [q5, q95]</x:v>
      </x:c>
      <x:c r="H11" s="168" t="n">
        <x:v>-0.010797630787211169</x:v>
      </x:c>
      <x:c r="I11" s="168" t="n">
        <x:v>0.019351309234290834</x:v>
      </x:c>
      <x:c r="J11" s="169" t="n">
        <x:v>11</x:v>
      </x:c>
      <x:c r="K11" s="169" t="n">
        <x:v>1</x:v>
      </x:c>
      <x:c r="L11" s="169" t="n">
        <x:v>5</x:v>
      </x:c>
      <x:c r="M11" s="169" t="n">
        <x:v>0</x:v>
      </x:c>
      <x:c r="N11" s="169" t="n">
        <x:v>17</x:v>
      </x:c>
      <x:c r="O11" s="269" t="n">
        <x:v>0.3125</x:v>
      </x:c>
      <x:c r="P11" s="269" t="n">
        <x:v>1</x:v>
      </x:c>
      <x:c r="Q11" s="269" t="n">
        <x:v>0.7857142857142857</x:v>
      </x:c>
      <x:c r="R11" s="269" t="n">
        <x:v>0.6875</x:v>
      </x:c>
    </x:row>
    <x:row r="12">
      <x:c r="A12" s="167" t="str">
        <x:v>Diffusion</x:v>
      </x:c>
      <x:c r="B12" s="167" t="str">
        <x:v>empirical</x:v>
      </x:c>
      <x:c r="C12" s="167" t="str">
        <x:v>density</x:v>
      </x:c>
      <x:c r="D12" s="167" t="str">
        <x:v>m1</x:v>
      </x:c>
      <x:c r="E12" s="167" t="str">
        <x:v>S=4D</x:v>
      </x:c>
      <x:c r="F12" s="167" t="str">
        <x:v>log10_ml_error</x:v>
      </x:c>
      <x:c r="G12" s="167" t="str">
        <x:v>ESS-filtered raw NPE-MCMC central 90% interval [q5, q95]</x:v>
      </x:c>
      <x:c r="H12" s="168" t="n">
        <x:v>-0.010797630787211169</x:v>
      </x:c>
      <x:c r="I12" s="168" t="n">
        <x:v>0.019351309234290834</x:v>
      </x:c>
      <x:c r="J12" s="169" t="n">
        <x:v>16</x:v>
      </x:c>
      <x:c r="K12" s="169" t="n">
        <x:v>1</x:v>
      </x:c>
      <x:c r="L12" s="169" t="n">
        <x:v>0</x:v>
      </x:c>
      <x:c r="M12" s="169" t="n">
        <x:v>0</x:v>
      </x:c>
      <x:c r="N12" s="169" t="n">
        <x:v>17</x:v>
      </x:c>
      <x:c r="O12" s="219" t="n">
        <x:v>0</x:v>
      </x:c>
      <x:c r="P12" s="269" t="n">
        <x:v>1</x:v>
      </x:c>
      <x:c r="Q12" s="219" t="n">
        <x:v>0.9696969696969697</x:v>
      </x:c>
      <x:c r="R12" s="269" t="n">
        <x:v>0.4375</x:v>
      </x:c>
    </x:row>
    <x:row r="13">
      <x:c r="A13" s="167" t="str">
        <x:v>Diffusion</x:v>
      </x:c>
      <x:c r="B13" s="167" t="str">
        <x:v>empirical</x:v>
      </x:c>
      <x:c r="C13" s="167" t="str">
        <x:v>mmd</x:v>
      </x:c>
      <x:c r="D13" s="167" t="str">
        <x:v>m1</x:v>
      </x:c>
      <x:c r="E13" s="167" t="str">
        <x:v>S=4D</x:v>
      </x:c>
      <x:c r="F13" s="167" t="str">
        <x:v>log10_ml_error</x:v>
      </x:c>
      <x:c r="G13" s="167" t="str">
        <x:v>ESS-filtered raw NPE-MCMC central 90% interval [q5, q95]</x:v>
      </x:c>
      <x:c r="H13" s="168" t="n">
        <x:v>-0.010797630787211169</x:v>
      </x:c>
      <x:c r="I13" s="168" t="n">
        <x:v>0.019351309234290834</x:v>
      </x:c>
      <x:c r="J13" s="169" t="n">
        <x:v>2</x:v>
      </x:c>
      <x:c r="K13" s="169" t="n">
        <x:v>0</x:v>
      </x:c>
      <x:c r="L13" s="169" t="n">
        <x:v>14</x:v>
      </x:c>
      <x:c r="M13" s="169" t="n">
        <x:v>1</x:v>
      </x:c>
      <x:c r="N13" s="169" t="n">
        <x:v>17</x:v>
      </x:c>
      <x:c r="O13" s="269" t="n">
        <x:v>0.875</x:v>
      </x:c>
      <x:c r="P13" s="219" t="n">
        <x:v>0</x:v>
      </x:c>
      <x:c r="Q13" s="269" t="n">
        <x:v>0.2222222222222222</x:v>
      </x:c>
      <x:c r="R13" s="219" t="n">
        <x:v>0.6875</x:v>
      </x:c>
    </x:row>
    <x:row r="14">
      <x:c r="A14" s="167" t="str">
        <x:v>Diffusion</x:v>
      </x:c>
      <x:c r="B14" s="167" t="str">
        <x:v>empirical</x:v>
      </x:c>
      <x:c r="C14" s="167" t="str">
        <x:v>l2</x:v>
      </x:c>
      <x:c r="D14" s="167" t="str">
        <x:v>m1</x:v>
      </x:c>
      <x:c r="E14" s="167" t="str">
        <x:v>S=6D</x:v>
      </x:c>
      <x:c r="F14" s="167" t="str">
        <x:v>log10_ml_error</x:v>
      </x:c>
      <x:c r="G14" s="167" t="str">
        <x:v>ESS-filtered raw NPE-MCMC central 90% interval [q5, q95]</x:v>
      </x:c>
      <x:c r="H14" s="168" t="n">
        <x:v>-0.02093675823663263</x:v>
      </x:c>
      <x:c r="I14" s="168" t="n">
        <x:v>0.019134040600096176</x:v>
      </x:c>
      <x:c r="J14" s="169" t="n">
        <x:v>13</x:v>
      </x:c>
      <x:c r="K14" s="169" t="n">
        <x:v>4</x:v>
      </x:c>
      <x:c r="L14" s="169" t="n">
        <x:v>0</x:v>
      </x:c>
      <x:c r="M14" s="169" t="n">
        <x:v>0</x:v>
      </x:c>
      <x:c r="N14" s="169" t="n">
        <x:v>17</x:v>
      </x:c>
      <x:c r="O14" s="219" t="n">
        <x:v>0</x:v>
      </x:c>
      <x:c r="P14" s="269" t="n">
        <x:v>1</x:v>
      </x:c>
      <x:c r="Q14" s="219" t="n">
        <x:v>0.8666666666666667</x:v>
      </x:c>
      <x:c r="R14" s="269" t="n">
        <x:v>0.5192307692307693</x:v>
      </x:c>
    </x:row>
    <x:row r="15">
      <x:c r="A15" s="167" t="str">
        <x:v>Diffusion</x:v>
      </x:c>
      <x:c r="B15" s="167" t="str">
        <x:v>empirical</x:v>
      </x:c>
      <x:c r="C15" s="167" t="str">
        <x:v>linf</x:v>
      </x:c>
      <x:c r="D15" s="167" t="str">
        <x:v>m1</x:v>
      </x:c>
      <x:c r="E15" s="167" t="str">
        <x:v>S=6D</x:v>
      </x:c>
      <x:c r="F15" s="167" t="str">
        <x:v>log10_ml_error</x:v>
      </x:c>
      <x:c r="G15" s="167" t="str">
        <x:v>ESS-filtered raw NPE-MCMC central 90% interval [q5, q95]</x:v>
      </x:c>
      <x:c r="H15" s="168" t="n">
        <x:v>-0.02093675823663263</x:v>
      </x:c>
      <x:c r="I15" s="168" t="n">
        <x:v>0.019134040600096176</x:v>
      </x:c>
      <x:c r="J15" s="169" t="n">
        <x:v>12</x:v>
      </x:c>
      <x:c r="K15" s="169" t="n">
        <x:v>4</x:v>
      </x:c>
      <x:c r="L15" s="169" t="n">
        <x:v>1</x:v>
      </x:c>
      <x:c r="M15" s="169" t="n">
        <x:v>0</x:v>
      </x:c>
      <x:c r="N15" s="169" t="n">
        <x:v>17</x:v>
      </x:c>
      <x:c r="O15" s="269" t="n">
        <x:v>0.07692307692307693</x:v>
      </x:c>
      <x:c r="P15" s="269" t="n">
        <x:v>1</x:v>
      </x:c>
      <x:c r="Q15" s="269" t="n">
        <x:v>0.8275862068965517</x:v>
      </x:c>
      <x:c r="R15" s="219" t="n">
        <x:v>0.6153846153846154</x:v>
      </x:c>
    </x:row>
    <x:row r="16">
      <x:c r="A16" s="167" t="str">
        <x:v>Diffusion</x:v>
      </x:c>
      <x:c r="B16" s="167" t="str">
        <x:v>empirical</x:v>
      </x:c>
      <x:c r="C16" s="167" t="str">
        <x:v>density</x:v>
      </x:c>
      <x:c r="D16" s="167" t="str">
        <x:v>m1</x:v>
      </x:c>
      <x:c r="E16" s="167" t="str">
        <x:v>S=6D</x:v>
      </x:c>
      <x:c r="F16" s="167" t="str">
        <x:v>log10_ml_error</x:v>
      </x:c>
      <x:c r="G16" s="167" t="str">
        <x:v>ESS-filtered raw NPE-MCMC central 90% interval [q5, q95]</x:v>
      </x:c>
      <x:c r="H16" s="168" t="n">
        <x:v>-0.02093675823663263</x:v>
      </x:c>
      <x:c r="I16" s="168" t="n">
        <x:v>0.019134040600096176</x:v>
      </x:c>
      <x:c r="J16" s="169" t="n">
        <x:v>13</x:v>
      </x:c>
      <x:c r="K16" s="169" t="n">
        <x:v>4</x:v>
      </x:c>
      <x:c r="L16" s="169" t="n">
        <x:v>0</x:v>
      </x:c>
      <x:c r="M16" s="169" t="n">
        <x:v>0</x:v>
      </x:c>
      <x:c r="N16" s="169" t="n">
        <x:v>17</x:v>
      </x:c>
      <x:c r="O16" s="219" t="n">
        <x:v>0</x:v>
      </x:c>
      <x:c r="P16" s="269" t="n">
        <x:v>1</x:v>
      </x:c>
      <x:c r="Q16" s="219" t="n">
        <x:v>0.8666666666666667</x:v>
      </x:c>
      <x:c r="R16" s="269" t="n">
        <x:v>0.40384615384615385</x:v>
      </x:c>
    </x:row>
    <x:row r="17">
      <x:c r="A17" s="167" t="str">
        <x:v>Diffusion</x:v>
      </x:c>
      <x:c r="B17" s="167" t="str">
        <x:v>empirical</x:v>
      </x:c>
      <x:c r="C17" s="167" t="str">
        <x:v>mmd</x:v>
      </x:c>
      <x:c r="D17" s="167" t="str">
        <x:v>m1</x:v>
      </x:c>
      <x:c r="E17" s="167" t="str">
        <x:v>S=6D</x:v>
      </x:c>
      <x:c r="F17" s="167" t="str">
        <x:v>log10_ml_error</x:v>
      </x:c>
      <x:c r="G17" s="167" t="str">
        <x:v>ESS-filtered raw NPE-MCMC central 90% interval [q5, q95]</x:v>
      </x:c>
      <x:c r="H17" s="168" t="n">
        <x:v>-0.02093675823663263</x:v>
      </x:c>
      <x:c r="I17" s="168" t="n">
        <x:v>0.019134040600096176</x:v>
      </x:c>
      <x:c r="J17" s="169" t="n">
        <x:v>1</x:v>
      </x:c>
      <x:c r="K17" s="169" t="n">
        <x:v>0</x:v>
      </x:c>
      <x:c r="L17" s="169" t="n">
        <x:v>12</x:v>
      </x:c>
      <x:c r="M17" s="169" t="n">
        <x:v>4</x:v>
      </x:c>
      <x:c r="N17" s="169" t="n">
        <x:v>17</x:v>
      </x:c>
      <x:c r="O17" s="269" t="n">
        <x:v>0.9230769230769231</x:v>
      </x:c>
      <x:c r="P17" s="219" t="n">
        <x:v>0</x:v>
      </x:c>
      <x:c r="Q17" s="269" t="n">
        <x:v>0.14285714285714285</x:v>
      </x:c>
      <x:c r="R17" s="269" t="n">
        <x:v>0.5769230769230769</x:v>
      </x:c>
    </x:row>
    <x:row r="18">
      <x:c r="A18" s="167" t="str">
        <x:v>Diffusion</x:v>
      </x:c>
      <x:c r="B18" s="167" t="str">
        <x:v>empirical</x:v>
      </x:c>
      <x:c r="C18" s="167" t="str">
        <x:v>l2</x:v>
      </x:c>
      <x:c r="D18" s="167" t="str">
        <x:v>m3</x:v>
      </x:c>
      <x:c r="E18" s="167" t="str">
        <x:v>S=D</x:v>
      </x:c>
      <x:c r="F18" s="167" t="str">
        <x:v>log10_ml_error</x:v>
      </x:c>
      <x:c r="G18" s="167" t="str">
        <x:v>ESS-filtered raw NPE-MCMC central 90% interval [q5, q95]</x:v>
      </x:c>
      <x:c r="H18" s="168" t="n">
        <x:v>-0.08454716484473893</x:v>
      </x:c>
      <x:c r="I18" s="168" t="n">
        <x:v>0.010131719488446338</x:v>
      </x:c>
      <x:c r="J18" s="169" t="n">
        <x:v>6</x:v>
      </x:c>
      <x:c r="K18" s="169" t="n">
        <x:v>0</x:v>
      </x:c>
      <x:c r="L18" s="169" t="n">
        <x:v>9</x:v>
      </x:c>
      <x:c r="M18" s="169" t="n">
        <x:v>2</x:v>
      </x:c>
      <x:c r="N18" s="169" t="n">
        <x:v>17</x:v>
      </x:c>
      <x:c r="O18" s="219" t="n">
        <x:v>0.6</x:v>
      </x:c>
      <x:c r="P18" s="219" t="n">
        <x:v>0</x:v>
      </x:c>
      <x:c r="Q18" s="219" t="n">
        <x:v>0.5714285714285714</x:v>
      </x:c>
      <x:c r="R18" s="219" t="n">
        <x:v>0.8</x:v>
      </x:c>
    </x:row>
    <x:row r="19">
      <x:c r="A19" s="167" t="str">
        <x:v>Diffusion</x:v>
      </x:c>
      <x:c r="B19" s="167" t="str">
        <x:v>empirical</x:v>
      </x:c>
      <x:c r="C19" s="167" t="str">
        <x:v>linf</x:v>
      </x:c>
      <x:c r="D19" s="167" t="str">
        <x:v>m3</x:v>
      </x:c>
      <x:c r="E19" s="167" t="str">
        <x:v>S=D</x:v>
      </x:c>
      <x:c r="F19" s="167" t="str">
        <x:v>log10_ml_error</x:v>
      </x:c>
      <x:c r="G19" s="167" t="str">
        <x:v>ESS-filtered raw NPE-MCMC central 90% interval [q5, q95]</x:v>
      </x:c>
      <x:c r="H19" s="168" t="n">
        <x:v>-0.08454716484473893</x:v>
      </x:c>
      <x:c r="I19" s="168" t="n">
        <x:v>0.010131719488446338</x:v>
      </x:c>
      <x:c r="J19" s="169" t="n">
        <x:v>4</x:v>
      </x:c>
      <x:c r="K19" s="169" t="n">
        <x:v>1</x:v>
      </x:c>
      <x:c r="L19" s="169" t="n">
        <x:v>11</x:v>
      </x:c>
      <x:c r="M19" s="169" t="n">
        <x:v>1</x:v>
      </x:c>
      <x:c r="N19" s="169" t="n">
        <x:v>17</x:v>
      </x:c>
      <x:c r="O19" s="269" t="n">
        <x:v>0.7333333333333333</x:v>
      </x:c>
      <x:c r="P19" s="269" t="n">
        <x:v>0.5</x:v>
      </x:c>
      <x:c r="Q19" s="269" t="n">
        <x:v>0.4</x:v>
      </x:c>
      <x:c r="R19" s="269" t="n">
        <x:v>0.6333333333333333</x:v>
      </x:c>
    </x:row>
    <x:row r="20">
      <x:c r="A20" s="167" t="str">
        <x:v>Diffusion</x:v>
      </x:c>
      <x:c r="B20" s="167" t="str">
        <x:v>empirical</x:v>
      </x:c>
      <x:c r="C20" s="167" t="str">
        <x:v>density</x:v>
      </x:c>
      <x:c r="D20" s="167" t="str">
        <x:v>m3</x:v>
      </x:c>
      <x:c r="E20" s="167" t="str">
        <x:v>S=D</x:v>
      </x:c>
      <x:c r="F20" s="167" t="str">
        <x:v>log10_ml_error</x:v>
      </x:c>
      <x:c r="G20" s="167" t="str">
        <x:v>ESS-filtered raw NPE-MCMC central 90% interval [q5, q95]</x:v>
      </x:c>
      <x:c r="H20" s="168" t="n">
        <x:v>-0.08454716484473893</x:v>
      </x:c>
      <x:c r="I20" s="168" t="n">
        <x:v>0.010131719488446338</x:v>
      </x:c>
      <x:c r="J20" s="169" t="n">
        <x:v>4</x:v>
      </x:c>
      <x:c r="K20" s="169" t="n">
        <x:v>0</x:v>
      </x:c>
      <x:c r="L20" s="169" t="n">
        <x:v>11</x:v>
      </x:c>
      <x:c r="M20" s="169" t="n">
        <x:v>2</x:v>
      </x:c>
      <x:c r="N20" s="169" t="n">
        <x:v>17</x:v>
      </x:c>
      <x:c r="O20" s="269" t="n">
        <x:v>0.7333333333333333</x:v>
      </x:c>
      <x:c r="P20" s="219" t="n">
        <x:v>0</x:v>
      </x:c>
      <x:c r="Q20" s="269" t="n">
        <x:v>0.42105263157894735</x:v>
      </x:c>
      <x:c r="R20" s="269" t="n">
        <x:v>0.5</x:v>
      </x:c>
    </x:row>
    <x:row r="21">
      <x:c r="A21" s="167" t="str">
        <x:v>Diffusion</x:v>
      </x:c>
      <x:c r="B21" s="167" t="str">
        <x:v>empirical</x:v>
      </x:c>
      <x:c r="C21" s="167" t="str">
        <x:v>mmd</x:v>
      </x:c>
      <x:c r="D21" s="167" t="str">
        <x:v>m3</x:v>
      </x:c>
      <x:c r="E21" s="167" t="str">
        <x:v>S=D</x:v>
      </x:c>
      <x:c r="F21" s="167" t="str">
        <x:v>log10_ml_error</x:v>
      </x:c>
      <x:c r="G21" s="167" t="str">
        <x:v>ESS-filtered raw NPE-MCMC central 90% interval [q5, q95]</x:v>
      </x:c>
      <x:c r="H21" s="168" t="n">
        <x:v>-0.08454716484473893</x:v>
      </x:c>
      <x:c r="I21" s="168" t="n">
        <x:v>0.010131719488446338</x:v>
      </x:c>
      <x:c r="J21" s="169" t="n">
        <x:v>0</x:v>
      </x:c>
      <x:c r="K21" s="169" t="n">
        <x:v>0</x:v>
      </x:c>
      <x:c r="L21" s="169" t="n">
        <x:v>15</x:v>
      </x:c>
      <x:c r="M21" s="169" t="n">
        <x:v>2</x:v>
      </x:c>
      <x:c r="N21" s="169" t="n">
        <x:v>17</x:v>
      </x:c>
      <x:c r="O21" s="269" t="n">
        <x:v>1</x:v>
      </x:c>
      <x:c r="P21" s="219" t="n">
        <x:v>0</x:v>
      </x:c>
      <x:c r="Q21" s="269" t="n">
        <x:v>0</x:v>
      </x:c>
      <x:c r="R21" s="269" t="n">
        <x:v>0.6333333333333333</x:v>
      </x:c>
    </x:row>
    <x:row r="22">
      <x:c r="A22" s="167" t="str">
        <x:v>Diffusion</x:v>
      </x:c>
      <x:c r="B22" s="167" t="str">
        <x:v>empirical</x:v>
      </x:c>
      <x:c r="C22" s="167" t="str">
        <x:v>l2</x:v>
      </x:c>
      <x:c r="D22" s="167" t="str">
        <x:v>m3</x:v>
      </x:c>
      <x:c r="E22" s="167" t="str">
        <x:v>S=2D</x:v>
      </x:c>
      <x:c r="F22" s="167" t="str">
        <x:v>log10_ml_error</x:v>
      </x:c>
      <x:c r="G22" s="167" t="str">
        <x:v>ESS-filtered raw NPE-MCMC central 90% interval [q5, q95]</x:v>
      </x:c>
      <x:c r="H22" s="168" t="n">
        <x:v>-0.08113623146883818</x:v>
      </x:c>
      <x:c r="I22" s="168" t="n">
        <x:v>0.010723818106331304</x:v>
      </x:c>
      <x:c r="J22" s="169" t="n">
        <x:v>7</x:v>
      </x:c>
      <x:c r="K22" s="169" t="n">
        <x:v>0</x:v>
      </x:c>
      <x:c r="L22" s="169" t="n">
        <x:v>7</x:v>
      </x:c>
      <x:c r="M22" s="169" t="n">
        <x:v>3</x:v>
      </x:c>
      <x:c r="N22" s="169" t="n">
        <x:v>17</x:v>
      </x:c>
      <x:c r="O22" s="219" t="n">
        <x:v>0.5</x:v>
      </x:c>
      <x:c r="P22" s="219" t="n">
        <x:v>0</x:v>
      </x:c>
      <x:c r="Q22" s="219" t="n">
        <x:v>0.6666666666666666</x:v>
      </x:c>
      <x:c r="R22" s="219" t="n">
        <x:v>0.7380952380952381</x:v>
      </x:c>
    </x:row>
    <x:row r="23">
      <x:c r="A23" s="167" t="str">
        <x:v>Diffusion</x:v>
      </x:c>
      <x:c r="B23" s="167" t="str">
        <x:v>empirical</x:v>
      </x:c>
      <x:c r="C23" s="167" t="str">
        <x:v>linf</x:v>
      </x:c>
      <x:c r="D23" s="167" t="str">
        <x:v>m3</x:v>
      </x:c>
      <x:c r="E23" s="167" t="str">
        <x:v>S=2D</x:v>
      </x:c>
      <x:c r="F23" s="167" t="str">
        <x:v>log10_ml_error</x:v>
      </x:c>
      <x:c r="G23" s="167" t="str">
        <x:v>ESS-filtered raw NPE-MCMC central 90% interval [q5, q95]</x:v>
      </x:c>
      <x:c r="H23" s="168" t="n">
        <x:v>-0.08113623146883818</x:v>
      </x:c>
      <x:c r="I23" s="168" t="n">
        <x:v>0.010723818106331304</x:v>
      </x:c>
      <x:c r="J23" s="169" t="n">
        <x:v>2</x:v>
      </x:c>
      <x:c r="K23" s="169" t="n">
        <x:v>0</x:v>
      </x:c>
      <x:c r="L23" s="169" t="n">
        <x:v>12</x:v>
      </x:c>
      <x:c r="M23" s="169" t="n">
        <x:v>3</x:v>
      </x:c>
      <x:c r="N23" s="169" t="n">
        <x:v>17</x:v>
      </x:c>
      <x:c r="O23" s="269" t="n">
        <x:v>0.8571428571428571</x:v>
      </x:c>
      <x:c r="P23" s="219" t="n">
        <x:v>0</x:v>
      </x:c>
      <x:c r="Q23" s="269" t="n">
        <x:v>0.25</x:v>
      </x:c>
      <x:c r="R23" s="269" t="n">
        <x:v>0.5714285714285714</x:v>
      </x:c>
    </x:row>
    <x:row r="24">
      <x:c r="A24" s="167" t="str">
        <x:v>Diffusion</x:v>
      </x:c>
      <x:c r="B24" s="167" t="str">
        <x:v>empirical</x:v>
      </x:c>
      <x:c r="C24" s="167" t="str">
        <x:v>density</x:v>
      </x:c>
      <x:c r="D24" s="167" t="str">
        <x:v>m3</x:v>
      </x:c>
      <x:c r="E24" s="167" t="str">
        <x:v>S=2D</x:v>
      </x:c>
      <x:c r="F24" s="167" t="str">
        <x:v>log10_ml_error</x:v>
      </x:c>
      <x:c r="G24" s="167" t="str">
        <x:v>ESS-filtered raw NPE-MCMC central 90% interval [q5, q95]</x:v>
      </x:c>
      <x:c r="H24" s="168" t="n">
        <x:v>-0.08113623146883818</x:v>
      </x:c>
      <x:c r="I24" s="168" t="n">
        <x:v>0.010723818106331304</x:v>
      </x:c>
      <x:c r="J24" s="169" t="n">
        <x:v>3</x:v>
      </x:c>
      <x:c r="K24" s="169" t="n">
        <x:v>0</x:v>
      </x:c>
      <x:c r="L24" s="169" t="n">
        <x:v>11</x:v>
      </x:c>
      <x:c r="M24" s="169" t="n">
        <x:v>3</x:v>
      </x:c>
      <x:c r="N24" s="169" t="n">
        <x:v>17</x:v>
      </x:c>
      <x:c r="O24" s="269" t="n">
        <x:v>0.7857142857142857</x:v>
      </x:c>
      <x:c r="P24" s="219" t="n">
        <x:v>0</x:v>
      </x:c>
      <x:c r="Q24" s="269" t="n">
        <x:v>0.35294117647058826</x:v>
      </x:c>
      <x:c r="R24" s="269" t="n">
        <x:v>0.5952380952380952</x:v>
      </x:c>
    </x:row>
    <x:row r="25">
      <x:c r="A25" s="167" t="str">
        <x:v>Diffusion</x:v>
      </x:c>
      <x:c r="B25" s="167" t="str">
        <x:v>empirical</x:v>
      </x:c>
      <x:c r="C25" s="167" t="str">
        <x:v>mmd</x:v>
      </x:c>
      <x:c r="D25" s="167" t="str">
        <x:v>m3</x:v>
      </x:c>
      <x:c r="E25" s="167" t="str">
        <x:v>S=2D</x:v>
      </x:c>
      <x:c r="F25" s="167" t="str">
        <x:v>log10_ml_error</x:v>
      </x:c>
      <x:c r="G25" s="167" t="str">
        <x:v>ESS-filtered raw NPE-MCMC central 90% interval [q5, q95]</x:v>
      </x:c>
      <x:c r="H25" s="168" t="n">
        <x:v>-0.08113623146883818</x:v>
      </x:c>
      <x:c r="I25" s="168" t="n">
        <x:v>0.010723818106331304</x:v>
      </x:c>
      <x:c r="J25" s="169" t="n">
        <x:v>0</x:v>
      </x:c>
      <x:c r="K25" s="169" t="n">
        <x:v>0</x:v>
      </x:c>
      <x:c r="L25" s="169" t="n">
        <x:v>14</x:v>
      </x:c>
      <x:c r="M25" s="169" t="n">
        <x:v>3</x:v>
      </x:c>
      <x:c r="N25" s="169" t="n">
        <x:v>17</x:v>
      </x:c>
      <x:c r="O25" s="269" t="n">
        <x:v>1</x:v>
      </x:c>
      <x:c r="P25" s="219" t="n">
        <x:v>0</x:v>
      </x:c>
      <x:c r="Q25" s="269" t="n">
        <x:v>0</x:v>
      </x:c>
      <x:c r="R25" s="269" t="n">
        <x:v>0.6904761904761906</x:v>
      </x:c>
    </x:row>
    <x:row r="26">
      <x:c r="A26" s="167" t="str">
        <x:v>Diffusion</x:v>
      </x:c>
      <x:c r="B26" s="167" t="str">
        <x:v>empirical</x:v>
      </x:c>
      <x:c r="C26" s="167" t="str">
        <x:v>l2</x:v>
      </x:c>
      <x:c r="D26" s="167" t="str">
        <x:v>m3</x:v>
      </x:c>
      <x:c r="E26" s="167" t="str">
        <x:v>S=4D</x:v>
      </x:c>
      <x:c r="F26" s="167" t="str">
        <x:v>log10_ml_error</x:v>
      </x:c>
      <x:c r="G26" s="167" t="str">
        <x:v>ESS-filtered raw NPE-MCMC central 90% interval [q5, q95]</x:v>
      </x:c>
      <x:c r="H26" s="168" t="n">
        <x:v>-0.08447424715509859</x:v>
      </x:c>
      <x:c r="I26" s="168" t="n">
        <x:v>0.006500339545351692</x:v>
      </x:c>
      <x:c r="J26" s="169" t="n">
        <x:v>6</x:v>
      </x:c>
      <x:c r="K26" s="169" t="n">
        <x:v>1</x:v>
      </x:c>
      <x:c r="L26" s="169" t="n">
        <x:v>9</x:v>
      </x:c>
      <x:c r="M26" s="169" t="n">
        <x:v>1</x:v>
      </x:c>
      <x:c r="N26" s="169" t="n">
        <x:v>17</x:v>
      </x:c>
      <x:c r="O26" s="269" t="n">
        <x:v>0.6</x:v>
      </x:c>
      <x:c r="P26" s="269" t="n">
        <x:v>0.5</x:v>
      </x:c>
      <x:c r="Q26" s="269" t="n">
        <x:v>0.5454545454545454</x:v>
      </x:c>
      <x:c r="R26" s="269" t="n">
        <x:v>0.43333333333333335</x:v>
      </x:c>
    </x:row>
    <x:row r="27">
      <x:c r="A27" s="167" t="str">
        <x:v>Diffusion</x:v>
      </x:c>
      <x:c r="B27" s="167" t="str">
        <x:v>empirical</x:v>
      </x:c>
      <x:c r="C27" s="167" t="str">
        <x:v>linf</x:v>
      </x:c>
      <x:c r="D27" s="167" t="str">
        <x:v>m3</x:v>
      </x:c>
      <x:c r="E27" s="167" t="str">
        <x:v>S=4D</x:v>
      </x:c>
      <x:c r="F27" s="167" t="str">
        <x:v>log10_ml_error</x:v>
      </x:c>
      <x:c r="G27" s="167" t="str">
        <x:v>ESS-filtered raw NPE-MCMC central 90% interval [q5, q95]</x:v>
      </x:c>
      <x:c r="H27" s="168" t="n">
        <x:v>-0.08447424715509859</x:v>
      </x:c>
      <x:c r="I27" s="168" t="n">
        <x:v>0.006500339545351692</x:v>
      </x:c>
      <x:c r="J27" s="169" t="n">
        <x:v>4</x:v>
      </x:c>
      <x:c r="K27" s="169" t="n">
        <x:v>0</x:v>
      </x:c>
      <x:c r="L27" s="169" t="n">
        <x:v>11</x:v>
      </x:c>
      <x:c r="M27" s="169" t="n">
        <x:v>2</x:v>
      </x:c>
      <x:c r="N27" s="169" t="n">
        <x:v>17</x:v>
      </x:c>
      <x:c r="O27" s="269" t="n">
        <x:v>0.7333333333333333</x:v>
      </x:c>
      <x:c r="P27" s="219" t="n">
        <x:v>0</x:v>
      </x:c>
      <x:c r="Q27" s="269" t="n">
        <x:v>0.42105263157894735</x:v>
      </x:c>
      <x:c r="R27" s="219" t="n">
        <x:v>0.6333333333333333</x:v>
      </x:c>
    </x:row>
    <x:row r="28">
      <x:c r="A28" s="167" t="str">
        <x:v>Diffusion</x:v>
      </x:c>
      <x:c r="B28" s="167" t="str">
        <x:v>empirical</x:v>
      </x:c>
      <x:c r="C28" s="167" t="str">
        <x:v>density</x:v>
      </x:c>
      <x:c r="D28" s="167" t="str">
        <x:v>m3</x:v>
      </x:c>
      <x:c r="E28" s="167" t="str">
        <x:v>S=4D</x:v>
      </x:c>
      <x:c r="F28" s="167" t="str">
        <x:v>log10_ml_error</x:v>
      </x:c>
      <x:c r="G28" s="167" t="str">
        <x:v>ESS-filtered raw NPE-MCMC central 90% interval [q5, q95]</x:v>
      </x:c>
      <x:c r="H28" s="168" t="n">
        <x:v>-0.08447424715509859</x:v>
      </x:c>
      <x:c r="I28" s="168" t="n">
        <x:v>0.006500339545351692</x:v>
      </x:c>
      <x:c r="J28" s="169" t="n">
        <x:v>8</x:v>
      </x:c>
      <x:c r="K28" s="169" t="n">
        <x:v>2</x:v>
      </x:c>
      <x:c r="L28" s="169" t="n">
        <x:v>7</x:v>
      </x:c>
      <x:c r="M28" s="169" t="n">
        <x:v>0</x:v>
      </x:c>
      <x:c r="N28" s="169" t="n">
        <x:v>17</x:v>
      </x:c>
      <x:c r="O28" s="219" t="n">
        <x:v>0.4666666666666667</x:v>
      </x:c>
      <x:c r="P28" s="269" t="n">
        <x:v>1</x:v>
      </x:c>
      <x:c r="Q28" s="219" t="n">
        <x:v>0.64</x:v>
      </x:c>
      <x:c r="R28" s="269" t="n">
        <x:v>0.16666666666666669</x:v>
      </x:c>
    </x:row>
    <x:row r="29">
      <x:c r="A29" s="167" t="str">
        <x:v>Diffusion</x:v>
      </x:c>
      <x:c r="B29" s="167" t="str">
        <x:v>empirical</x:v>
      </x:c>
      <x:c r="C29" s="167" t="str">
        <x:v>mmd</x:v>
      </x:c>
      <x:c r="D29" s="167" t="str">
        <x:v>m3</x:v>
      </x:c>
      <x:c r="E29" s="167" t="str">
        <x:v>S=4D</x:v>
      </x:c>
      <x:c r="F29" s="167" t="str">
        <x:v>log10_ml_error</x:v>
      </x:c>
      <x:c r="G29" s="167" t="str">
        <x:v>ESS-filtered raw NPE-MCMC central 90% interval [q5, q95]</x:v>
      </x:c>
      <x:c r="H29" s="168" t="n">
        <x:v>-0.08447424715509859</x:v>
      </x:c>
      <x:c r="I29" s="168" t="n">
        <x:v>0.006500339545351692</x:v>
      </x:c>
      <x:c r="J29" s="169" t="n">
        <x:v>0</x:v>
      </x:c>
      <x:c r="K29" s="169" t="n">
        <x:v>0</x:v>
      </x:c>
      <x:c r="L29" s="169" t="n">
        <x:v>15</x:v>
      </x:c>
      <x:c r="M29" s="169" t="n">
        <x:v>2</x:v>
      </x:c>
      <x:c r="N29" s="169" t="n">
        <x:v>17</x:v>
      </x:c>
      <x:c r="O29" s="269" t="n">
        <x:v>1</x:v>
      </x:c>
      <x:c r="P29" s="219" t="n">
        <x:v>0</x:v>
      </x:c>
      <x:c r="Q29" s="269" t="n">
        <x:v>0</x:v>
      </x:c>
      <x:c r="R29" s="269" t="n">
        <x:v>0.5333333333333333</x:v>
      </x:c>
    </x:row>
    <x:row r="30">
      <x:c r="A30" s="167" t="str">
        <x:v>Diffusion</x:v>
      </x:c>
      <x:c r="B30" s="167" t="str">
        <x:v>empirical</x:v>
      </x:c>
      <x:c r="C30" s="167" t="str">
        <x:v>l2</x:v>
      </x:c>
      <x:c r="D30" s="167" t="str">
        <x:v>m3</x:v>
      </x:c>
      <x:c r="E30" s="167" t="str">
        <x:v>S=6D</x:v>
      </x:c>
      <x:c r="F30" s="167" t="str">
        <x:v>log10_ml_error</x:v>
      </x:c>
      <x:c r="G30" s="167" t="str">
        <x:v>ESS-filtered raw NPE-MCMC central 90% interval [q5, q95]</x:v>
      </x:c>
      <x:c r="H30" s="168" t="n">
        <x:v>-0.08087486122647553</x:v>
      </x:c>
      <x:c r="I30" s="168" t="n">
        <x:v>0.005188006318577338</x:v>
      </x:c>
      <x:c r="J30" s="169" t="n">
        <x:v>7</x:v>
      </x:c>
      <x:c r="K30" s="169" t="n">
        <x:v>1</x:v>
      </x:c>
      <x:c r="L30" s="169" t="n">
        <x:v>8</x:v>
      </x:c>
      <x:c r="M30" s="169" t="n">
        <x:v>1</x:v>
      </x:c>
      <x:c r="N30" s="169" t="n">
        <x:v>17</x:v>
      </x:c>
      <x:c r="O30" s="269" t="n">
        <x:v>0.5333333333333333</x:v>
      </x:c>
      <x:c r="P30" s="269" t="n">
        <x:v>0.5</x:v>
      </x:c>
      <x:c r="Q30" s="269" t="n">
        <x:v>0.6086956521739131</x:v>
      </x:c>
      <x:c r="R30" s="269" t="n">
        <x:v>0.7</x:v>
      </x:c>
    </x:row>
    <x:row r="31">
      <x:c r="A31" s="167" t="str">
        <x:v>Diffusion</x:v>
      </x:c>
      <x:c r="B31" s="167" t="str">
        <x:v>empirical</x:v>
      </x:c>
      <x:c r="C31" s="167" t="str">
        <x:v>linf</x:v>
      </x:c>
      <x:c r="D31" s="167" t="str">
        <x:v>m3</x:v>
      </x:c>
      <x:c r="E31" s="167" t="str">
        <x:v>S=6D</x:v>
      </x:c>
      <x:c r="F31" s="167" t="str">
        <x:v>log10_ml_error</x:v>
      </x:c>
      <x:c r="G31" s="167" t="str">
        <x:v>ESS-filtered raw NPE-MCMC central 90% interval [q5, q95]</x:v>
      </x:c>
      <x:c r="H31" s="168" t="n">
        <x:v>-0.08087486122647553</x:v>
      </x:c>
      <x:c r="I31" s="168" t="n">
        <x:v>0.005188006318577338</x:v>
      </x:c>
      <x:c r="J31" s="169" t="n">
        <x:v>8</x:v>
      </x:c>
      <x:c r="K31" s="169" t="n">
        <x:v>0</x:v>
      </x:c>
      <x:c r="L31" s="169" t="n">
        <x:v>7</x:v>
      </x:c>
      <x:c r="M31" s="169" t="n">
        <x:v>2</x:v>
      </x:c>
      <x:c r="N31" s="169" t="n">
        <x:v>17</x:v>
      </x:c>
      <x:c r="O31" s="269" t="n">
        <x:v>0.4666666666666667</x:v>
      </x:c>
      <x:c r="P31" s="219" t="n">
        <x:v>0</x:v>
      </x:c>
      <x:c r="Q31" s="269" t="n">
        <x:v>0.6956521739130435</x:v>
      </x:c>
      <x:c r="R31" s="219" t="n">
        <x:v>0.8</x:v>
      </x:c>
    </x:row>
    <x:row r="32">
      <x:c r="A32" s="167" t="str">
        <x:v>Diffusion</x:v>
      </x:c>
      <x:c r="B32" s="167" t="str">
        <x:v>empirical</x:v>
      </x:c>
      <x:c r="C32" s="167" t="str">
        <x:v>density</x:v>
      </x:c>
      <x:c r="D32" s="167" t="str">
        <x:v>m3</x:v>
      </x:c>
      <x:c r="E32" s="167" t="str">
        <x:v>S=6D</x:v>
      </x:c>
      <x:c r="F32" s="167" t="str">
        <x:v>log10_ml_error</x:v>
      </x:c>
      <x:c r="G32" s="167" t="str">
        <x:v>ESS-filtered raw NPE-MCMC central 90% interval [q5, q95]</x:v>
      </x:c>
      <x:c r="H32" s="168" t="n">
        <x:v>-0.08087486122647553</x:v>
      </x:c>
      <x:c r="I32" s="168" t="n">
        <x:v>0.005188006318577338</x:v>
      </x:c>
      <x:c r="J32" s="169" t="n">
        <x:v>10</x:v>
      </x:c>
      <x:c r="K32" s="169" t="n">
        <x:v>2</x:v>
      </x:c>
      <x:c r="L32" s="169" t="n">
        <x:v>5</x:v>
      </x:c>
      <x:c r="M32" s="169" t="n">
        <x:v>0</x:v>
      </x:c>
      <x:c r="N32" s="169" t="n">
        <x:v>17</x:v>
      </x:c>
      <x:c r="O32" s="219" t="n">
        <x:v>0.3333333333333333</x:v>
      </x:c>
      <x:c r="P32" s="269" t="n">
        <x:v>1</x:v>
      </x:c>
      <x:c r="Q32" s="219" t="n">
        <x:v>0.7407407407407407</x:v>
      </x:c>
      <x:c r="R32" s="269" t="n">
        <x:v>0.5</x:v>
      </x:c>
    </x:row>
    <x:row r="33">
      <x:c r="A33" s="167" t="str">
        <x:v>Diffusion</x:v>
      </x:c>
      <x:c r="B33" s="167" t="str">
        <x:v>empirical</x:v>
      </x:c>
      <x:c r="C33" s="167" t="str">
        <x:v>mmd</x:v>
      </x:c>
      <x:c r="D33" s="167" t="str">
        <x:v>m3</x:v>
      </x:c>
      <x:c r="E33" s="167" t="str">
        <x:v>S=6D</x:v>
      </x:c>
      <x:c r="F33" s="167" t="str">
        <x:v>log10_ml_error</x:v>
      </x:c>
      <x:c r="G33" s="167" t="str">
        <x:v>ESS-filtered raw NPE-MCMC central 90% interval [q5, q95]</x:v>
      </x:c>
      <x:c r="H33" s="168" t="n">
        <x:v>-0.08087486122647553</x:v>
      </x:c>
      <x:c r="I33" s="168" t="n">
        <x:v>0.005188006318577338</x:v>
      </x:c>
      <x:c r="J33" s="169" t="n">
        <x:v>5</x:v>
      </x:c>
      <x:c r="K33" s="169" t="n">
        <x:v>0</x:v>
      </x:c>
      <x:c r="L33" s="169" t="n">
        <x:v>10</x:v>
      </x:c>
      <x:c r="M33" s="169" t="n">
        <x:v>2</x:v>
      </x:c>
      <x:c r="N33" s="169" t="n">
        <x:v>17</x:v>
      </x:c>
      <x:c r="O33" s="269" t="n">
        <x:v>0.6666666666666666</x:v>
      </x:c>
      <x:c r="P33" s="219" t="n">
        <x:v>0</x:v>
      </x:c>
      <x:c r="Q33" s="269" t="n">
        <x:v>0.5</x:v>
      </x:c>
      <x:c r="R33" s="219" t="n">
        <x:v>0.8</x:v>
      </x:c>
    </x:row>
    <x:row r="34">
      <x:c r="A34" s="167" t="str">
        <x:v>Diffusion</x:v>
      </x:c>
      <x:c r="B34" s="167" t="str">
        <x:v>empirical</x:v>
      </x:c>
      <x:c r="C34" s="167" t="str">
        <x:v>l2</x:v>
      </x:c>
      <x:c r="D34" s="167" t="str">
        <x:v>m1</x:v>
      </x:c>
      <x:c r="E34" s="167" t="str">
        <x:v>S=D</x:v>
      </x:c>
      <x:c r="F34" s="167" t="str">
        <x:v>pmp_error</x:v>
      </x:c>
      <x:c r="G34" s="167" t="str">
        <x:v>ESS-filtered raw NPE-MCMC central 90% interval [q5, q95]</x:v>
      </x:c>
      <x:c r="H34" s="168" t="n">
        <x:v>-0.0020028586420996</x:v>
      </x:c>
      <x:c r="I34" s="168" t="n">
        <x:v>0.0013370502878565</x:v>
      </x:c>
      <x:c r="J34" s="169" t="n">
        <x:v>11</x:v>
      </x:c>
      <x:c r="K34" s="169" t="n">
        <x:v>4</x:v>
      </x:c>
      <x:c r="L34" s="169" t="n">
        <x:v>2</x:v>
      </x:c>
      <x:c r="M34" s="169" t="n">
        <x:v>0</x:v>
      </x:c>
      <x:c r="N34" s="169" t="n">
        <x:v>17</x:v>
      </x:c>
      <x:c r="O34" s="269" t="n">
        <x:v>0.15384615384615385</x:v>
      </x:c>
      <x:c r="P34" s="269" t="n">
        <x:v>1</x:v>
      </x:c>
      <x:c r="Q34" s="269" t="n">
        <x:v>0.7857142857142857</x:v>
      </x:c>
      <x:c r="R34" s="269" t="n">
        <x:v>0.23076923076923078</x:v>
      </x:c>
    </x:row>
    <x:row r="35">
      <x:c r="A35" s="167" t="str">
        <x:v>Diffusion</x:v>
      </x:c>
      <x:c r="B35" s="167" t="str">
        <x:v>empirical</x:v>
      </x:c>
      <x:c r="C35" s="167" t="str">
        <x:v>linf</x:v>
      </x:c>
      <x:c r="D35" s="167" t="str">
        <x:v>m1</x:v>
      </x:c>
      <x:c r="E35" s="167" t="str">
        <x:v>S=D</x:v>
      </x:c>
      <x:c r="F35" s="167" t="str">
        <x:v>pmp_error</x:v>
      </x:c>
      <x:c r="G35" s="167" t="str">
        <x:v>ESS-filtered raw NPE-MCMC central 90% interval [q5, q95]</x:v>
      </x:c>
      <x:c r="H35" s="168" t="n">
        <x:v>-0.0020028586420996</x:v>
      </x:c>
      <x:c r="I35" s="168" t="n">
        <x:v>0.0013370502878565</x:v>
      </x:c>
      <x:c r="J35" s="169" t="n">
        <x:v>13</x:v>
      </x:c>
      <x:c r="K35" s="169" t="n">
        <x:v>4</x:v>
      </x:c>
      <x:c r="L35" s="169" t="n">
        <x:v>0</x:v>
      </x:c>
      <x:c r="M35" s="169" t="n">
        <x:v>0</x:v>
      </x:c>
      <x:c r="N35" s="169" t="n">
        <x:v>17</x:v>
      </x:c>
      <x:c r="O35" s="219" t="n">
        <x:v>0</x:v>
      </x:c>
      <x:c r="P35" s="269" t="n">
        <x:v>1</x:v>
      </x:c>
      <x:c r="Q35" s="219" t="n">
        <x:v>0.8666666666666667</x:v>
      </x:c>
      <x:c r="R35" s="269" t="n">
        <x:v>0.25</x:v>
      </x:c>
    </x:row>
    <x:row r="36">
      <x:c r="A36" s="167" t="str">
        <x:v>Diffusion</x:v>
      </x:c>
      <x:c r="B36" s="167" t="str">
        <x:v>empirical</x:v>
      </x:c>
      <x:c r="C36" s="167" t="str">
        <x:v>density</x:v>
      </x:c>
      <x:c r="D36" s="167" t="str">
        <x:v>m1</x:v>
      </x:c>
      <x:c r="E36" s="167" t="str">
        <x:v>S=D</x:v>
      </x:c>
      <x:c r="F36" s="167" t="str">
        <x:v>pmp_error</x:v>
      </x:c>
      <x:c r="G36" s="167" t="str">
        <x:v>ESS-filtered raw NPE-MCMC central 90% interval [q5, q95]</x:v>
      </x:c>
      <x:c r="H36" s="168" t="n">
        <x:v>-0.0020028586420996</x:v>
      </x:c>
      <x:c r="I36" s="168" t="n">
        <x:v>0.0013370502878565</x:v>
      </x:c>
      <x:c r="J36" s="169" t="n">
        <x:v>7</x:v>
      </x:c>
      <x:c r="K36" s="169" t="n">
        <x:v>3</x:v>
      </x:c>
      <x:c r="L36" s="169" t="n">
        <x:v>6</x:v>
      </x:c>
      <x:c r="M36" s="169" t="n">
        <x:v>1</x:v>
      </x:c>
      <x:c r="N36" s="169" t="n">
        <x:v>17</x:v>
      </x:c>
      <x:c r="O36" s="269" t="n">
        <x:v>0.46153846153846156</x:v>
      </x:c>
      <x:c r="P36" s="269" t="n">
        <x:v>0.75</x:v>
      </x:c>
      <x:c r="Q36" s="269" t="n">
        <x:v>0.6086956521739131</x:v>
      </x:c>
      <x:c r="R36" s="269" t="n">
        <x:v>0.3076923076923077</x:v>
      </x:c>
    </x:row>
    <x:row r="37">
      <x:c r="A37" s="167" t="str">
        <x:v>Diffusion</x:v>
      </x:c>
      <x:c r="B37" s="167" t="str">
        <x:v>empirical</x:v>
      </x:c>
      <x:c r="C37" s="167" t="str">
        <x:v>mmd</x:v>
      </x:c>
      <x:c r="D37" s="167" t="str">
        <x:v>m1</x:v>
      </x:c>
      <x:c r="E37" s="167" t="str">
        <x:v>S=D</x:v>
      </x:c>
      <x:c r="F37" s="167" t="str">
        <x:v>pmp_error</x:v>
      </x:c>
      <x:c r="G37" s="167" t="str">
        <x:v>ESS-filtered raw NPE-MCMC central 90% interval [q5, q95]</x:v>
      </x:c>
      <x:c r="H37" s="168" t="n">
        <x:v>-0.0020028586420996</x:v>
      </x:c>
      <x:c r="I37" s="168" t="n">
        <x:v>0.0013370502878565</x:v>
      </x:c>
      <x:c r="J37" s="169" t="n">
        <x:v>2</x:v>
      </x:c>
      <x:c r="K37" s="169" t="n">
        <x:v>1</x:v>
      </x:c>
      <x:c r="L37" s="169" t="n">
        <x:v>11</x:v>
      </x:c>
      <x:c r="M37" s="169" t="n">
        <x:v>3</x:v>
      </x:c>
      <x:c r="N37" s="169" t="n">
        <x:v>17</x:v>
      </x:c>
      <x:c r="O37" s="269" t="n">
        <x:v>0.8461538461538461</x:v>
      </x:c>
      <x:c r="P37" s="219" t="n">
        <x:v>0.25</x:v>
      </x:c>
      <x:c r="Q37" s="269" t="n">
        <x:v>0.25</x:v>
      </x:c>
      <x:c r="R37" s="219" t="n">
        <x:v>0.36538461538461536</x:v>
      </x:c>
    </x:row>
    <x:row r="38">
      <x:c r="A38" s="167" t="str">
        <x:v>Diffusion</x:v>
      </x:c>
      <x:c r="B38" s="167" t="str">
        <x:v>empirical</x:v>
      </x:c>
      <x:c r="C38" s="167" t="str">
        <x:v>l2</x:v>
      </x:c>
      <x:c r="D38" s="167" t="str">
        <x:v>m1</x:v>
      </x:c>
      <x:c r="E38" s="167" t="str">
        <x:v>S=2D</x:v>
      </x:c>
      <x:c r="F38" s="167" t="str">
        <x:v>pmp_error</x:v>
      </x:c>
      <x:c r="G38" s="167" t="str">
        <x:v>ESS-filtered raw NPE-MCMC central 90% interval [q5, q95]</x:v>
      </x:c>
      <x:c r="H38" s="168" t="n">
        <x:v>-0.0018448968408685</x:v>
      </x:c>
      <x:c r="I38" s="168" t="n">
        <x:v>0.0014865644998681</x:v>
      </x:c>
      <x:c r="J38" s="169" t="n">
        <x:v>3</x:v>
      </x:c>
      <x:c r="K38" s="169" t="n">
        <x:v>2</x:v>
      </x:c>
      <x:c r="L38" s="169" t="n">
        <x:v>10</x:v>
      </x:c>
      <x:c r="M38" s="169" t="n">
        <x:v>2</x:v>
      </x:c>
      <x:c r="N38" s="169" t="n">
        <x:v>17</x:v>
      </x:c>
      <x:c r="O38" s="269" t="n">
        <x:v>0.7692307692307693</x:v>
      </x:c>
      <x:c r="P38" s="269" t="n">
        <x:v>0.5</x:v>
      </x:c>
      <x:c r="Q38" s="269" t="n">
        <x:v>0.3333333333333333</x:v>
      </x:c>
      <x:c r="R38" s="269" t="n">
        <x:v>0.15384615384615385</x:v>
      </x:c>
    </x:row>
    <x:row r="39">
      <x:c r="A39" s="167" t="str">
        <x:v>Diffusion</x:v>
      </x:c>
      <x:c r="B39" s="167" t="str">
        <x:v>empirical</x:v>
      </x:c>
      <x:c r="C39" s="167" t="str">
        <x:v>linf</x:v>
      </x:c>
      <x:c r="D39" s="167" t="str">
        <x:v>m1</x:v>
      </x:c>
      <x:c r="E39" s="167" t="str">
        <x:v>S=2D</x:v>
      </x:c>
      <x:c r="F39" s="167" t="str">
        <x:v>pmp_error</x:v>
      </x:c>
      <x:c r="G39" s="167" t="str">
        <x:v>ESS-filtered raw NPE-MCMC central 90% interval [q5, q95]</x:v>
      </x:c>
      <x:c r="H39" s="168" t="n">
        <x:v>-0.0018448968408685</x:v>
      </x:c>
      <x:c r="I39" s="168" t="n">
        <x:v>0.0014865644998681</x:v>
      </x:c>
      <x:c r="J39" s="169" t="n">
        <x:v>10</x:v>
      </x:c>
      <x:c r="K39" s="169" t="n">
        <x:v>4</x:v>
      </x:c>
      <x:c r="L39" s="169" t="n">
        <x:v>3</x:v>
      </x:c>
      <x:c r="M39" s="169" t="n">
        <x:v>0</x:v>
      </x:c>
      <x:c r="N39" s="169" t="n">
        <x:v>17</x:v>
      </x:c>
      <x:c r="O39" s="219" t="n">
        <x:v>0.23076923076923078</x:v>
      </x:c>
      <x:c r="P39" s="269" t="n">
        <x:v>1</x:v>
      </x:c>
      <x:c r="Q39" s="219" t="n">
        <x:v>0.7407407407407407</x:v>
      </x:c>
      <x:c r="R39" s="269" t="n">
        <x:v>0.17307692307692307</x:v>
      </x:c>
    </x:row>
    <x:row r="40">
      <x:c r="A40" s="167" t="str">
        <x:v>Diffusion</x:v>
      </x:c>
      <x:c r="B40" s="167" t="str">
        <x:v>empirical</x:v>
      </x:c>
      <x:c r="C40" s="167" t="str">
        <x:v>density</x:v>
      </x:c>
      <x:c r="D40" s="167" t="str">
        <x:v>m1</x:v>
      </x:c>
      <x:c r="E40" s="167" t="str">
        <x:v>S=2D</x:v>
      </x:c>
      <x:c r="F40" s="167" t="str">
        <x:v>pmp_error</x:v>
      </x:c>
      <x:c r="G40" s="167" t="str">
        <x:v>ESS-filtered raw NPE-MCMC central 90% interval [q5, q95]</x:v>
      </x:c>
      <x:c r="H40" s="168" t="n">
        <x:v>-0.0018448968408685</x:v>
      </x:c>
      <x:c r="I40" s="168" t="n">
        <x:v>0.0014865644998681</x:v>
      </x:c>
      <x:c r="J40" s="169" t="n">
        <x:v>10</x:v>
      </x:c>
      <x:c r="K40" s="169" t="n">
        <x:v>4</x:v>
      </x:c>
      <x:c r="L40" s="169" t="n">
        <x:v>3</x:v>
      </x:c>
      <x:c r="M40" s="169" t="n">
        <x:v>0</x:v>
      </x:c>
      <x:c r="N40" s="169" t="n">
        <x:v>17</x:v>
      </x:c>
      <x:c r="O40" s="219" t="n">
        <x:v>0.23076923076923078</x:v>
      </x:c>
      <x:c r="P40" s="269" t="n">
        <x:v>1</x:v>
      </x:c>
      <x:c r="Q40" s="219" t="n">
        <x:v>0.7407407407407407</x:v>
      </x:c>
      <x:c r="R40" s="269" t="n">
        <x:v>0</x:v>
      </x:c>
    </x:row>
    <x:row r="41">
      <x:c r="A41" s="167" t="str">
        <x:v>Diffusion</x:v>
      </x:c>
      <x:c r="B41" s="167" t="str">
        <x:v>empirical</x:v>
      </x:c>
      <x:c r="C41" s="167" t="str">
        <x:v>mmd</x:v>
      </x:c>
      <x:c r="D41" s="167" t="str">
        <x:v>m1</x:v>
      </x:c>
      <x:c r="E41" s="167" t="str">
        <x:v>S=2D</x:v>
      </x:c>
      <x:c r="F41" s="167" t="str">
        <x:v>pmp_error</x:v>
      </x:c>
      <x:c r="G41" s="167" t="str">
        <x:v>ESS-filtered raw NPE-MCMC central 90% interval [q5, q95]</x:v>
      </x:c>
      <x:c r="H41" s="168" t="n">
        <x:v>-0.0018448968408685</x:v>
      </x:c>
      <x:c r="I41" s="168" t="n">
        <x:v>0.0014865644998681</x:v>
      </x:c>
      <x:c r="J41" s="169" t="n">
        <x:v>0</x:v>
      </x:c>
      <x:c r="K41" s="169" t="n">
        <x:v>0</x:v>
      </x:c>
      <x:c r="L41" s="169" t="n">
        <x:v>13</x:v>
      </x:c>
      <x:c r="M41" s="169" t="n">
        <x:v>4</x:v>
      </x:c>
      <x:c r="N41" s="169" t="n">
        <x:v>17</x:v>
      </x:c>
      <x:c r="O41" s="269" t="n">
        <x:v>1</x:v>
      </x:c>
      <x:c r="P41" s="219" t="n">
        <x:v>0</x:v>
      </x:c>
      <x:c r="Q41" s="269" t="n">
        <x:v>0</x:v>
      </x:c>
      <x:c r="R41" s="219" t="n">
        <x:v>0.5</x:v>
      </x:c>
    </x:row>
    <x:row r="42">
      <x:c r="A42" s="167" t="str">
        <x:v>Diffusion</x:v>
      </x:c>
      <x:c r="B42" s="167" t="str">
        <x:v>empirical</x:v>
      </x:c>
      <x:c r="C42" s="167" t="str">
        <x:v>l2</x:v>
      </x:c>
      <x:c r="D42" s="167" t="str">
        <x:v>m1</x:v>
      </x:c>
      <x:c r="E42" s="167" t="str">
        <x:v>S=4D</x:v>
      </x:c>
      <x:c r="F42" s="167" t="str">
        <x:v>pmp_error</x:v>
      </x:c>
      <x:c r="G42" s="167" t="str">
        <x:v>ESS-filtered raw NPE-MCMC central 90% interval [q5, q95]</x:v>
      </x:c>
      <x:c r="H42" s="168" t="n">
        <x:v>-0.0009498249689278</x:v>
      </x:c>
      <x:c r="I42" s="168" t="n">
        <x:v>0.0009317388356325</x:v>
      </x:c>
      <x:c r="J42" s="169" t="n">
        <x:v>11</x:v>
      </x:c>
      <x:c r="K42" s="169" t="n">
        <x:v>4</x:v>
      </x:c>
      <x:c r="L42" s="169" t="n">
        <x:v>2</x:v>
      </x:c>
      <x:c r="M42" s="169" t="n">
        <x:v>0</x:v>
      </x:c>
      <x:c r="N42" s="169" t="n">
        <x:v>17</x:v>
      </x:c>
      <x:c r="O42" s="269" t="n">
        <x:v>0.15384615384615385</x:v>
      </x:c>
      <x:c r="P42" s="269" t="n">
        <x:v>1</x:v>
      </x:c>
      <x:c r="Q42" s="269" t="n">
        <x:v>0.7857142857142857</x:v>
      </x:c>
      <x:c r="R42" s="269" t="n">
        <x:v>0.09615384615384616</x:v>
      </x:c>
    </x:row>
    <x:row r="43">
      <x:c r="A43" s="167" t="str">
        <x:v>Diffusion</x:v>
      </x:c>
      <x:c r="B43" s="167" t="str">
        <x:v>empirical</x:v>
      </x:c>
      <x:c r="C43" s="167" t="str">
        <x:v>linf</x:v>
      </x:c>
      <x:c r="D43" s="167" t="str">
        <x:v>m1</x:v>
      </x:c>
      <x:c r="E43" s="167" t="str">
        <x:v>S=4D</x:v>
      </x:c>
      <x:c r="F43" s="167" t="str">
        <x:v>pmp_error</x:v>
      </x:c>
      <x:c r="G43" s="167" t="str">
        <x:v>ESS-filtered raw NPE-MCMC central 90% interval [q5, q95]</x:v>
      </x:c>
      <x:c r="H43" s="168" t="n">
        <x:v>-0.0009498249689278</x:v>
      </x:c>
      <x:c r="I43" s="168" t="n">
        <x:v>0.0009317388356325</x:v>
      </x:c>
      <x:c r="J43" s="169" t="n">
        <x:v>8</x:v>
      </x:c>
      <x:c r="K43" s="169" t="n">
        <x:v>4</x:v>
      </x:c>
      <x:c r="L43" s="169" t="n">
        <x:v>5</x:v>
      </x:c>
      <x:c r="M43" s="169" t="n">
        <x:v>0</x:v>
      </x:c>
      <x:c r="N43" s="169" t="n">
        <x:v>17</x:v>
      </x:c>
      <x:c r="O43" s="269" t="n">
        <x:v>0.38461538461538464</x:v>
      </x:c>
      <x:c r="P43" s="269" t="n">
        <x:v>1</x:v>
      </x:c>
      <x:c r="Q43" s="269" t="n">
        <x:v>0.64</x:v>
      </x:c>
      <x:c r="R43" s="269" t="n">
        <x:v>0.057692307692307696</x:v>
      </x:c>
    </x:row>
    <x:row r="44">
      <x:c r="A44" s="167" t="str">
        <x:v>Diffusion</x:v>
      </x:c>
      <x:c r="B44" s="167" t="str">
        <x:v>empirical</x:v>
      </x:c>
      <x:c r="C44" s="167" t="str">
        <x:v>density</x:v>
      </x:c>
      <x:c r="D44" s="167" t="str">
        <x:v>m1</x:v>
      </x:c>
      <x:c r="E44" s="167" t="str">
        <x:v>S=4D</x:v>
      </x:c>
      <x:c r="F44" s="167" t="str">
        <x:v>pmp_error</x:v>
      </x:c>
      <x:c r="G44" s="167" t="str">
        <x:v>ESS-filtered raw NPE-MCMC central 90% interval [q5, q95]</x:v>
      </x:c>
      <x:c r="H44" s="168" t="n">
        <x:v>-0.0009498249689278</x:v>
      </x:c>
      <x:c r="I44" s="168" t="n">
        <x:v>0.0009317388356325</x:v>
      </x:c>
      <x:c r="J44" s="169" t="n">
        <x:v>13</x:v>
      </x:c>
      <x:c r="K44" s="169" t="n">
        <x:v>4</x:v>
      </x:c>
      <x:c r="L44" s="169" t="n">
        <x:v>0</x:v>
      </x:c>
      <x:c r="M44" s="169" t="n">
        <x:v>0</x:v>
      </x:c>
      <x:c r="N44" s="169" t="n">
        <x:v>17</x:v>
      </x:c>
      <x:c r="O44" s="219" t="n">
        <x:v>0</x:v>
      </x:c>
      <x:c r="P44" s="269" t="n">
        <x:v>1</x:v>
      </x:c>
      <x:c r="Q44" s="219" t="n">
        <x:v>0.8666666666666667</x:v>
      </x:c>
      <x:c r="R44" s="269" t="n">
        <x:v>0</x:v>
      </x:c>
    </x:row>
    <x:row r="45">
      <x:c r="A45" s="167" t="str">
        <x:v>Diffusion</x:v>
      </x:c>
      <x:c r="B45" s="167" t="str">
        <x:v>empirical</x:v>
      </x:c>
      <x:c r="C45" s="167" t="str">
        <x:v>mmd</x:v>
      </x:c>
      <x:c r="D45" s="167" t="str">
        <x:v>m1</x:v>
      </x:c>
      <x:c r="E45" s="167" t="str">
        <x:v>S=4D</x:v>
      </x:c>
      <x:c r="F45" s="167" t="str">
        <x:v>pmp_error</x:v>
      </x:c>
      <x:c r="G45" s="167" t="str">
        <x:v>ESS-filtered raw NPE-MCMC central 90% interval [q5, q95]</x:v>
      </x:c>
      <x:c r="H45" s="168" t="n">
        <x:v>-0.0009498249689278</x:v>
      </x:c>
      <x:c r="I45" s="168" t="n">
        <x:v>0.0009317388356325</x:v>
      </x:c>
      <x:c r="J45" s="169" t="n">
        <x:v>2</x:v>
      </x:c>
      <x:c r="K45" s="169" t="n">
        <x:v>0</x:v>
      </x:c>
      <x:c r="L45" s="169" t="n">
        <x:v>11</x:v>
      </x:c>
      <x:c r="M45" s="169" t="n">
        <x:v>4</x:v>
      </x:c>
      <x:c r="N45" s="169" t="n">
        <x:v>17</x:v>
      </x:c>
      <x:c r="O45" s="269" t="n">
        <x:v>0.8461538461538461</x:v>
      </x:c>
      <x:c r="P45" s="219" t="n">
        <x:v>0</x:v>
      </x:c>
      <x:c r="Q45" s="269" t="n">
        <x:v>0.26666666666666666</x:v>
      </x:c>
      <x:c r="R45" s="219" t="n">
        <x:v>0.28846153846153844</x:v>
      </x:c>
    </x:row>
    <x:row r="46">
      <x:c r="A46" s="167" t="str">
        <x:v>Diffusion</x:v>
      </x:c>
      <x:c r="B46" s="167" t="str">
        <x:v>empirical</x:v>
      </x:c>
      <x:c r="C46" s="167" t="str">
        <x:v>l2</x:v>
      </x:c>
      <x:c r="D46" s="167" t="str">
        <x:v>m1</x:v>
      </x:c>
      <x:c r="E46" s="167" t="str">
        <x:v>S=6D</x:v>
      </x:c>
      <x:c r="F46" s="167" t="str">
        <x:v>pmp_error</x:v>
      </x:c>
      <x:c r="G46" s="167" t="str">
        <x:v>ESS-filtered raw NPE-MCMC central 90% interval [q5, q95]</x:v>
      </x:c>
      <x:c r="H46" s="168" t="n">
        <x:v>-0.0012564695158165</x:v>
      </x:c>
      <x:c r="I46" s="168" t="n">
        <x:v>0.0012622490653153</x:v>
      </x:c>
      <x:c r="J46" s="169" t="n">
        <x:v>13</x:v>
      </x:c>
      <x:c r="K46" s="169" t="n">
        <x:v>4</x:v>
      </x:c>
      <x:c r="L46" s="169" t="n">
        <x:v>0</x:v>
      </x:c>
      <x:c r="M46" s="169" t="n">
        <x:v>0</x:v>
      </x:c>
      <x:c r="N46" s="169" t="n">
        <x:v>17</x:v>
      </x:c>
      <x:c r="O46" s="219" t="n">
        <x:v>0</x:v>
      </x:c>
      <x:c r="P46" s="269" t="n">
        <x:v>1</x:v>
      </x:c>
      <x:c r="Q46" s="219" t="n">
        <x:v>0.8666666666666667</x:v>
      </x:c>
      <x:c r="R46" s="269" t="n">
        <x:v>0.2692307692307693</x:v>
      </x:c>
    </x:row>
    <x:row r="47">
      <x:c r="A47" s="167" t="str">
        <x:v>Diffusion</x:v>
      </x:c>
      <x:c r="B47" s="167" t="str">
        <x:v>empirical</x:v>
      </x:c>
      <x:c r="C47" s="167" t="str">
        <x:v>linf</x:v>
      </x:c>
      <x:c r="D47" s="167" t="str">
        <x:v>m1</x:v>
      </x:c>
      <x:c r="E47" s="167" t="str">
        <x:v>S=6D</x:v>
      </x:c>
      <x:c r="F47" s="167" t="str">
        <x:v>pmp_error</x:v>
      </x:c>
      <x:c r="G47" s="167" t="str">
        <x:v>ESS-filtered raw NPE-MCMC central 90% interval [q5, q95]</x:v>
      </x:c>
      <x:c r="H47" s="168" t="n">
        <x:v>-0.0012564695158165</x:v>
      </x:c>
      <x:c r="I47" s="168" t="n">
        <x:v>0.0012622490653153</x:v>
      </x:c>
      <x:c r="J47" s="169" t="n">
        <x:v>12</x:v>
      </x:c>
      <x:c r="K47" s="169" t="n">
        <x:v>4</x:v>
      </x:c>
      <x:c r="L47" s="169" t="n">
        <x:v>1</x:v>
      </x:c>
      <x:c r="M47" s="169" t="n">
        <x:v>0</x:v>
      </x:c>
      <x:c r="N47" s="169" t="n">
        <x:v>17</x:v>
      </x:c>
      <x:c r="O47" s="269" t="n">
        <x:v>0.07692307692307693</x:v>
      </x:c>
      <x:c r="P47" s="269" t="n">
        <x:v>1</x:v>
      </x:c>
      <x:c r="Q47" s="269" t="n">
        <x:v>0.8275862068965517</x:v>
      </x:c>
      <x:c r="R47" s="269" t="n">
        <x:v>0.11538461538461539</x:v>
      </x:c>
    </x:row>
    <x:row r="48">
      <x:c r="A48" s="167" t="str">
        <x:v>Diffusion</x:v>
      </x:c>
      <x:c r="B48" s="167" t="str">
        <x:v>empirical</x:v>
      </x:c>
      <x:c r="C48" s="167" t="str">
        <x:v>density</x:v>
      </x:c>
      <x:c r="D48" s="167" t="str">
        <x:v>m1</x:v>
      </x:c>
      <x:c r="E48" s="167" t="str">
        <x:v>S=6D</x:v>
      </x:c>
      <x:c r="F48" s="167" t="str">
        <x:v>pmp_error</x:v>
      </x:c>
      <x:c r="G48" s="167" t="str">
        <x:v>ESS-filtered raw NPE-MCMC central 90% interval [q5, q95]</x:v>
      </x:c>
      <x:c r="H48" s="168" t="n">
        <x:v>-0.0012564695158165</x:v>
      </x:c>
      <x:c r="I48" s="168" t="n">
        <x:v>0.0012622490653153</x:v>
      </x:c>
      <x:c r="J48" s="169" t="n">
        <x:v>13</x:v>
      </x:c>
      <x:c r="K48" s="169" t="n">
        <x:v>4</x:v>
      </x:c>
      <x:c r="L48" s="169" t="n">
        <x:v>0</x:v>
      </x:c>
      <x:c r="M48" s="169" t="n">
        <x:v>0</x:v>
      </x:c>
      <x:c r="N48" s="169" t="n">
        <x:v>17</x:v>
      </x:c>
      <x:c r="O48" s="219" t="n">
        <x:v>0</x:v>
      </x:c>
      <x:c r="P48" s="269" t="n">
        <x:v>1</x:v>
      </x:c>
      <x:c r="Q48" s="219" t="n">
        <x:v>0.8666666666666667</x:v>
      </x:c>
      <x:c r="R48" s="269" t="n">
        <x:v>0</x:v>
      </x:c>
    </x:row>
    <x:row r="49">
      <x:c r="A49" s="167" t="str">
        <x:v>Diffusion</x:v>
      </x:c>
      <x:c r="B49" s="167" t="str">
        <x:v>empirical</x:v>
      </x:c>
      <x:c r="C49" s="167" t="str">
        <x:v>mmd</x:v>
      </x:c>
      <x:c r="D49" s="167" t="str">
        <x:v>m1</x:v>
      </x:c>
      <x:c r="E49" s="167" t="str">
        <x:v>S=6D</x:v>
      </x:c>
      <x:c r="F49" s="167" t="str">
        <x:v>pmp_error</x:v>
      </x:c>
      <x:c r="G49" s="167" t="str">
        <x:v>ESS-filtered raw NPE-MCMC central 90% interval [q5, q95]</x:v>
      </x:c>
      <x:c r="H49" s="168" t="n">
        <x:v>-0.0012564695158165</x:v>
      </x:c>
      <x:c r="I49" s="168" t="n">
        <x:v>0.0012622490653153</x:v>
      </x:c>
      <x:c r="J49" s="169" t="n">
        <x:v>1</x:v>
      </x:c>
      <x:c r="K49" s="169" t="n">
        <x:v>0</x:v>
      </x:c>
      <x:c r="L49" s="169" t="n">
        <x:v>12</x:v>
      </x:c>
      <x:c r="M49" s="169" t="n">
        <x:v>4</x:v>
      </x:c>
      <x:c r="N49" s="169" t="n">
        <x:v>17</x:v>
      </x:c>
      <x:c r="O49" s="269" t="n">
        <x:v>0.9230769230769231</x:v>
      </x:c>
      <x:c r="P49" s="219" t="n">
        <x:v>0</x:v>
      </x:c>
      <x:c r="Q49" s="269" t="n">
        <x:v>0.14285714285714285</x:v>
      </x:c>
      <x:c r="R49" s="219" t="n">
        <x:v>0.326923076923077</x:v>
      </x:c>
    </x:row>
    <x:row r="50">
      <x:c r="A50" s="167" t="str">
        <x:v>Diffusion</x:v>
      </x:c>
      <x:c r="B50" s="167" t="str">
        <x:v>empirical</x:v>
      </x:c>
      <x:c r="C50" s="167" t="str">
        <x:v>l2</x:v>
      </x:c>
      <x:c r="D50" s="167" t="str">
        <x:v>m3</x:v>
      </x:c>
      <x:c r="E50" s="167" t="str">
        <x:v>S=D</x:v>
      </x:c>
      <x:c r="F50" s="167" t="str">
        <x:v>pmp_error</x:v>
      </x:c>
      <x:c r="G50" s="167" t="str">
        <x:v>ESS-filtered raw NPE-MCMC central 90% interval [q5, q95]</x:v>
      </x:c>
      <x:c r="H50" s="168" t="n">
        <x:v>-0.0013939881056684</x:v>
      </x:c>
      <x:c r="I50" s="168" t="n">
        <x:v>0.0013939881056685</x:v>
      </x:c>
      <x:c r="J50" s="169" t="n">
        <x:v>5</x:v>
      </x:c>
      <x:c r="K50" s="169" t="n">
        <x:v>1</x:v>
      </x:c>
      <x:c r="L50" s="169" t="n">
        <x:v>9</x:v>
      </x:c>
      <x:c r="M50" s="169" t="n">
        <x:v>2</x:v>
      </x:c>
      <x:c r="N50" s="169" t="n">
        <x:v>17</x:v>
      </x:c>
      <x:c r="O50" s="219" t="n">
        <x:v>0.6428571428571429</x:v>
      </x:c>
      <x:c r="P50" s="269" t="n">
        <x:v>0.3333333333333333</x:v>
      </x:c>
      <x:c r="Q50" s="219" t="n">
        <x:v>0.5</x:v>
      </x:c>
      <x:c r="R50" s="269" t="n">
        <x:v>0.4285714285714286</x:v>
      </x:c>
    </x:row>
    <x:row r="51">
      <x:c r="A51" s="167" t="str">
        <x:v>Diffusion</x:v>
      </x:c>
      <x:c r="B51" s="167" t="str">
        <x:v>empirical</x:v>
      </x:c>
      <x:c r="C51" s="167" t="str">
        <x:v>linf</x:v>
      </x:c>
      <x:c r="D51" s="167" t="str">
        <x:v>m3</x:v>
      </x:c>
      <x:c r="E51" s="167" t="str">
        <x:v>S=D</x:v>
      </x:c>
      <x:c r="F51" s="167" t="str">
        <x:v>pmp_error</x:v>
      </x:c>
      <x:c r="G51" s="167" t="str">
        <x:v>ESS-filtered raw NPE-MCMC central 90% interval [q5, q95]</x:v>
      </x:c>
      <x:c r="H51" s="168" t="n">
        <x:v>-0.0013939881056684</x:v>
      </x:c>
      <x:c r="I51" s="168" t="n">
        <x:v>0.0013939881056685</x:v>
      </x:c>
      <x:c r="J51" s="169" t="n">
        <x:v>4</x:v>
      </x:c>
      <x:c r="K51" s="169" t="n">
        <x:v>1</x:v>
      </x:c>
      <x:c r="L51" s="169" t="n">
        <x:v>10</x:v>
      </x:c>
      <x:c r="M51" s="169" t="n">
        <x:v>2</x:v>
      </x:c>
      <x:c r="N51" s="169" t="n">
        <x:v>17</x:v>
      </x:c>
      <x:c r="O51" s="269" t="n">
        <x:v>0.7142857142857143</x:v>
      </x:c>
      <x:c r="P51" s="269" t="n">
        <x:v>0.3333333333333333</x:v>
      </x:c>
      <x:c r="Q51" s="269" t="n">
        <x:v>0.42105263157894735</x:v>
      </x:c>
      <x:c r="R51" s="269" t="n">
        <x:v>0.4285714285714286</x:v>
      </x:c>
    </x:row>
    <x:row r="52">
      <x:c r="A52" s="167" t="str">
        <x:v>Diffusion</x:v>
      </x:c>
      <x:c r="B52" s="167" t="str">
        <x:v>empirical</x:v>
      </x:c>
      <x:c r="C52" s="167" t="str">
        <x:v>density</x:v>
      </x:c>
      <x:c r="D52" s="167" t="str">
        <x:v>m3</x:v>
      </x:c>
      <x:c r="E52" s="167" t="str">
        <x:v>S=D</x:v>
      </x:c>
      <x:c r="F52" s="167" t="str">
        <x:v>pmp_error</x:v>
      </x:c>
      <x:c r="G52" s="167" t="str">
        <x:v>ESS-filtered raw NPE-MCMC central 90% interval [q5, q95]</x:v>
      </x:c>
      <x:c r="H52" s="168" t="n">
        <x:v>-0.0013939881056684</x:v>
      </x:c>
      <x:c r="I52" s="168" t="n">
        <x:v>0.0013939881056685</x:v>
      </x:c>
      <x:c r="J52" s="169" t="n">
        <x:v>3</x:v>
      </x:c>
      <x:c r="K52" s="169" t="n">
        <x:v>1</x:v>
      </x:c>
      <x:c r="L52" s="169" t="n">
        <x:v>11</x:v>
      </x:c>
      <x:c r="M52" s="169" t="n">
        <x:v>2</x:v>
      </x:c>
      <x:c r="N52" s="169" t="n">
        <x:v>17</x:v>
      </x:c>
      <x:c r="O52" s="269" t="n">
        <x:v>0.7857142857142857</x:v>
      </x:c>
      <x:c r="P52" s="269" t="n">
        <x:v>0.3333333333333333</x:v>
      </x:c>
      <x:c r="Q52" s="269" t="n">
        <x:v>0.3333333333333333</x:v>
      </x:c>
      <x:c r="R52" s="219" t="n">
        <x:v>0.5</x:v>
      </x:c>
    </x:row>
    <x:row r="53">
      <x:c r="A53" s="167" t="str">
        <x:v>Diffusion</x:v>
      </x:c>
      <x:c r="B53" s="167" t="str">
        <x:v>empirical</x:v>
      </x:c>
      <x:c r="C53" s="167" t="str">
        <x:v>mmd</x:v>
      </x:c>
      <x:c r="D53" s="167" t="str">
        <x:v>m3</x:v>
      </x:c>
      <x:c r="E53" s="167" t="str">
        <x:v>S=D</x:v>
      </x:c>
      <x:c r="F53" s="167" t="str">
        <x:v>pmp_error</x:v>
      </x:c>
      <x:c r="G53" s="167" t="str">
        <x:v>ESS-filtered raw NPE-MCMC central 90% interval [q5, q95]</x:v>
      </x:c>
      <x:c r="H53" s="168" t="n">
        <x:v>-0.0013939881056684</x:v>
      </x:c>
      <x:c r="I53" s="168" t="n">
        <x:v>0.0013939881056685</x:v>
      </x:c>
      <x:c r="J53" s="169" t="n">
        <x:v>0</x:v>
      </x:c>
      <x:c r="K53" s="169" t="n">
        <x:v>0</x:v>
      </x:c>
      <x:c r="L53" s="169" t="n">
        <x:v>14</x:v>
      </x:c>
      <x:c r="M53" s="169" t="n">
        <x:v>3</x:v>
      </x:c>
      <x:c r="N53" s="169" t="n">
        <x:v>17</x:v>
      </x:c>
      <x:c r="O53" s="269" t="n">
        <x:v>1</x:v>
      </x:c>
      <x:c r="P53" s="219" t="n">
        <x:v>0</x:v>
      </x:c>
      <x:c r="Q53" s="269" t="n">
        <x:v>0</x:v>
      </x:c>
      <x:c r="R53" s="269" t="n">
        <x:v>0.380952380952381</x:v>
      </x:c>
    </x:row>
    <x:row r="54">
      <x:c r="A54" s="167" t="str">
        <x:v>Diffusion</x:v>
      </x:c>
      <x:c r="B54" s="167" t="str">
        <x:v>empirical</x:v>
      </x:c>
      <x:c r="C54" s="167" t="str">
        <x:v>l2</x:v>
      </x:c>
      <x:c r="D54" s="167" t="str">
        <x:v>m3</x:v>
      </x:c>
      <x:c r="E54" s="167" t="str">
        <x:v>S=2D</x:v>
      </x:c>
      <x:c r="F54" s="167" t="str">
        <x:v>pmp_error</x:v>
      </x:c>
      <x:c r="G54" s="167" t="str">
        <x:v>ESS-filtered raw NPE-MCMC central 90% interval [q5, q95]</x:v>
      </x:c>
      <x:c r="H54" s="168" t="n">
        <x:v>-0.0008305577012413</x:v>
      </x:c>
      <x:c r="I54" s="168" t="n">
        <x:v>0.0008305577012414</x:v>
      </x:c>
      <x:c r="J54" s="169" t="n">
        <x:v>6</x:v>
      </x:c>
      <x:c r="K54" s="169" t="n">
        <x:v>1</x:v>
      </x:c>
      <x:c r="L54" s="169" t="n">
        <x:v>8</x:v>
      </x:c>
      <x:c r="M54" s="169" t="n">
        <x:v>2</x:v>
      </x:c>
      <x:c r="N54" s="169" t="n">
        <x:v>17</x:v>
      </x:c>
      <x:c r="O54" s="219" t="n">
        <x:v>0.5714285714285714</x:v>
      </x:c>
      <x:c r="P54" s="269" t="n">
        <x:v>0.3333333333333333</x:v>
      </x:c>
      <x:c r="Q54" s="219" t="n">
        <x:v>0.5714285714285714</x:v>
      </x:c>
      <x:c r="R54" s="269" t="n">
        <x:v>0.45238095238095244</x:v>
      </x:c>
    </x:row>
    <x:row r="55">
      <x:c r="A55" s="167" t="str">
        <x:v>Diffusion</x:v>
      </x:c>
      <x:c r="B55" s="167" t="str">
        <x:v>empirical</x:v>
      </x:c>
      <x:c r="C55" s="167" t="str">
        <x:v>linf</x:v>
      </x:c>
      <x:c r="D55" s="167" t="str">
        <x:v>m3</x:v>
      </x:c>
      <x:c r="E55" s="167" t="str">
        <x:v>S=2D</x:v>
      </x:c>
      <x:c r="F55" s="167" t="str">
        <x:v>pmp_error</x:v>
      </x:c>
      <x:c r="G55" s="167" t="str">
        <x:v>ESS-filtered raw NPE-MCMC central 90% interval [q5, q95]</x:v>
      </x:c>
      <x:c r="H55" s="168" t="n">
        <x:v>-0.0008305577012413</x:v>
      </x:c>
      <x:c r="I55" s="168" t="n">
        <x:v>0.0008305577012414</x:v>
      </x:c>
      <x:c r="J55" s="169" t="n">
        <x:v>1</x:v>
      </x:c>
      <x:c r="K55" s="169" t="n">
        <x:v>1</x:v>
      </x:c>
      <x:c r="L55" s="169" t="n">
        <x:v>13</x:v>
      </x:c>
      <x:c r="M55" s="169" t="n">
        <x:v>2</x:v>
      </x:c>
      <x:c r="N55" s="169" t="n">
        <x:v>17</x:v>
      </x:c>
      <x:c r="O55" s="269" t="n">
        <x:v>0.9285714285714286</x:v>
      </x:c>
      <x:c r="P55" s="269" t="n">
        <x:v>0.3333333333333333</x:v>
      </x:c>
      <x:c r="Q55" s="269" t="n">
        <x:v>0.125</x:v>
      </x:c>
      <x:c r="R55" s="219" t="n">
        <x:v>0.6428571428571429</x:v>
      </x:c>
    </x:row>
    <x:row r="56">
      <x:c r="A56" s="167" t="str">
        <x:v>Diffusion</x:v>
      </x:c>
      <x:c r="B56" s="167" t="str">
        <x:v>empirical</x:v>
      </x:c>
      <x:c r="C56" s="167" t="str">
        <x:v>density</x:v>
      </x:c>
      <x:c r="D56" s="167" t="str">
        <x:v>m3</x:v>
      </x:c>
      <x:c r="E56" s="167" t="str">
        <x:v>S=2D</x:v>
      </x:c>
      <x:c r="F56" s="167" t="str">
        <x:v>pmp_error</x:v>
      </x:c>
      <x:c r="G56" s="167" t="str">
        <x:v>ESS-filtered raw NPE-MCMC central 90% interval [q5, q95]</x:v>
      </x:c>
      <x:c r="H56" s="168" t="n">
        <x:v>-0.0008305577012413</x:v>
      </x:c>
      <x:c r="I56" s="168" t="n">
        <x:v>0.0008305577012414</x:v>
      </x:c>
      <x:c r="J56" s="169" t="n">
        <x:v>2</x:v>
      </x:c>
      <x:c r="K56" s="169" t="n">
        <x:v>1</x:v>
      </x:c>
      <x:c r="L56" s="169" t="n">
        <x:v>12</x:v>
      </x:c>
      <x:c r="M56" s="169" t="n">
        <x:v>2</x:v>
      </x:c>
      <x:c r="N56" s="169" t="n">
        <x:v>17</x:v>
      </x:c>
      <x:c r="O56" s="269" t="n">
        <x:v>0.8571428571428571</x:v>
      </x:c>
      <x:c r="P56" s="269" t="n">
        <x:v>0.3333333333333333</x:v>
      </x:c>
      <x:c r="Q56" s="269" t="n">
        <x:v>0.23529411764705882</x:v>
      </x:c>
      <x:c r="R56" s="269" t="n">
        <x:v>0.11904761904761905</x:v>
      </x:c>
    </x:row>
    <x:row r="57">
      <x:c r="A57" s="167" t="str">
        <x:v>Diffusion</x:v>
      </x:c>
      <x:c r="B57" s="167" t="str">
        <x:v>empirical</x:v>
      </x:c>
      <x:c r="C57" s="167" t="str">
        <x:v>mmd</x:v>
      </x:c>
      <x:c r="D57" s="167" t="str">
        <x:v>m3</x:v>
      </x:c>
      <x:c r="E57" s="167" t="str">
        <x:v>S=2D</x:v>
      </x:c>
      <x:c r="F57" s="167" t="str">
        <x:v>pmp_error</x:v>
      </x:c>
      <x:c r="G57" s="167" t="str">
        <x:v>ESS-filtered raw NPE-MCMC central 90% interval [q5, q95]</x:v>
      </x:c>
      <x:c r="H57" s="168" t="n">
        <x:v>-0.0008305577012413</x:v>
      </x:c>
      <x:c r="I57" s="168" t="n">
        <x:v>0.0008305577012414</x:v>
      </x:c>
      <x:c r="J57" s="169" t="n">
        <x:v>0</x:v>
      </x:c>
      <x:c r="K57" s="169" t="n">
        <x:v>0</x:v>
      </x:c>
      <x:c r="L57" s="169" t="n">
        <x:v>14</x:v>
      </x:c>
      <x:c r="M57" s="169" t="n">
        <x:v>3</x:v>
      </x:c>
      <x:c r="N57" s="169" t="n">
        <x:v>17</x:v>
      </x:c>
      <x:c r="O57" s="269" t="n">
        <x:v>1</x:v>
      </x:c>
      <x:c r="P57" s="219" t="n">
        <x:v>0</x:v>
      </x:c>
      <x:c r="Q57" s="269" t="n">
        <x:v>0</x:v>
      </x:c>
      <x:c r="R57" s="269" t="n">
        <x:v>0.4761904761904763</x:v>
      </x:c>
    </x:row>
    <x:row r="58">
      <x:c r="A58" s="167" t="str">
        <x:v>Diffusion</x:v>
      </x:c>
      <x:c r="B58" s="167" t="str">
        <x:v>empirical</x:v>
      </x:c>
      <x:c r="C58" s="167" t="str">
        <x:v>l2</x:v>
      </x:c>
      <x:c r="D58" s="167" t="str">
        <x:v>m3</x:v>
      </x:c>
      <x:c r="E58" s="167" t="str">
        <x:v>S=4D</x:v>
      </x:c>
      <x:c r="F58" s="167" t="str">
        <x:v>pmp_error</x:v>
      </x:c>
      <x:c r="G58" s="167" t="str">
        <x:v>ESS-filtered raw NPE-MCMC central 90% interval [q5, q95]</x:v>
      </x:c>
      <x:c r="H58" s="168" t="n">
        <x:v>-0.0002998693073956</x:v>
      </x:c>
      <x:c r="I58" s="168" t="n">
        <x:v>0.0002998693073957</x:v>
      </x:c>
      <x:c r="J58" s="169" t="n">
        <x:v>5</x:v>
      </x:c>
      <x:c r="K58" s="169" t="n">
        <x:v>2</x:v>
      </x:c>
      <x:c r="L58" s="169" t="n">
        <x:v>9</x:v>
      </x:c>
      <x:c r="M58" s="169" t="n">
        <x:v>1</x:v>
      </x:c>
      <x:c r="N58" s="169" t="n">
        <x:v>17</x:v>
      </x:c>
      <x:c r="O58" s="269" t="n">
        <x:v>0.6428571428571429</x:v>
      </x:c>
      <x:c r="P58" s="269" t="n">
        <x:v>0.6666666666666666</x:v>
      </x:c>
      <x:c r="Q58" s="269" t="n">
        <x:v>0.47619047619047616</x:v>
      </x:c>
      <x:c r="R58" s="269" t="n">
        <x:v>0.2857142857142857</x:v>
      </x:c>
    </x:row>
    <x:row r="59">
      <x:c r="A59" s="167" t="str">
        <x:v>Diffusion</x:v>
      </x:c>
      <x:c r="B59" s="167" t="str">
        <x:v>empirical</x:v>
      </x:c>
      <x:c r="C59" s="167" t="str">
        <x:v>linf</x:v>
      </x:c>
      <x:c r="D59" s="167" t="str">
        <x:v>m3</x:v>
      </x:c>
      <x:c r="E59" s="167" t="str">
        <x:v>S=4D</x:v>
      </x:c>
      <x:c r="F59" s="167" t="str">
        <x:v>pmp_error</x:v>
      </x:c>
      <x:c r="G59" s="167" t="str">
        <x:v>ESS-filtered raw NPE-MCMC central 90% interval [q5, q95]</x:v>
      </x:c>
      <x:c r="H59" s="168" t="n">
        <x:v>-0.0002998693073956</x:v>
      </x:c>
      <x:c r="I59" s="168" t="n">
        <x:v>0.0002998693073957</x:v>
      </x:c>
      <x:c r="J59" s="169" t="n">
        <x:v>3</x:v>
      </x:c>
      <x:c r="K59" s="169" t="n">
        <x:v>1</x:v>
      </x:c>
      <x:c r="L59" s="169" t="n">
        <x:v>11</x:v>
      </x:c>
      <x:c r="M59" s="169" t="n">
        <x:v>2</x:v>
      </x:c>
      <x:c r="N59" s="169" t="n">
        <x:v>17</x:v>
      </x:c>
      <x:c r="O59" s="269" t="n">
        <x:v>0.7857142857142857</x:v>
      </x:c>
      <x:c r="P59" s="269" t="n">
        <x:v>0.3333333333333333</x:v>
      </x:c>
      <x:c r="Q59" s="269" t="n">
        <x:v>0.3333333333333333</x:v>
      </x:c>
      <x:c r="R59" s="219" t="n">
        <x:v>0.4285714285714286</x:v>
      </x:c>
    </x:row>
    <x:row r="60">
      <x:c r="A60" s="167" t="str">
        <x:v>Diffusion</x:v>
      </x:c>
      <x:c r="B60" s="167" t="str">
        <x:v>empirical</x:v>
      </x:c>
      <x:c r="C60" s="167" t="str">
        <x:v>density</x:v>
      </x:c>
      <x:c r="D60" s="167" t="str">
        <x:v>m3</x:v>
      </x:c>
      <x:c r="E60" s="167" t="str">
        <x:v>S=4D</x:v>
      </x:c>
      <x:c r="F60" s="167" t="str">
        <x:v>pmp_error</x:v>
      </x:c>
      <x:c r="G60" s="167" t="str">
        <x:v>ESS-filtered raw NPE-MCMC central 90% interval [q5, q95]</x:v>
      </x:c>
      <x:c r="H60" s="168" t="n">
        <x:v>-0.0002998693073956</x:v>
      </x:c>
      <x:c r="I60" s="168" t="n">
        <x:v>0.0002998693073957</x:v>
      </x:c>
      <x:c r="J60" s="169" t="n">
        <x:v>7</x:v>
      </x:c>
      <x:c r="K60" s="169" t="n">
        <x:v>3</x:v>
      </x:c>
      <x:c r="L60" s="169" t="n">
        <x:v>7</x:v>
      </x:c>
      <x:c r="M60" s="169" t="n">
        <x:v>0</x:v>
      </x:c>
      <x:c r="N60" s="169" t="n">
        <x:v>17</x:v>
      </x:c>
      <x:c r="O60" s="219" t="n">
        <x:v>0.5</x:v>
      </x:c>
      <x:c r="P60" s="269" t="n">
        <x:v>1</x:v>
      </x:c>
      <x:c r="Q60" s="219" t="n">
        <x:v>0.5833333333333334</x:v>
      </x:c>
      <x:c r="R60" s="269" t="n">
        <x:v>0.07142857142857142</x:v>
      </x:c>
    </x:row>
    <x:row r="61">
      <x:c r="A61" s="167" t="str">
        <x:v>Diffusion</x:v>
      </x:c>
      <x:c r="B61" s="167" t="str">
        <x:v>empirical</x:v>
      </x:c>
      <x:c r="C61" s="167" t="str">
        <x:v>mmd</x:v>
      </x:c>
      <x:c r="D61" s="167" t="str">
        <x:v>m3</x:v>
      </x:c>
      <x:c r="E61" s="167" t="str">
        <x:v>S=4D</x:v>
      </x:c>
      <x:c r="F61" s="167" t="str">
        <x:v>pmp_error</x:v>
      </x:c>
      <x:c r="G61" s="167" t="str">
        <x:v>ESS-filtered raw NPE-MCMC central 90% interval [q5, q95]</x:v>
      </x:c>
      <x:c r="H61" s="168" t="n">
        <x:v>-0.0002998693073956</x:v>
      </x:c>
      <x:c r="I61" s="168" t="n">
        <x:v>0.0002998693073957</x:v>
      </x:c>
      <x:c r="J61" s="169" t="n">
        <x:v>0</x:v>
      </x:c>
      <x:c r="K61" s="169" t="n">
        <x:v>0</x:v>
      </x:c>
      <x:c r="L61" s="169" t="n">
        <x:v>14</x:v>
      </x:c>
      <x:c r="M61" s="169" t="n">
        <x:v>3</x:v>
      </x:c>
      <x:c r="N61" s="169" t="n">
        <x:v>17</x:v>
      </x:c>
      <x:c r="O61" s="269" t="n">
        <x:v>1</x:v>
      </x:c>
      <x:c r="P61" s="219" t="n">
        <x:v>0</x:v>
      </x:c>
      <x:c r="Q61" s="269" t="n">
        <x:v>0</x:v>
      </x:c>
      <x:c r="R61" s="269" t="n">
        <x:v>0.40476190476190477</x:v>
      </x:c>
    </x:row>
    <x:row r="62">
      <x:c r="A62" s="167" t="str">
        <x:v>Diffusion</x:v>
      </x:c>
      <x:c r="B62" s="167" t="str">
        <x:v>empirical</x:v>
      </x:c>
      <x:c r="C62" s="167" t="str">
        <x:v>l2</x:v>
      </x:c>
      <x:c r="D62" s="167" t="str">
        <x:v>m3</x:v>
      </x:c>
      <x:c r="E62" s="167" t="str">
        <x:v>S=6D</x:v>
      </x:c>
      <x:c r="F62" s="167" t="str">
        <x:v>pmp_error</x:v>
      </x:c>
      <x:c r="G62" s="167" t="str">
        <x:v>ESS-filtered raw NPE-MCMC central 90% interval [q5, q95]</x:v>
      </x:c>
      <x:c r="H62" s="168" t="n">
        <x:v>-0.0003168301065271</x:v>
      </x:c>
      <x:c r="I62" s="168" t="n">
        <x:v>0.0002626847586337</x:v>
      </x:c>
      <x:c r="J62" s="169" t="n">
        <x:v>5</x:v>
      </x:c>
      <x:c r="K62" s="169" t="n">
        <x:v>3</x:v>
      </x:c>
      <x:c r="L62" s="169" t="n">
        <x:v>8</x:v>
      </x:c>
      <x:c r="M62" s="169" t="n">
        <x:v>1</x:v>
      </x:c>
      <x:c r="N62" s="169" t="n">
        <x:v>17</x:v>
      </x:c>
      <x:c r="O62" s="269" t="n">
        <x:v>0.6153846153846154</x:v>
      </x:c>
      <x:c r="P62" s="269" t="n">
        <x:v>0.75</x:v>
      </x:c>
      <x:c r="Q62" s="269" t="n">
        <x:v>0.47619047619047616</x:v>
      </x:c>
      <x:c r="R62" s="219" t="n">
        <x:v>0.23076923076923078</x:v>
      </x:c>
    </x:row>
    <x:row r="63">
      <x:c r="A63" s="167" t="str">
        <x:v>Diffusion</x:v>
      </x:c>
      <x:c r="B63" s="167" t="str">
        <x:v>empirical</x:v>
      </x:c>
      <x:c r="C63" s="167" t="str">
        <x:v>linf</x:v>
      </x:c>
      <x:c r="D63" s="167" t="str">
        <x:v>m3</x:v>
      </x:c>
      <x:c r="E63" s="167" t="str">
        <x:v>S=6D</x:v>
      </x:c>
      <x:c r="F63" s="167" t="str">
        <x:v>pmp_error</x:v>
      </x:c>
      <x:c r="G63" s="167" t="str">
        <x:v>ESS-filtered raw NPE-MCMC central 90% interval [q5, q95]</x:v>
      </x:c>
      <x:c r="H63" s="168" t="n">
        <x:v>-0.0003168301065271</x:v>
      </x:c>
      <x:c r="I63" s="168" t="n">
        <x:v>0.0002626847586337</x:v>
      </x:c>
      <x:c r="J63" s="169" t="n">
        <x:v>4</x:v>
      </x:c>
      <x:c r="K63" s="169" t="n">
        <x:v>4</x:v>
      </x:c>
      <x:c r="L63" s="169" t="n">
        <x:v>9</x:v>
      </x:c>
      <x:c r="M63" s="169" t="n">
        <x:v>0</x:v>
      </x:c>
      <x:c r="N63" s="169" t="n">
        <x:v>17</x:v>
      </x:c>
      <x:c r="O63" s="269" t="n">
        <x:v>0.6923076923076923</x:v>
      </x:c>
      <x:c r="P63" s="269" t="n">
        <x:v>1</x:v>
      </x:c>
      <x:c r="Q63" s="269" t="n">
        <x:v>0.38095238095238093</x:v>
      </x:c>
      <x:c r="R63" s="269" t="n">
        <x:v>0.07692307692307693</x:v>
      </x:c>
    </x:row>
    <x:row r="64">
      <x:c r="A64" s="167" t="str">
        <x:v>Diffusion</x:v>
      </x:c>
      <x:c r="B64" s="167" t="str">
        <x:v>empirical</x:v>
      </x:c>
      <x:c r="C64" s="167" t="str">
        <x:v>density</x:v>
      </x:c>
      <x:c r="D64" s="167" t="str">
        <x:v>m3</x:v>
      </x:c>
      <x:c r="E64" s="167" t="str">
        <x:v>S=6D</x:v>
      </x:c>
      <x:c r="F64" s="167" t="str">
        <x:v>pmp_error</x:v>
      </x:c>
      <x:c r="G64" s="167" t="str">
        <x:v>ESS-filtered raw NPE-MCMC central 90% interval [q5, q95]</x:v>
      </x:c>
      <x:c r="H64" s="168" t="n">
        <x:v>-0.0003168301065271</x:v>
      </x:c>
      <x:c r="I64" s="168" t="n">
        <x:v>0.0002626847586337</x:v>
      </x:c>
      <x:c r="J64" s="169" t="n">
        <x:v>8</x:v>
      </x:c>
      <x:c r="K64" s="169" t="n">
        <x:v>4</x:v>
      </x:c>
      <x:c r="L64" s="169" t="n">
        <x:v>5</x:v>
      </x:c>
      <x:c r="M64" s="169" t="n">
        <x:v>0</x:v>
      </x:c>
      <x:c r="N64" s="169" t="n">
        <x:v>17</x:v>
      </x:c>
      <x:c r="O64" s="219" t="n">
        <x:v>0.38461538461538464</x:v>
      </x:c>
      <x:c r="P64" s="269" t="n">
        <x:v>1</x:v>
      </x:c>
      <x:c r="Q64" s="219" t="n">
        <x:v>0.64</x:v>
      </x:c>
      <x:c r="R64" s="269" t="n">
        <x:v>0.019230769230769232</x:v>
      </x:c>
    </x:row>
    <x:row r="65">
      <x:c r="A65" s="167" t="str">
        <x:v>Diffusion</x:v>
      </x:c>
      <x:c r="B65" s="167" t="str">
        <x:v>empirical</x:v>
      </x:c>
      <x:c r="C65" s="167" t="str">
        <x:v>mmd</x:v>
      </x:c>
      <x:c r="D65" s="167" t="str">
        <x:v>m3</x:v>
      </x:c>
      <x:c r="E65" s="167" t="str">
        <x:v>S=6D</x:v>
      </x:c>
      <x:c r="F65" s="167" t="str">
        <x:v>pmp_error</x:v>
      </x:c>
      <x:c r="G65" s="167" t="str">
        <x:v>ESS-filtered raw NPE-MCMC central 90% interval [q5, q95]</x:v>
      </x:c>
      <x:c r="H65" s="168" t="n">
        <x:v>-0.0003168301065271</x:v>
      </x:c>
      <x:c r="I65" s="168" t="n">
        <x:v>0.0002626847586337</x:v>
      </x:c>
      <x:c r="J65" s="169" t="n">
        <x:v>3</x:v>
      </x:c>
      <x:c r="K65" s="169" t="n">
        <x:v>2</x:v>
      </x:c>
      <x:c r="L65" s="169" t="n">
        <x:v>10</x:v>
      </x:c>
      <x:c r="M65" s="169" t="n">
        <x:v>2</x:v>
      </x:c>
      <x:c r="N65" s="169" t="n">
        <x:v>17</x:v>
      </x:c>
      <x:c r="O65" s="269" t="n">
        <x:v>0.7692307692307693</x:v>
      </x:c>
      <x:c r="P65" s="219" t="n">
        <x:v>0.5</x:v>
      </x:c>
      <x:c r="Q65" s="269" t="n">
        <x:v>0.3333333333333333</x:v>
      </x:c>
      <x:c r="R65" s="219" t="n">
        <x:v>0.23076923076923078</x:v>
      </x:c>
    </x:row>
    <x:row r="66">
      <x:c r="A66" s="167" t="str">
        <x:v>Diffusion</x:v>
      </x:c>
      <x:c r="B66" s="167" t="str">
        <x:v>empirical</x:v>
      </x:c>
      <x:c r="C66" s="167" t="str">
        <x:v>l2</x:v>
      </x:c>
      <x:c r="D66" s="167" t="str">
        <x:v>m1</x:v>
      </x:c>
      <x:c r="E66" s="167" t="str">
        <x:v>S=D</x:v>
      </x:c>
      <x:c r="F66" s="167" t="str">
        <x:v>posterior_mmd</x:v>
      </x:c>
      <x:c r="G66" s="167" t="str">
        <x:v>ESS-filtered raw NPE-MCMC interval [0, q95]</x:v>
      </x:c>
      <x:c r="H66" s="168" t="n">
        <x:v>0</x:v>
      </x:c>
      <x:c r="I66" s="168" t="n">
        <x:v>0.2568952053671909</x:v>
      </x:c>
      <x:c r="J66" s="169" t="n">
        <x:v>14</x:v>
      </x:c>
      <x:c r="K66" s="169" t="n">
        <x:v>1</x:v>
      </x:c>
      <x:c r="L66" s="169" t="n">
        <x:v>2</x:v>
      </x:c>
      <x:c r="M66" s="169" t="n">
        <x:v>0</x:v>
      </x:c>
      <x:c r="N66" s="169" t="n">
        <x:v>17</x:v>
      </x:c>
      <x:c r="O66" s="269" t="n">
        <x:v>0.125</x:v>
      </x:c>
      <x:c r="P66" s="269" t="n">
        <x:v>1</x:v>
      </x:c>
      <x:c r="Q66" s="269" t="n">
        <x:v>0.9032258064516129</x:v>
      </x:c>
      <x:c r="R66" s="269" t="n">
        <x:v>0.5</x:v>
      </x:c>
    </x:row>
    <x:row r="67">
      <x:c r="A67" s="167" t="str">
        <x:v>Diffusion</x:v>
      </x:c>
      <x:c r="B67" s="167" t="str">
        <x:v>empirical</x:v>
      </x:c>
      <x:c r="C67" s="167" t="str">
        <x:v>linf</x:v>
      </x:c>
      <x:c r="D67" s="167" t="str">
        <x:v>m1</x:v>
      </x:c>
      <x:c r="E67" s="167" t="str">
        <x:v>S=D</x:v>
      </x:c>
      <x:c r="F67" s="167" t="str">
        <x:v>posterior_mmd</x:v>
      </x:c>
      <x:c r="G67" s="167" t="str">
        <x:v>ESS-filtered raw NPE-MCMC interval [0, q95]</x:v>
      </x:c>
      <x:c r="H67" s="168" t="n">
        <x:v>0</x:v>
      </x:c>
      <x:c r="I67" s="168" t="n">
        <x:v>0.2568952053671909</x:v>
      </x:c>
      <x:c r="J67" s="169" t="n">
        <x:v>16</x:v>
      </x:c>
      <x:c r="K67" s="169" t="n">
        <x:v>1</x:v>
      </x:c>
      <x:c r="L67" s="169" t="n">
        <x:v>0</x:v>
      </x:c>
      <x:c r="M67" s="169" t="n">
        <x:v>0</x:v>
      </x:c>
      <x:c r="N67" s="169" t="n">
        <x:v>17</x:v>
      </x:c>
      <x:c r="O67" s="219" t="n">
        <x:v>0</x:v>
      </x:c>
      <x:c r="P67" s="269" t="n">
        <x:v>1</x:v>
      </x:c>
      <x:c r="Q67" s="219" t="n">
        <x:v>0.9696969696969697</x:v>
      </x:c>
      <x:c r="R67" s="269" t="n">
        <x:v>0.4375</x:v>
      </x:c>
    </x:row>
    <x:row r="68">
      <x:c r="A68" s="167" t="str">
        <x:v>Diffusion</x:v>
      </x:c>
      <x:c r="B68" s="167" t="str">
        <x:v>empirical</x:v>
      </x:c>
      <x:c r="C68" s="167" t="str">
        <x:v>density</x:v>
      </x:c>
      <x:c r="D68" s="167" t="str">
        <x:v>m1</x:v>
      </x:c>
      <x:c r="E68" s="167" t="str">
        <x:v>S=D</x:v>
      </x:c>
      <x:c r="F68" s="167" t="str">
        <x:v>posterior_mmd</x:v>
      </x:c>
      <x:c r="G68" s="167" t="str">
        <x:v>ESS-filtered raw NPE-MCMC interval [0, q95]</x:v>
      </x:c>
      <x:c r="H68" s="168" t="n">
        <x:v>0</x:v>
      </x:c>
      <x:c r="I68" s="168" t="n">
        <x:v>0.2568952053671909</x:v>
      </x:c>
      <x:c r="J68" s="169" t="n">
        <x:v>10</x:v>
      </x:c>
      <x:c r="K68" s="169" t="n">
        <x:v>0</x:v>
      </x:c>
      <x:c r="L68" s="169" t="n">
        <x:v>6</x:v>
      </x:c>
      <x:c r="M68" s="169" t="n">
        <x:v>1</x:v>
      </x:c>
      <x:c r="N68" s="169" t="n">
        <x:v>17</x:v>
      </x:c>
      <x:c r="O68" s="269" t="n">
        <x:v>0.375</x:v>
      </x:c>
      <x:c r="P68" s="219" t="n">
        <x:v>0</x:v>
      </x:c>
      <x:c r="Q68" s="269" t="n">
        <x:v>0.7692307692307693</x:v>
      </x:c>
      <x:c r="R68" s="219" t="n">
        <x:v>0.8125</x:v>
      </x:c>
    </x:row>
    <x:row r="69">
      <x:c r="A69" s="167" t="str">
        <x:v>Diffusion</x:v>
      </x:c>
      <x:c r="B69" s="167" t="str">
        <x:v>empirical</x:v>
      </x:c>
      <x:c r="C69" s="167" t="str">
        <x:v>mmd</x:v>
      </x:c>
      <x:c r="D69" s="167" t="str">
        <x:v>m1</x:v>
      </x:c>
      <x:c r="E69" s="167" t="str">
        <x:v>S=D</x:v>
      </x:c>
      <x:c r="F69" s="167" t="str">
        <x:v>posterior_mmd</x:v>
      </x:c>
      <x:c r="G69" s="167" t="str">
        <x:v>ESS-filtered raw NPE-MCMC interval [0, q95]</x:v>
      </x:c>
      <x:c r="H69" s="168" t="n">
        <x:v>0</x:v>
      </x:c>
      <x:c r="I69" s="168" t="n">
        <x:v>0.2568952053671909</x:v>
      </x:c>
      <x:c r="J69" s="169" t="n">
        <x:v>3</x:v>
      </x:c>
      <x:c r="K69" s="169" t="n">
        <x:v>0</x:v>
      </x:c>
      <x:c r="L69" s="169" t="n">
        <x:v>13</x:v>
      </x:c>
      <x:c r="M69" s="169" t="n">
        <x:v>1</x:v>
      </x:c>
      <x:c r="N69" s="169" t="n">
        <x:v>17</x:v>
      </x:c>
      <x:c r="O69" s="269" t="n">
        <x:v>0.8125</x:v>
      </x:c>
      <x:c r="P69" s="219" t="n">
        <x:v>0</x:v>
      </x:c>
      <x:c r="Q69" s="269" t="n">
        <x:v>0.3157894736842105</x:v>
      </x:c>
      <x:c r="R69" s="269" t="n">
        <x:v>0.25</x:v>
      </x:c>
    </x:row>
    <x:row r="70">
      <x:c r="A70" s="167" t="str">
        <x:v>Diffusion</x:v>
      </x:c>
      <x:c r="B70" s="167" t="str">
        <x:v>empirical</x:v>
      </x:c>
      <x:c r="C70" s="167" t="str">
        <x:v>l2</x:v>
      </x:c>
      <x:c r="D70" s="167" t="str">
        <x:v>m1</x:v>
      </x:c>
      <x:c r="E70" s="167" t="str">
        <x:v>S=2D</x:v>
      </x:c>
      <x:c r="F70" s="167" t="str">
        <x:v>posterior_mmd</x:v>
      </x:c>
      <x:c r="G70" s="167" t="str">
        <x:v>ESS-filtered raw NPE-MCMC interval [0, q95]</x:v>
      </x:c>
      <x:c r="H70" s="168" t="n">
        <x:v>0</x:v>
      </x:c>
      <x:c r="I70" s="168" t="n">
        <x:v>0.2601570480507253</x:v>
      </x:c>
      <x:c r="J70" s="169" t="n">
        <x:v>5</x:v>
      </x:c>
      <x:c r="K70" s="169" t="n">
        <x:v>0</x:v>
      </x:c>
      <x:c r="L70" s="169" t="n">
        <x:v>9</x:v>
      </x:c>
      <x:c r="M70" s="169" t="n">
        <x:v>3</x:v>
      </x:c>
      <x:c r="N70" s="169" t="n">
        <x:v>17</x:v>
      </x:c>
      <x:c r="O70" s="269" t="n">
        <x:v>0.6428571428571429</x:v>
      </x:c>
      <x:c r="P70" s="219" t="n">
        <x:v>0</x:v>
      </x:c>
      <x:c r="Q70" s="269" t="n">
        <x:v>0.5263157894736842</x:v>
      </x:c>
      <x:c r="R70" s="269" t="n">
        <x:v>0.6666666666666667</x:v>
      </x:c>
    </x:row>
    <x:row r="71">
      <x:c r="A71" s="167" t="str">
        <x:v>Diffusion</x:v>
      </x:c>
      <x:c r="B71" s="167" t="str">
        <x:v>empirical</x:v>
      </x:c>
      <x:c r="C71" s="167" t="str">
        <x:v>linf</x:v>
      </x:c>
      <x:c r="D71" s="167" t="str">
        <x:v>m1</x:v>
      </x:c>
      <x:c r="E71" s="167" t="str">
        <x:v>S=2D</x:v>
      </x:c>
      <x:c r="F71" s="167" t="str">
        <x:v>posterior_mmd</x:v>
      </x:c>
      <x:c r="G71" s="167" t="str">
        <x:v>ESS-filtered raw NPE-MCMC interval [0, q95]</x:v>
      </x:c>
      <x:c r="H71" s="168" t="n">
        <x:v>0</x:v>
      </x:c>
      <x:c r="I71" s="168" t="n">
        <x:v>0.2601570480507253</x:v>
      </x:c>
      <x:c r="J71" s="169" t="n">
        <x:v>12</x:v>
      </x:c>
      <x:c r="K71" s="169" t="n">
        <x:v>2</x:v>
      </x:c>
      <x:c r="L71" s="169" t="n">
        <x:v>2</x:v>
      </x:c>
      <x:c r="M71" s="169" t="n">
        <x:v>1</x:v>
      </x:c>
      <x:c r="N71" s="169" t="n">
        <x:v>17</x:v>
      </x:c>
      <x:c r="O71" s="219" t="n">
        <x:v>0.14285714285714285</x:v>
      </x:c>
      <x:c r="P71" s="269" t="n">
        <x:v>0.6666666666666666</x:v>
      </x:c>
      <x:c r="Q71" s="219" t="n">
        <x:v>0.8571428571428571</x:v>
      </x:c>
      <x:c r="R71" s="219" t="n">
        <x:v>0.7142857142857143</x:v>
      </x:c>
    </x:row>
    <x:row r="72">
      <x:c r="A72" s="167" t="str">
        <x:v>Diffusion</x:v>
      </x:c>
      <x:c r="B72" s="167" t="str">
        <x:v>empirical</x:v>
      </x:c>
      <x:c r="C72" s="167" t="str">
        <x:v>density</x:v>
      </x:c>
      <x:c r="D72" s="167" t="str">
        <x:v>m1</x:v>
      </x:c>
      <x:c r="E72" s="167" t="str">
        <x:v>S=2D</x:v>
      </x:c>
      <x:c r="F72" s="167" t="str">
        <x:v>posterior_mmd</x:v>
      </x:c>
      <x:c r="G72" s="167" t="str">
        <x:v>ESS-filtered raw NPE-MCMC interval [0, q95]</x:v>
      </x:c>
      <x:c r="H72" s="168" t="n">
        <x:v>0</x:v>
      </x:c>
      <x:c r="I72" s="168" t="n">
        <x:v>0.2601570480507253</x:v>
      </x:c>
      <x:c r="J72" s="169" t="n">
        <x:v>12</x:v>
      </x:c>
      <x:c r="K72" s="169" t="n">
        <x:v>2</x:v>
      </x:c>
      <x:c r="L72" s="169" t="n">
        <x:v>2</x:v>
      </x:c>
      <x:c r="M72" s="169" t="n">
        <x:v>1</x:v>
      </x:c>
      <x:c r="N72" s="169" t="n">
        <x:v>17</x:v>
      </x:c>
      <x:c r="O72" s="219" t="n">
        <x:v>0.14285714285714285</x:v>
      </x:c>
      <x:c r="P72" s="269" t="n">
        <x:v>0.6666666666666666</x:v>
      </x:c>
      <x:c r="Q72" s="219" t="n">
        <x:v>0.8571428571428571</x:v>
      </x:c>
      <x:c r="R72" s="269" t="n">
        <x:v>0.6428571428571429</x:v>
      </x:c>
    </x:row>
    <x:row r="73">
      <x:c r="A73" s="167" t="str">
        <x:v>Diffusion</x:v>
      </x:c>
      <x:c r="B73" s="167" t="str">
        <x:v>empirical</x:v>
      </x:c>
      <x:c r="C73" s="167" t="str">
        <x:v>mmd</x:v>
      </x:c>
      <x:c r="D73" s="167" t="str">
        <x:v>m1</x:v>
      </x:c>
      <x:c r="E73" s="167" t="str">
        <x:v>S=2D</x:v>
      </x:c>
      <x:c r="F73" s="167" t="str">
        <x:v>posterior_mmd</x:v>
      </x:c>
      <x:c r="G73" s="167" t="str">
        <x:v>ESS-filtered raw NPE-MCMC interval [0, q95]</x:v>
      </x:c>
      <x:c r="H73" s="168" t="n">
        <x:v>0</x:v>
      </x:c>
      <x:c r="I73" s="168" t="n">
        <x:v>0.2601570480507253</x:v>
      </x:c>
      <x:c r="J73" s="169" t="n">
        <x:v>0</x:v>
      </x:c>
      <x:c r="K73" s="169" t="n">
        <x:v>0</x:v>
      </x:c>
      <x:c r="L73" s="169" t="n">
        <x:v>14</x:v>
      </x:c>
      <x:c r="M73" s="169" t="n">
        <x:v>3</x:v>
      </x:c>
      <x:c r="N73" s="169" t="n">
        <x:v>17</x:v>
      </x:c>
      <x:c r="O73" s="269" t="n">
        <x:v>1</x:v>
      </x:c>
      <x:c r="P73" s="219" t="n">
        <x:v>0</x:v>
      </x:c>
      <x:c r="Q73" s="269" t="n">
        <x:v>0</x:v>
      </x:c>
      <x:c r="R73" s="269" t="n">
        <x:v>0.6190476190476191</x:v>
      </x:c>
    </x:row>
    <x:row r="74">
      <x:c r="A74" s="167" t="str">
        <x:v>Diffusion</x:v>
      </x:c>
      <x:c r="B74" s="167" t="str">
        <x:v>empirical</x:v>
      </x:c>
      <x:c r="C74" s="167" t="str">
        <x:v>l2</x:v>
      </x:c>
      <x:c r="D74" s="167" t="str">
        <x:v>m1</x:v>
      </x:c>
      <x:c r="E74" s="167" t="str">
        <x:v>S=4D</x:v>
      </x:c>
      <x:c r="F74" s="167" t="str">
        <x:v>posterior_mmd</x:v>
      </x:c>
      <x:c r="G74" s="167" t="str">
        <x:v>ESS-filtered raw NPE-MCMC interval [0, q95]</x:v>
      </x:c>
      <x:c r="H74" s="168" t="n">
        <x:v>0</x:v>
      </x:c>
      <x:c r="I74" s="168" t="n">
        <x:v>0.2541019682951986</x:v>
      </x:c>
      <x:c r="J74" s="169" t="n">
        <x:v>13</x:v>
      </x:c>
      <x:c r="K74" s="169" t="n">
        <x:v>2</x:v>
      </x:c>
      <x:c r="L74" s="169" t="n">
        <x:v>2</x:v>
      </x:c>
      <x:c r="M74" s="169" t="n">
        <x:v>0</x:v>
      </x:c>
      <x:c r="N74" s="169" t="n">
        <x:v>17</x:v>
      </x:c>
      <x:c r="O74" s="269" t="n">
        <x:v>0.13333333333333333</x:v>
      </x:c>
      <x:c r="P74" s="269" t="n">
        <x:v>1</x:v>
      </x:c>
      <x:c r="Q74" s="269" t="n">
        <x:v>0.8666666666666667</x:v>
      </x:c>
      <x:c r="R74" s="269" t="n">
        <x:v>0.8666666666666667</x:v>
      </x:c>
    </x:row>
    <x:row r="75">
      <x:c r="A75" s="167" t="str">
        <x:v>Diffusion</x:v>
      </x:c>
      <x:c r="B75" s="167" t="str">
        <x:v>empirical</x:v>
      </x:c>
      <x:c r="C75" s="167" t="str">
        <x:v>linf</x:v>
      </x:c>
      <x:c r="D75" s="167" t="str">
        <x:v>m1</x:v>
      </x:c>
      <x:c r="E75" s="167" t="str">
        <x:v>S=4D</x:v>
      </x:c>
      <x:c r="F75" s="167" t="str">
        <x:v>posterior_mmd</x:v>
      </x:c>
      <x:c r="G75" s="167" t="str">
        <x:v>ESS-filtered raw NPE-MCMC interval [0, q95]</x:v>
      </x:c>
      <x:c r="H75" s="168" t="n">
        <x:v>0</x:v>
      </x:c>
      <x:c r="I75" s="168" t="n">
        <x:v>0.2541019682951986</x:v>
      </x:c>
      <x:c r="J75" s="169" t="n">
        <x:v>12</x:v>
      </x:c>
      <x:c r="K75" s="169" t="n">
        <x:v>0</x:v>
      </x:c>
      <x:c r="L75" s="169" t="n">
        <x:v>3</x:v>
      </x:c>
      <x:c r="M75" s="169" t="n">
        <x:v>2</x:v>
      </x:c>
      <x:c r="N75" s="169" t="n">
        <x:v>17</x:v>
      </x:c>
      <x:c r="O75" s="269" t="n">
        <x:v>0.2</x:v>
      </x:c>
      <x:c r="P75" s="219" t="n">
        <x:v>0</x:v>
      </x:c>
      <x:c r="Q75" s="269" t="n">
        <x:v>0.8888888888888888</x:v>
      </x:c>
      <x:c r="R75" s="269" t="n">
        <x:v>0.8666666666666667</x:v>
      </x:c>
    </x:row>
    <x:row r="76">
      <x:c r="A76" s="167" t="str">
        <x:v>Diffusion</x:v>
      </x:c>
      <x:c r="B76" s="167" t="str">
        <x:v>empirical</x:v>
      </x:c>
      <x:c r="C76" s="167" t="str">
        <x:v>density</x:v>
      </x:c>
      <x:c r="D76" s="167" t="str">
        <x:v>m1</x:v>
      </x:c>
      <x:c r="E76" s="167" t="str">
        <x:v>S=4D</x:v>
      </x:c>
      <x:c r="F76" s="167" t="str">
        <x:v>posterior_mmd</x:v>
      </x:c>
      <x:c r="G76" s="167" t="str">
        <x:v>ESS-filtered raw NPE-MCMC interval [0, q95]</x:v>
      </x:c>
      <x:c r="H76" s="168" t="n">
        <x:v>0</x:v>
      </x:c>
      <x:c r="I76" s="168" t="n">
        <x:v>0.2541019682951986</x:v>
      </x:c>
      <x:c r="J76" s="169" t="n">
        <x:v>15</x:v>
      </x:c>
      <x:c r="K76" s="169" t="n">
        <x:v>2</x:v>
      </x:c>
      <x:c r="L76" s="169" t="n">
        <x:v>0</x:v>
      </x:c>
      <x:c r="M76" s="169" t="n">
        <x:v>0</x:v>
      </x:c>
      <x:c r="N76" s="169" t="n">
        <x:v>17</x:v>
      </x:c>
      <x:c r="O76" s="219" t="n">
        <x:v>0</x:v>
      </x:c>
      <x:c r="P76" s="269" t="n">
        <x:v>1</x:v>
      </x:c>
      <x:c r="Q76" s="219" t="n">
        <x:v>0.9375</x:v>
      </x:c>
      <x:c r="R76" s="219" t="n">
        <x:v>0.9</x:v>
      </x:c>
    </x:row>
    <x:row r="77">
      <x:c r="A77" s="167" t="str">
        <x:v>Diffusion</x:v>
      </x:c>
      <x:c r="B77" s="167" t="str">
        <x:v>empirical</x:v>
      </x:c>
      <x:c r="C77" s="167" t="str">
        <x:v>mmd</x:v>
      </x:c>
      <x:c r="D77" s="167" t="str">
        <x:v>m1</x:v>
      </x:c>
      <x:c r="E77" s="167" t="str">
        <x:v>S=4D</x:v>
      </x:c>
      <x:c r="F77" s="167" t="str">
        <x:v>posterior_mmd</x:v>
      </x:c>
      <x:c r="G77" s="167" t="str">
        <x:v>ESS-filtered raw NPE-MCMC interval [0, q95]</x:v>
      </x:c>
      <x:c r="H77" s="168" t="n">
        <x:v>0</x:v>
      </x:c>
      <x:c r="I77" s="168" t="n">
        <x:v>0.2541019682951986</x:v>
      </x:c>
      <x:c r="J77" s="169" t="n">
        <x:v>2</x:v>
      </x:c>
      <x:c r="K77" s="169" t="n">
        <x:v>0</x:v>
      </x:c>
      <x:c r="L77" s="169" t="n">
        <x:v>13</x:v>
      </x:c>
      <x:c r="M77" s="169" t="n">
        <x:v>2</x:v>
      </x:c>
      <x:c r="N77" s="169" t="n">
        <x:v>17</x:v>
      </x:c>
      <x:c r="O77" s="269" t="n">
        <x:v>0.8666666666666667</x:v>
      </x:c>
      <x:c r="P77" s="219" t="n">
        <x:v>0</x:v>
      </x:c>
      <x:c r="Q77" s="269" t="n">
        <x:v>0.23529411764705882</x:v>
      </x:c>
      <x:c r="R77" s="269" t="n">
        <x:v>0.7333333333333334</x:v>
      </x:c>
    </x:row>
    <x:row r="78">
      <x:c r="A78" s="167" t="str">
        <x:v>Diffusion</x:v>
      </x:c>
      <x:c r="B78" s="167" t="str">
        <x:v>empirical</x:v>
      </x:c>
      <x:c r="C78" s="167" t="str">
        <x:v>l2</x:v>
      </x:c>
      <x:c r="D78" s="167" t="str">
        <x:v>m1</x:v>
      </x:c>
      <x:c r="E78" s="167" t="str">
        <x:v>S=6D</x:v>
      </x:c>
      <x:c r="F78" s="167" t="str">
        <x:v>posterior_mmd</x:v>
      </x:c>
      <x:c r="G78" s="167" t="str">
        <x:v>ESS-filtered raw NPE-MCMC interval [0, q95]</x:v>
      </x:c>
      <x:c r="H78" s="168" t="n">
        <x:v>0</x:v>
      </x:c>
      <x:c r="I78" s="168" t="n">
        <x:v>0.2516644289461925</x:v>
      </x:c>
      <x:c r="J78" s="169" t="n">
        <x:v>15</x:v>
      </x:c>
      <x:c r="K78" s="169" t="n">
        <x:v>2</x:v>
      </x:c>
      <x:c r="L78" s="169" t="n">
        <x:v>0</x:v>
      </x:c>
      <x:c r="M78" s="169" t="n">
        <x:v>0</x:v>
      </x:c>
      <x:c r="N78" s="169" t="n">
        <x:v>17</x:v>
      </x:c>
      <x:c r="O78" s="219" t="n">
        <x:v>0</x:v>
      </x:c>
      <x:c r="P78" s="269" t="n">
        <x:v>1</x:v>
      </x:c>
      <x:c r="Q78" s="219" t="n">
        <x:v>0.9375</x:v>
      </x:c>
      <x:c r="R78" s="269" t="n">
        <x:v>0.5333333333333333</x:v>
      </x:c>
    </x:row>
    <x:row r="79">
      <x:c r="A79" s="167" t="str">
        <x:v>Diffusion</x:v>
      </x:c>
      <x:c r="B79" s="167" t="str">
        <x:v>empirical</x:v>
      </x:c>
      <x:c r="C79" s="167" t="str">
        <x:v>linf</x:v>
      </x:c>
      <x:c r="D79" s="167" t="str">
        <x:v>m1</x:v>
      </x:c>
      <x:c r="E79" s="167" t="str">
        <x:v>S=6D</x:v>
      </x:c>
      <x:c r="F79" s="167" t="str">
        <x:v>posterior_mmd</x:v>
      </x:c>
      <x:c r="G79" s="167" t="str">
        <x:v>ESS-filtered raw NPE-MCMC interval [0, q95]</x:v>
      </x:c>
      <x:c r="H79" s="168" t="n">
        <x:v>0</x:v>
      </x:c>
      <x:c r="I79" s="168" t="n">
        <x:v>0.2516644289461925</x:v>
      </x:c>
      <x:c r="J79" s="169" t="n">
        <x:v>14</x:v>
      </x:c>
      <x:c r="K79" s="169" t="n">
        <x:v>2</x:v>
      </x:c>
      <x:c r="L79" s="169" t="n">
        <x:v>1</x:v>
      </x:c>
      <x:c r="M79" s="169" t="n">
        <x:v>0</x:v>
      </x:c>
      <x:c r="N79" s="169" t="n">
        <x:v>17</x:v>
      </x:c>
      <x:c r="O79" s="269" t="n">
        <x:v>0.06666666666666667</x:v>
      </x:c>
      <x:c r="P79" s="269" t="n">
        <x:v>1</x:v>
      </x:c>
      <x:c r="Q79" s="269" t="n">
        <x:v>0.9032258064516129</x:v>
      </x:c>
      <x:c r="R79" s="269" t="n">
        <x:v>0.6</x:v>
      </x:c>
    </x:row>
    <x:row r="80">
      <x:c r="A80" s="167" t="str">
        <x:v>Diffusion</x:v>
      </x:c>
      <x:c r="B80" s="167" t="str">
        <x:v>empirical</x:v>
      </x:c>
      <x:c r="C80" s="167" t="str">
        <x:v>density</x:v>
      </x:c>
      <x:c r="D80" s="167" t="str">
        <x:v>m1</x:v>
      </x:c>
      <x:c r="E80" s="167" t="str">
        <x:v>S=6D</x:v>
      </x:c>
      <x:c r="F80" s="167" t="str">
        <x:v>posterior_mmd</x:v>
      </x:c>
      <x:c r="G80" s="167" t="str">
        <x:v>ESS-filtered raw NPE-MCMC interval [0, q95]</x:v>
      </x:c>
      <x:c r="H80" s="168" t="n">
        <x:v>0</x:v>
      </x:c>
      <x:c r="I80" s="168" t="n">
        <x:v>0.2516644289461925</x:v>
      </x:c>
      <x:c r="J80" s="169" t="n">
        <x:v>15</x:v>
      </x:c>
      <x:c r="K80" s="169" t="n">
        <x:v>2</x:v>
      </x:c>
      <x:c r="L80" s="169" t="n">
        <x:v>0</x:v>
      </x:c>
      <x:c r="M80" s="169" t="n">
        <x:v>0</x:v>
      </x:c>
      <x:c r="N80" s="169" t="n">
        <x:v>17</x:v>
      </x:c>
      <x:c r="O80" s="219" t="n">
        <x:v>0</x:v>
      </x:c>
      <x:c r="P80" s="269" t="n">
        <x:v>1</x:v>
      </x:c>
      <x:c r="Q80" s="219" t="n">
        <x:v>0.9375</x:v>
      </x:c>
      <x:c r="R80" s="219" t="n">
        <x:v>0.7333333333333334</x:v>
      </x:c>
    </x:row>
    <x:row r="81">
      <x:c r="A81" s="167" t="str">
        <x:v>Diffusion</x:v>
      </x:c>
      <x:c r="B81" s="167" t="str">
        <x:v>empirical</x:v>
      </x:c>
      <x:c r="C81" s="167" t="str">
        <x:v>mmd</x:v>
      </x:c>
      <x:c r="D81" s="167" t="str">
        <x:v>m1</x:v>
      </x:c>
      <x:c r="E81" s="167" t="str">
        <x:v>S=6D</x:v>
      </x:c>
      <x:c r="F81" s="167" t="str">
        <x:v>posterior_mmd</x:v>
      </x:c>
      <x:c r="G81" s="167" t="str">
        <x:v>ESS-filtered raw NPE-MCMC interval [0, q95]</x:v>
      </x:c>
      <x:c r="H81" s="168" t="n">
        <x:v>0</x:v>
      </x:c>
      <x:c r="I81" s="168" t="n">
        <x:v>0.2516644289461925</x:v>
      </x:c>
      <x:c r="J81" s="169" t="n">
        <x:v>1</x:v>
      </x:c>
      <x:c r="K81" s="169" t="n">
        <x:v>0</x:v>
      </x:c>
      <x:c r="L81" s="169" t="n">
        <x:v>14</x:v>
      </x:c>
      <x:c r="M81" s="169" t="n">
        <x:v>2</x:v>
      </x:c>
      <x:c r="N81" s="169" t="n">
        <x:v>17</x:v>
      </x:c>
      <x:c r="O81" s="269" t="n">
        <x:v>0.9333333333333333</x:v>
      </x:c>
      <x:c r="P81" s="219" t="n">
        <x:v>0</x:v>
      </x:c>
      <x:c r="Q81" s="269" t="n">
        <x:v>0.125</x:v>
      </x:c>
      <x:c r="R81" s="269" t="n">
        <x:v>0.5333333333333333</x:v>
      </x:c>
    </x:row>
    <x:row r="82">
      <x:c r="A82" s="167" t="str">
        <x:v>Diffusion</x:v>
      </x:c>
      <x:c r="B82" s="167" t="str">
        <x:v>empirical</x:v>
      </x:c>
      <x:c r="C82" s="167" t="str">
        <x:v>l2</x:v>
      </x:c>
      <x:c r="D82" s="167" t="str">
        <x:v>m3</x:v>
      </x:c>
      <x:c r="E82" s="167" t="str">
        <x:v>S=D</x:v>
      </x:c>
      <x:c r="F82" s="167" t="str">
        <x:v>posterior_mmd</x:v>
      </x:c>
      <x:c r="G82" s="167" t="str">
        <x:v>ESS-filtered raw NPE-MCMC interval [0, q95]</x:v>
      </x:c>
      <x:c r="H82" s="168" t="n">
        <x:v>0</x:v>
      </x:c>
      <x:c r="I82" s="168" t="n">
        <x:v>0.495483672463502</x:v>
      </x:c>
      <x:c r="J82" s="169" t="n">
        <x:v>2</x:v>
      </x:c>
      <x:c r="K82" s="169" t="n">
        <x:v>4</x:v>
      </x:c>
      <x:c r="L82" s="169" t="n">
        <x:v>7</x:v>
      </x:c>
      <x:c r="M82" s="169" t="n">
        <x:v>4</x:v>
      </x:c>
      <x:c r="N82" s="169" t="n">
        <x:v>17</x:v>
      </x:c>
      <x:c r="O82" s="219" t="n">
        <x:v>0.7777777777777778</x:v>
      </x:c>
      <x:c r="P82" s="269" t="n">
        <x:v>0.5</x:v>
      </x:c>
      <x:c r="Q82" s="269" t="n">
        <x:v>0.26666666666666666</x:v>
      </x:c>
      <x:c r="R82" s="269" t="n">
        <x:v>0.2777777777777778</x:v>
      </x:c>
    </x:row>
    <x:row r="83">
      <x:c r="A83" s="167" t="str">
        <x:v>Diffusion</x:v>
      </x:c>
      <x:c r="B83" s="167" t="str">
        <x:v>empirical</x:v>
      </x:c>
      <x:c r="C83" s="167" t="str">
        <x:v>linf</x:v>
      </x:c>
      <x:c r="D83" s="167" t="str">
        <x:v>m3</x:v>
      </x:c>
      <x:c r="E83" s="167" t="str">
        <x:v>S=D</x:v>
      </x:c>
      <x:c r="F83" s="167" t="str">
        <x:v>posterior_mmd</x:v>
      </x:c>
      <x:c r="G83" s="167" t="str">
        <x:v>ESS-filtered raw NPE-MCMC interval [0, q95]</x:v>
      </x:c>
      <x:c r="H83" s="168" t="n">
        <x:v>0</x:v>
      </x:c>
      <x:c r="I83" s="168" t="n">
        <x:v>0.495483672463502</x:v>
      </x:c>
      <x:c r="J83" s="169" t="n">
        <x:v>2</x:v>
      </x:c>
      <x:c r="K83" s="169" t="n">
        <x:v>3</x:v>
      </x:c>
      <x:c r="L83" s="169" t="n">
        <x:v>7</x:v>
      </x:c>
      <x:c r="M83" s="169" t="n">
        <x:v>5</x:v>
      </x:c>
      <x:c r="N83" s="169" t="n">
        <x:v>17</x:v>
      </x:c>
      <x:c r="O83" s="219" t="n">
        <x:v>0.7777777777777778</x:v>
      </x:c>
      <x:c r="P83" s="269" t="n">
        <x:v>0.375</x:v>
      </x:c>
      <x:c r="Q83" s="219" t="n">
        <x:v>0.2857142857142857</x:v>
      </x:c>
      <x:c r="R83" s="269" t="n">
        <x:v>0.33333333333333337</x:v>
      </x:c>
    </x:row>
    <x:row r="84">
      <x:c r="A84" s="167" t="str">
        <x:v>Diffusion</x:v>
      </x:c>
      <x:c r="B84" s="167" t="str">
        <x:v>empirical</x:v>
      </x:c>
      <x:c r="C84" s="167" t="str">
        <x:v>density</x:v>
      </x:c>
      <x:c r="D84" s="167" t="str">
        <x:v>m3</x:v>
      </x:c>
      <x:c r="E84" s="167" t="str">
        <x:v>S=D</x:v>
      </x:c>
      <x:c r="F84" s="167" t="str">
        <x:v>posterior_mmd</x:v>
      </x:c>
      <x:c r="G84" s="167" t="str">
        <x:v>ESS-filtered raw NPE-MCMC interval [0, q95]</x:v>
      </x:c>
      <x:c r="H84" s="168" t="n">
        <x:v>0</x:v>
      </x:c>
      <x:c r="I84" s="168" t="n">
        <x:v>0.495483672463502</x:v>
      </x:c>
      <x:c r="J84" s="169" t="n">
        <x:v>1</x:v>
      </x:c>
      <x:c r="K84" s="169" t="n">
        <x:v>3</x:v>
      </x:c>
      <x:c r="L84" s="169" t="n">
        <x:v>8</x:v>
      </x:c>
      <x:c r="M84" s="169" t="n">
        <x:v>5</x:v>
      </x:c>
      <x:c r="N84" s="169" t="n">
        <x:v>17</x:v>
      </x:c>
      <x:c r="O84" s="269" t="n">
        <x:v>0.8888888888888888</x:v>
      </x:c>
      <x:c r="P84" s="269" t="n">
        <x:v>0.375</x:v>
      </x:c>
      <x:c r="Q84" s="269" t="n">
        <x:v>0.15384615384615385</x:v>
      </x:c>
      <x:c r="R84" s="219" t="n">
        <x:v>0.5</x:v>
      </x:c>
    </x:row>
    <x:row r="85">
      <x:c r="A85" s="167" t="str">
        <x:v>Diffusion</x:v>
      </x:c>
      <x:c r="B85" s="167" t="str">
        <x:v>empirical</x:v>
      </x:c>
      <x:c r="C85" s="167" t="str">
        <x:v>mmd</x:v>
      </x:c>
      <x:c r="D85" s="167" t="str">
        <x:v>m3</x:v>
      </x:c>
      <x:c r="E85" s="167" t="str">
        <x:v>S=D</x:v>
      </x:c>
      <x:c r="F85" s="167" t="str">
        <x:v>posterior_mmd</x:v>
      </x:c>
      <x:c r="G85" s="167" t="str">
        <x:v>ESS-filtered raw NPE-MCMC interval [0, q95]</x:v>
      </x:c>
      <x:c r="H85" s="168" t="n">
        <x:v>0</x:v>
      </x:c>
      <x:c r="I85" s="168" t="n">
        <x:v>0.495483672463502</x:v>
      </x:c>
      <x:c r="J85" s="169" t="n">
        <x:v>0</x:v>
      </x:c>
      <x:c r="K85" s="169" t="n">
        <x:v>0</x:v>
      </x:c>
      <x:c r="L85" s="169" t="n">
        <x:v>9</x:v>
      </x:c>
      <x:c r="M85" s="169" t="n">
        <x:v>8</x:v>
      </x:c>
      <x:c r="N85" s="169" t="n">
        <x:v>17</x:v>
      </x:c>
      <x:c r="O85" s="269" t="n">
        <x:v>1</x:v>
      </x:c>
      <x:c r="P85" s="219" t="n">
        <x:v>0</x:v>
      </x:c>
      <x:c r="Q85" s="269" t="n">
        <x:v>0</x:v>
      </x:c>
      <x:c r="R85" s="269" t="n">
        <x:v>0.3472222222222222</x:v>
      </x:c>
    </x:row>
    <x:row r="86">
      <x:c r="A86" s="167" t="str">
        <x:v>Diffusion</x:v>
      </x:c>
      <x:c r="B86" s="167" t="str">
        <x:v>empirical</x:v>
      </x:c>
      <x:c r="C86" s="167" t="str">
        <x:v>l2</x:v>
      </x:c>
      <x:c r="D86" s="167" t="str">
        <x:v>m3</x:v>
      </x:c>
      <x:c r="E86" s="167" t="str">
        <x:v>S=2D</x:v>
      </x:c>
      <x:c r="F86" s="167" t="str">
        <x:v>posterior_mmd</x:v>
      </x:c>
      <x:c r="G86" s="167" t="str">
        <x:v>ESS-filtered raw NPE-MCMC interval [0, q95]</x:v>
      </x:c>
      <x:c r="H86" s="168" t="n">
        <x:v>0</x:v>
      </x:c>
      <x:c r="I86" s="168" t="n">
        <x:v>0.2749548664825378</x:v>
      </x:c>
      <x:c r="J86" s="169" t="n">
        <x:v>7</x:v>
      </x:c>
      <x:c r="K86" s="169" t="n">
        <x:v>0</x:v>
      </x:c>
      <x:c r="L86" s="169" t="n">
        <x:v>10</x:v>
      </x:c>
      <x:c r="M86" s="169" t="n">
        <x:v>0</x:v>
      </x:c>
      <x:c r="N86" s="169" t="n">
        <x:v>17</x:v>
      </x:c>
      <x:c r="O86" s="219" t="n">
        <x:v>0.5882352941176471</x:v>
      </x:c>
      <x:c r="P86" s="269" t="str">
        <x:v>N/A</x:v>
      </x:c>
      <x:c r="Q86" s="219" t="n">
        <x:v>0.5833333333333334</x:v>
      </x:c>
      <x:c r="R86" s="269" t="str">
        <x:v>N/A</x:v>
      </x:c>
    </x:row>
    <x:row r="87">
      <x:c r="A87" s="167" t="str">
        <x:v>Diffusion</x:v>
      </x:c>
      <x:c r="B87" s="167" t="str">
        <x:v>empirical</x:v>
      </x:c>
      <x:c r="C87" s="167" t="str">
        <x:v>linf</x:v>
      </x:c>
      <x:c r="D87" s="167" t="str">
        <x:v>m3</x:v>
      </x:c>
      <x:c r="E87" s="167" t="str">
        <x:v>S=2D</x:v>
      </x:c>
      <x:c r="F87" s="167" t="str">
        <x:v>posterior_mmd</x:v>
      </x:c>
      <x:c r="G87" s="167" t="str">
        <x:v>ESS-filtered raw NPE-MCMC interval [0, q95]</x:v>
      </x:c>
      <x:c r="H87" s="168" t="n">
        <x:v>0</x:v>
      </x:c>
      <x:c r="I87" s="168" t="n">
        <x:v>0.2749548664825378</x:v>
      </x:c>
      <x:c r="J87" s="169" t="n">
        <x:v>2</x:v>
      </x:c>
      <x:c r="K87" s="169" t="n">
        <x:v>0</x:v>
      </x:c>
      <x:c r="L87" s="169" t="n">
        <x:v>15</x:v>
      </x:c>
      <x:c r="M87" s="169" t="n">
        <x:v>0</x:v>
      </x:c>
      <x:c r="N87" s="169" t="n">
        <x:v>17</x:v>
      </x:c>
      <x:c r="O87" s="269" t="n">
        <x:v>0.8823529411764706</x:v>
      </x:c>
      <x:c r="P87" s="269" t="str">
        <x:v>N/A</x:v>
      </x:c>
      <x:c r="Q87" s="269" t="n">
        <x:v>0.21052631578947367</x:v>
      </x:c>
      <x:c r="R87" s="269" t="str">
        <x:v>N/A</x:v>
      </x:c>
    </x:row>
    <x:row r="88">
      <x:c r="A88" s="167" t="str">
        <x:v>Diffusion</x:v>
      </x:c>
      <x:c r="B88" s="167" t="str">
        <x:v>empirical</x:v>
      </x:c>
      <x:c r="C88" s="167" t="str">
        <x:v>density</x:v>
      </x:c>
      <x:c r="D88" s="167" t="str">
        <x:v>m3</x:v>
      </x:c>
      <x:c r="E88" s="167" t="str">
        <x:v>S=2D</x:v>
      </x:c>
      <x:c r="F88" s="167" t="str">
        <x:v>posterior_mmd</x:v>
      </x:c>
      <x:c r="G88" s="167" t="str">
        <x:v>ESS-filtered raw NPE-MCMC interval [0, q95]</x:v>
      </x:c>
      <x:c r="H88" s="168" t="n">
        <x:v>0</x:v>
      </x:c>
      <x:c r="I88" s="168" t="n">
        <x:v>0.2749548664825378</x:v>
      </x:c>
      <x:c r="J88" s="169" t="n">
        <x:v>3</x:v>
      </x:c>
      <x:c r="K88" s="169" t="n">
        <x:v>0</x:v>
      </x:c>
      <x:c r="L88" s="169" t="n">
        <x:v>14</x:v>
      </x:c>
      <x:c r="M88" s="169" t="n">
        <x:v>0</x:v>
      </x:c>
      <x:c r="N88" s="169" t="n">
        <x:v>17</x:v>
      </x:c>
      <x:c r="O88" s="269" t="n">
        <x:v>0.8235294117647058</x:v>
      </x:c>
      <x:c r="P88" s="269" t="str">
        <x:v>N/A</x:v>
      </x:c>
      <x:c r="Q88" s="269" t="n">
        <x:v>0.3</x:v>
      </x:c>
      <x:c r="R88" s="269" t="str">
        <x:v>N/A</x:v>
      </x:c>
    </x:row>
    <x:row r="89">
      <x:c r="A89" s="167" t="str">
        <x:v>Diffusion</x:v>
      </x:c>
      <x:c r="B89" s="167" t="str">
        <x:v>empirical</x:v>
      </x:c>
      <x:c r="C89" s="167" t="str">
        <x:v>mmd</x:v>
      </x:c>
      <x:c r="D89" s="167" t="str">
        <x:v>m3</x:v>
      </x:c>
      <x:c r="E89" s="167" t="str">
        <x:v>S=2D</x:v>
      </x:c>
      <x:c r="F89" s="167" t="str">
        <x:v>posterior_mmd</x:v>
      </x:c>
      <x:c r="G89" s="167" t="str">
        <x:v>ESS-filtered raw NPE-MCMC interval [0, q95]</x:v>
      </x:c>
      <x:c r="H89" s="168" t="n">
        <x:v>0</x:v>
      </x:c>
      <x:c r="I89" s="168" t="n">
        <x:v>0.2749548664825378</x:v>
      </x:c>
      <x:c r="J89" s="169" t="n">
        <x:v>0</x:v>
      </x:c>
      <x:c r="K89" s="169" t="n">
        <x:v>0</x:v>
      </x:c>
      <x:c r="L89" s="169" t="n">
        <x:v>17</x:v>
      </x:c>
      <x:c r="M89" s="169" t="n">
        <x:v>0</x:v>
      </x:c>
      <x:c r="N89" s="169" t="n">
        <x:v>17</x:v>
      </x:c>
      <x:c r="O89" s="269" t="n">
        <x:v>1</x:v>
      </x:c>
      <x:c r="P89" s="269" t="str">
        <x:v>N/A</x:v>
      </x:c>
      <x:c r="Q89" s="269" t="n">
        <x:v>0</x:v>
      </x:c>
      <x:c r="R89" s="269" t="str">
        <x:v>N/A</x:v>
      </x:c>
    </x:row>
    <x:row r="90">
      <x:c r="A90" s="167" t="str">
        <x:v>Diffusion</x:v>
      </x:c>
      <x:c r="B90" s="167" t="str">
        <x:v>empirical</x:v>
      </x:c>
      <x:c r="C90" s="167" t="str">
        <x:v>l2</x:v>
      </x:c>
      <x:c r="D90" s="167" t="str">
        <x:v>m3</x:v>
      </x:c>
      <x:c r="E90" s="167" t="str">
        <x:v>S=4D</x:v>
      </x:c>
      <x:c r="F90" s="167" t="str">
        <x:v>posterior_mmd</x:v>
      </x:c>
      <x:c r="G90" s="167" t="str">
        <x:v>ESS-filtered raw NPE-MCMC interval [0, q95]</x:v>
      </x:c>
      <x:c r="H90" s="168" t="n">
        <x:v>0</x:v>
      </x:c>
      <x:c r="I90" s="168" t="n">
        <x:v>0.2725756146319847</x:v>
      </x:c>
      <x:c r="J90" s="169" t="n">
        <x:v>6</x:v>
      </x:c>
      <x:c r="K90" s="169" t="n">
        <x:v>1</x:v>
      </x:c>
      <x:c r="L90" s="169" t="n">
        <x:v>10</x:v>
      </x:c>
      <x:c r="M90" s="169" t="n">
        <x:v>0</x:v>
      </x:c>
      <x:c r="N90" s="169" t="n">
        <x:v>17</x:v>
      </x:c>
      <x:c r="O90" s="269" t="n">
        <x:v>0.625</x:v>
      </x:c>
      <x:c r="P90" s="269" t="n">
        <x:v>1</x:v>
      </x:c>
      <x:c r="Q90" s="269" t="n">
        <x:v>0.5217391304347826</x:v>
      </x:c>
      <x:c r="R90" s="269" t="n">
        <x:v>0</x:v>
      </x:c>
    </x:row>
    <x:row r="91">
      <x:c r="A91" s="167" t="str">
        <x:v>Diffusion</x:v>
      </x:c>
      <x:c r="B91" s="167" t="str">
        <x:v>empirical</x:v>
      </x:c>
      <x:c r="C91" s="167" t="str">
        <x:v>linf</x:v>
      </x:c>
      <x:c r="D91" s="167" t="str">
        <x:v>m3</x:v>
      </x:c>
      <x:c r="E91" s="167" t="str">
        <x:v>S=4D</x:v>
      </x:c>
      <x:c r="F91" s="167" t="str">
        <x:v>posterior_mmd</x:v>
      </x:c>
      <x:c r="G91" s="167" t="str">
        <x:v>ESS-filtered raw NPE-MCMC interval [0, q95]</x:v>
      </x:c>
      <x:c r="H91" s="168" t="n">
        <x:v>0</x:v>
      </x:c>
      <x:c r="I91" s="168" t="n">
        <x:v>0.2725756146319847</x:v>
      </x:c>
      <x:c r="J91" s="169" t="n">
        <x:v>3</x:v>
      </x:c>
      <x:c r="K91" s="169" t="n">
        <x:v>1</x:v>
      </x:c>
      <x:c r="L91" s="169" t="n">
        <x:v>13</x:v>
      </x:c>
      <x:c r="M91" s="169" t="n">
        <x:v>0</x:v>
      </x:c>
      <x:c r="N91" s="169" t="n">
        <x:v>17</x:v>
      </x:c>
      <x:c r="O91" s="269" t="n">
        <x:v>0.8125</x:v>
      </x:c>
      <x:c r="P91" s="269" t="n">
        <x:v>1</x:v>
      </x:c>
      <x:c r="Q91" s="269" t="n">
        <x:v>0.3</x:v>
      </x:c>
      <x:c r="R91" s="269" t="n">
        <x:v>0</x:v>
      </x:c>
    </x:row>
    <x:row r="92">
      <x:c r="A92" s="167" t="str">
        <x:v>Diffusion</x:v>
      </x:c>
      <x:c r="B92" s="167" t="str">
        <x:v>empirical</x:v>
      </x:c>
      <x:c r="C92" s="167" t="str">
        <x:v>density</x:v>
      </x:c>
      <x:c r="D92" s="167" t="str">
        <x:v>m3</x:v>
      </x:c>
      <x:c r="E92" s="167" t="str">
        <x:v>S=4D</x:v>
      </x:c>
      <x:c r="F92" s="167" t="str">
        <x:v>posterior_mmd</x:v>
      </x:c>
      <x:c r="G92" s="167" t="str">
        <x:v>ESS-filtered raw NPE-MCMC interval [0, q95]</x:v>
      </x:c>
      <x:c r="H92" s="168" t="n">
        <x:v>0</x:v>
      </x:c>
      <x:c r="I92" s="168" t="n">
        <x:v>0.2725756146319847</x:v>
      </x:c>
      <x:c r="J92" s="169" t="n">
        <x:v>9</x:v>
      </x:c>
      <x:c r="K92" s="169" t="n">
        <x:v>1</x:v>
      </x:c>
      <x:c r="L92" s="169" t="n">
        <x:v>7</x:v>
      </x:c>
      <x:c r="M92" s="169" t="n">
        <x:v>0</x:v>
      </x:c>
      <x:c r="N92" s="169" t="n">
        <x:v>17</x:v>
      </x:c>
      <x:c r="O92" s="219" t="n">
        <x:v>0.4375</x:v>
      </x:c>
      <x:c r="P92" s="269" t="n">
        <x:v>1</x:v>
      </x:c>
      <x:c r="Q92" s="219" t="n">
        <x:v>0.6923076923076923</x:v>
      </x:c>
      <x:c r="R92" s="219" t="n">
        <x:v>0.0625</x:v>
      </x:c>
    </x:row>
    <x:row r="93">
      <x:c r="A93" s="167" t="str">
        <x:v>Diffusion</x:v>
      </x:c>
      <x:c r="B93" s="167" t="str">
        <x:v>empirical</x:v>
      </x:c>
      <x:c r="C93" s="167" t="str">
        <x:v>mmd</x:v>
      </x:c>
      <x:c r="D93" s="167" t="str">
        <x:v>m3</x:v>
      </x:c>
      <x:c r="E93" s="167" t="str">
        <x:v>S=4D</x:v>
      </x:c>
      <x:c r="F93" s="167" t="str">
        <x:v>posterior_mmd</x:v>
      </x:c>
      <x:c r="G93" s="167" t="str">
        <x:v>ESS-filtered raw NPE-MCMC interval [0, q95]</x:v>
      </x:c>
      <x:c r="H93" s="168" t="n">
        <x:v>0</x:v>
      </x:c>
      <x:c r="I93" s="168" t="n">
        <x:v>0.2725756146319847</x:v>
      </x:c>
      <x:c r="J93" s="169" t="n">
        <x:v>0</x:v>
      </x:c>
      <x:c r="K93" s="169" t="n">
        <x:v>0</x:v>
      </x:c>
      <x:c r="L93" s="169" t="n">
        <x:v>16</x:v>
      </x:c>
      <x:c r="M93" s="169" t="n">
        <x:v>1</x:v>
      </x:c>
      <x:c r="N93" s="169" t="n">
        <x:v>17</x:v>
      </x:c>
      <x:c r="O93" s="269" t="n">
        <x:v>1</x:v>
      </x:c>
      <x:c r="P93" s="219" t="n">
        <x:v>0</x:v>
      </x:c>
      <x:c r="Q93" s="269" t="n">
        <x:v>0</x:v>
      </x:c>
      <x:c r="R93" s="269" t="n">
        <x:v>0</x:v>
      </x:c>
    </x:row>
    <x:row r="94">
      <x:c r="A94" s="167" t="str">
        <x:v>Diffusion</x:v>
      </x:c>
      <x:c r="B94" s="167" t="str">
        <x:v>empirical</x:v>
      </x:c>
      <x:c r="C94" s="167" t="str">
        <x:v>l2</x:v>
      </x:c>
      <x:c r="D94" s="167" t="str">
        <x:v>m3</x:v>
      </x:c>
      <x:c r="E94" s="167" t="str">
        <x:v>S=6D</x:v>
      </x:c>
      <x:c r="F94" s="167" t="str">
        <x:v>posterior_mmd</x:v>
      </x:c>
      <x:c r="G94" s="167" t="str">
        <x:v>ESS-filtered raw NPE-MCMC interval [0, q95]</x:v>
      </x:c>
      <x:c r="H94" s="168" t="n">
        <x:v>0</x:v>
      </x:c>
      <x:c r="I94" s="168" t="n">
        <x:v>0.2545244227389356</x:v>
      </x:c>
      <x:c r="J94" s="169" t="n">
        <x:v>7</x:v>
      </x:c>
      <x:c r="K94" s="169" t="n">
        <x:v>1</x:v>
      </x:c>
      <x:c r="L94" s="169" t="n">
        <x:v>9</x:v>
      </x:c>
      <x:c r="M94" s="169" t="n">
        <x:v>0</x:v>
      </x:c>
      <x:c r="N94" s="169" t="n">
        <x:v>17</x:v>
      </x:c>
      <x:c r="O94" s="269" t="n">
        <x:v>0.5625</x:v>
      </x:c>
      <x:c r="P94" s="269" t="n">
        <x:v>1</x:v>
      </x:c>
      <x:c r="Q94" s="269" t="n">
        <x:v>0.5833333333333334</x:v>
      </x:c>
      <x:c r="R94" s="269" t="n">
        <x:v>0.1875</x:v>
      </x:c>
    </x:row>
    <x:row r="95">
      <x:c r="A95" s="167" t="str">
        <x:v>Diffusion</x:v>
      </x:c>
      <x:c r="B95" s="167" t="str">
        <x:v>empirical</x:v>
      </x:c>
      <x:c r="C95" s="167" t="str">
        <x:v>linf</x:v>
      </x:c>
      <x:c r="D95" s="167" t="str">
        <x:v>m3</x:v>
      </x:c>
      <x:c r="E95" s="167" t="str">
        <x:v>S=6D</x:v>
      </x:c>
      <x:c r="F95" s="167" t="str">
        <x:v>posterior_mmd</x:v>
      </x:c>
      <x:c r="G95" s="167" t="str">
        <x:v>ESS-filtered raw NPE-MCMC interval [0, q95]</x:v>
      </x:c>
      <x:c r="H95" s="168" t="n">
        <x:v>0</x:v>
      </x:c>
      <x:c r="I95" s="168" t="n">
        <x:v>0.2545244227389356</x:v>
      </x:c>
      <x:c r="J95" s="169" t="n">
        <x:v>7</x:v>
      </x:c>
      <x:c r="K95" s="169" t="n">
        <x:v>1</x:v>
      </x:c>
      <x:c r="L95" s="169" t="n">
        <x:v>9</x:v>
      </x:c>
      <x:c r="M95" s="169" t="n">
        <x:v>0</x:v>
      </x:c>
      <x:c r="N95" s="169" t="n">
        <x:v>17</x:v>
      </x:c>
      <x:c r="O95" s="269" t="n">
        <x:v>0.5625</x:v>
      </x:c>
      <x:c r="P95" s="269" t="n">
        <x:v>1</x:v>
      </x:c>
      <x:c r="Q95" s="269" t="n">
        <x:v>0.5833333333333334</x:v>
      </x:c>
      <x:c r="R95" s="269" t="n">
        <x:v>0.25</x:v>
      </x:c>
    </x:row>
    <x:row r="96">
      <x:c r="A96" s="167" t="str">
        <x:v>Diffusion</x:v>
      </x:c>
      <x:c r="B96" s="167" t="str">
        <x:v>empirical</x:v>
      </x:c>
      <x:c r="C96" s="167" t="str">
        <x:v>density</x:v>
      </x:c>
      <x:c r="D96" s="167" t="str">
        <x:v>m3</x:v>
      </x:c>
      <x:c r="E96" s="167" t="str">
        <x:v>S=6D</x:v>
      </x:c>
      <x:c r="F96" s="167" t="str">
        <x:v>posterior_mmd</x:v>
      </x:c>
      <x:c r="G96" s="167" t="str">
        <x:v>ESS-filtered raw NPE-MCMC interval [0, q95]</x:v>
      </x:c>
      <x:c r="H96" s="168" t="n">
        <x:v>0</x:v>
      </x:c>
      <x:c r="I96" s="168" t="n">
        <x:v>0.2545244227389356</x:v>
      </x:c>
      <x:c r="J96" s="169" t="n">
        <x:v>11</x:v>
      </x:c>
      <x:c r="K96" s="169" t="n">
        <x:v>1</x:v>
      </x:c>
      <x:c r="L96" s="169" t="n">
        <x:v>5</x:v>
      </x:c>
      <x:c r="M96" s="169" t="n">
        <x:v>0</x:v>
      </x:c>
      <x:c r="N96" s="169" t="n">
        <x:v>17</x:v>
      </x:c>
      <x:c r="O96" s="219" t="n">
        <x:v>0.3125</x:v>
      </x:c>
      <x:c r="P96" s="269" t="n">
        <x:v>1</x:v>
      </x:c>
      <x:c r="Q96" s="219" t="n">
        <x:v>0.7857142857142857</x:v>
      </x:c>
      <x:c r="R96" s="219" t="n">
        <x:v>0.5625</x:v>
      </x:c>
    </x:row>
    <x:row r="97">
      <x:c r="A97" s="167" t="str">
        <x:v>Diffusion</x:v>
      </x:c>
      <x:c r="B97" s="167" t="str">
        <x:v>empirical</x:v>
      </x:c>
      <x:c r="C97" s="167" t="str">
        <x:v>mmd</x:v>
      </x:c>
      <x:c r="D97" s="167" t="str">
        <x:v>m3</x:v>
      </x:c>
      <x:c r="E97" s="167" t="str">
        <x:v>S=6D</x:v>
      </x:c>
      <x:c r="F97" s="167" t="str">
        <x:v>posterior_mmd</x:v>
      </x:c>
      <x:c r="G97" s="167" t="str">
        <x:v>ESS-filtered raw NPE-MCMC interval [0, q95]</x:v>
      </x:c>
      <x:c r="H97" s="168" t="n">
        <x:v>0</x:v>
      </x:c>
      <x:c r="I97" s="168" t="n">
        <x:v>0.2545244227389356</x:v>
      </x:c>
      <x:c r="J97" s="169" t="n">
        <x:v>5</x:v>
      </x:c>
      <x:c r="K97" s="169" t="n">
        <x:v>0</x:v>
      </x:c>
      <x:c r="L97" s="169" t="n">
        <x:v>11</x:v>
      </x:c>
      <x:c r="M97" s="169" t="n">
        <x:v>1</x:v>
      </x:c>
      <x:c r="N97" s="169" t="n">
        <x:v>17</x:v>
      </x:c>
      <x:c r="O97" s="269" t="n">
        <x:v>0.6875</x:v>
      </x:c>
      <x:c r="P97" s="219" t="n">
        <x:v>0</x:v>
      </x:c>
      <x:c r="Q97" s="269" t="n">
        <x:v>0.47619047619047616</x:v>
      </x:c>
      <x:c r="R97" s="269" t="n">
        <x:v>0.4375</x:v>
      </x:c>
    </x:row>
    <x:row r="98">
      <x:c r="A98" s="167" t="str">
        <x:v>Diffusion</x:v>
      </x:c>
      <x:c r="B98" s="167" t="str">
        <x:v>simulated</x:v>
      </x:c>
      <x:c r="C98" s="167" t="str">
        <x:v>l2</x:v>
      </x:c>
      <x:c r="D98" s="167" t="str">
        <x:v>m1</x:v>
      </x:c>
      <x:c r="E98" s="167" t="str">
        <x:v>S=D</x:v>
      </x:c>
      <x:c r="F98" s="167" t="str">
        <x:v>log10_ml_error</x:v>
      </x:c>
      <x:c r="G98" s="167" t="str">
        <x:v>ESS-filtered raw NPE-MCMC central 90% interval [q5, q95]</x:v>
      </x:c>
      <x:c r="H98" s="168" t="n">
        <x:v>-0.008423959577185865</x:v>
      </x:c>
      <x:c r="I98" s="168" t="n">
        <x:v>0.016820901663210173</x:v>
      </x:c>
      <x:c r="J98" s="169" t="n">
        <x:v>36</x:v>
      </x:c>
      <x:c r="K98" s="169" t="n">
        <x:v>8</x:v>
      </x:c>
      <x:c r="L98" s="169" t="n">
        <x:v>26</x:v>
      </x:c>
      <x:c r="M98" s="169" t="n">
        <x:v>49</x:v>
      </x:c>
      <x:c r="N98" s="169" t="n">
        <x:v>119</x:v>
      </x:c>
      <x:c r="O98" s="269" t="n">
        <x:v>0.41935483870967744</x:v>
      </x:c>
      <x:c r="P98" s="269" t="n">
        <x:v>0.14035087719298245</x:v>
      </x:c>
      <x:c r="Q98" s="269" t="n">
        <x:v>0.6792452830188679</x:v>
      </x:c>
      <x:c r="R98" s="219" t="n">
        <x:v>0.8259762308998303</x:v>
      </x:c>
    </x:row>
    <x:row r="99">
      <x:c r="A99" s="167" t="str">
        <x:v>Diffusion</x:v>
      </x:c>
      <x:c r="B99" s="167" t="str">
        <x:v>simulated</x:v>
      </x:c>
      <x:c r="C99" s="167" t="str">
        <x:v>linf</x:v>
      </x:c>
      <x:c r="D99" s="167" t="str">
        <x:v>m1</x:v>
      </x:c>
      <x:c r="E99" s="167" t="str">
        <x:v>S=D</x:v>
      </x:c>
      <x:c r="F99" s="167" t="str">
        <x:v>log10_ml_error</x:v>
      </x:c>
      <x:c r="G99" s="167" t="str">
        <x:v>ESS-filtered raw NPE-MCMC central 90% interval [q5, q95]</x:v>
      </x:c>
      <x:c r="H99" s="168" t="n">
        <x:v>-0.008423959577185865</x:v>
      </x:c>
      <x:c r="I99" s="168" t="n">
        <x:v>0.016820901663210173</x:v>
      </x:c>
      <x:c r="J99" s="169" t="n">
        <x:v>35</x:v>
      </x:c>
      <x:c r="K99" s="169" t="n">
        <x:v>8</x:v>
      </x:c>
      <x:c r="L99" s="169" t="n">
        <x:v>27</x:v>
      </x:c>
      <x:c r="M99" s="169" t="n">
        <x:v>49</x:v>
      </x:c>
      <x:c r="N99" s="169" t="n">
        <x:v>119</x:v>
      </x:c>
      <x:c r="O99" s="269" t="n">
        <x:v>0.43548387096774194</x:v>
      </x:c>
      <x:c r="P99" s="269" t="n">
        <x:v>0.14035087719298245</x:v>
      </x:c>
      <x:c r="Q99" s="269" t="n">
        <x:v>0.6666666666666666</x:v>
      </x:c>
      <x:c r="R99" s="269" t="n">
        <x:v>0.808715336728919</x:v>
      </x:c>
    </x:row>
    <x:row r="100">
      <x:c r="A100" s="167" t="str">
        <x:v>Diffusion</x:v>
      </x:c>
      <x:c r="B100" s="167" t="str">
        <x:v>simulated</x:v>
      </x:c>
      <x:c r="C100" s="167" t="str">
        <x:v>density</x:v>
      </x:c>
      <x:c r="D100" s="167" t="str">
        <x:v>m1</x:v>
      </x:c>
      <x:c r="E100" s="167" t="str">
        <x:v>S=D</x:v>
      </x:c>
      <x:c r="F100" s="167" t="str">
        <x:v>log10_ml_error</x:v>
      </x:c>
      <x:c r="G100" s="167" t="str">
        <x:v>ESS-filtered raw NPE-MCMC central 90% interval [q5, q95]</x:v>
      </x:c>
      <x:c r="H100" s="168" t="n">
        <x:v>-0.008423959577185865</x:v>
      </x:c>
      <x:c r="I100" s="168" t="n">
        <x:v>0.016820901663210173</x:v>
      </x:c>
      <x:c r="J100" s="169" t="n">
        <x:v>47</x:v>
      </x:c>
      <x:c r="K100" s="169" t="n">
        <x:v>12</x:v>
      </x:c>
      <x:c r="L100" s="169" t="n">
        <x:v>15</x:v>
      </x:c>
      <x:c r="M100" s="169" t="n">
        <x:v>45</x:v>
      </x:c>
      <x:c r="N100" s="169" t="n">
        <x:v>119</x:v>
      </x:c>
      <x:c r="O100" s="219" t="n">
        <x:v>0.24193548387096775</x:v>
      </x:c>
      <x:c r="P100" s="269" t="n">
        <x:v>0.21052631578947367</x:v>
      </x:c>
      <x:c r="Q100" s="219" t="n">
        <x:v>0.7768595041322314</x:v>
      </x:c>
      <x:c r="R100" s="269" t="n">
        <x:v>0.8180531975099038</x:v>
      </x:c>
    </x:row>
    <x:row r="101">
      <x:c r="A101" s="167" t="str">
        <x:v>Diffusion</x:v>
      </x:c>
      <x:c r="B101" s="167" t="str">
        <x:v>simulated</x:v>
      </x:c>
      <x:c r="C101" s="167" t="str">
        <x:v>mmd</x:v>
      </x:c>
      <x:c r="D101" s="167" t="str">
        <x:v>m1</x:v>
      </x:c>
      <x:c r="E101" s="167" t="str">
        <x:v>S=D</x:v>
      </x:c>
      <x:c r="F101" s="167" t="str">
        <x:v>log10_ml_error</x:v>
      </x:c>
      <x:c r="G101" s="167" t="str">
        <x:v>ESS-filtered raw NPE-MCMC central 90% interval [q5, q95]</x:v>
      </x:c>
      <x:c r="H101" s="168" t="n">
        <x:v>-0.008423959577185865</x:v>
      </x:c>
      <x:c r="I101" s="168" t="n">
        <x:v>0.016820901663210173</x:v>
      </x:c>
      <x:c r="J101" s="169" t="n">
        <x:v>19</x:v>
      </x:c>
      <x:c r="K101" s="169" t="n">
        <x:v>3</x:v>
      </x:c>
      <x:c r="L101" s="169" t="n">
        <x:v>43</x:v>
      </x:c>
      <x:c r="M101" s="169" t="n">
        <x:v>54</x:v>
      </x:c>
      <x:c r="N101" s="169" t="n">
        <x:v>119</x:v>
      </x:c>
      <x:c r="O101" s="269" t="n">
        <x:v>0.6935483870967742</x:v>
      </x:c>
      <x:c r="P101" s="219" t="n">
        <x:v>0.05263157894736842</x:v>
      </x:c>
      <x:c r="Q101" s="269" t="n">
        <x:v>0.4523809523809524</x:v>
      </x:c>
      <x:c r="R101" s="269" t="n">
        <x:v>0.7883418222976797</x:v>
      </x:c>
    </x:row>
    <x:row r="102">
      <x:c r="A102" s="167" t="str">
        <x:v>Diffusion</x:v>
      </x:c>
      <x:c r="B102" s="167" t="str">
        <x:v>simulated</x:v>
      </x:c>
      <x:c r="C102" s="167" t="str">
        <x:v>l2</x:v>
      </x:c>
      <x:c r="D102" s="167" t="str">
        <x:v>m1</x:v>
      </x:c>
      <x:c r="E102" s="167" t="str">
        <x:v>S=2D</x:v>
      </x:c>
      <x:c r="F102" s="167" t="str">
        <x:v>log10_ml_error</x:v>
      </x:c>
      <x:c r="G102" s="167" t="str">
        <x:v>ESS-filtered raw NPE-MCMC central 90% interval [q5, q95]</x:v>
      </x:c>
      <x:c r="H102" s="168" t="n">
        <x:v>-0.011684912336838</x:v>
      </x:c>
      <x:c r="I102" s="168" t="n">
        <x:v>0.01596084313129805</x:v>
      </x:c>
      <x:c r="J102" s="169" t="n">
        <x:v>32</x:v>
      </x:c>
      <x:c r="K102" s="169" t="n">
        <x:v>16</x:v>
      </x:c>
      <x:c r="L102" s="169" t="n">
        <x:v>11</x:v>
      </x:c>
      <x:c r="M102" s="169" t="n">
        <x:v>60</x:v>
      </x:c>
      <x:c r="N102" s="169" t="n">
        <x:v>119</x:v>
      </x:c>
      <x:c r="O102" s="269" t="n">
        <x:v>0.2558139534883721</x:v>
      </x:c>
      <x:c r="P102" s="269" t="n">
        <x:v>0.21052631578947367</x:v>
      </x:c>
      <x:c r="Q102" s="219" t="n">
        <x:v>0.7032967032967034</x:v>
      </x:c>
      <x:c r="R102" s="219" t="n">
        <x:v>0.8638310893512852</x:v>
      </x:c>
    </x:row>
    <x:row r="103">
      <x:c r="A103" s="167" t="str">
        <x:v>Diffusion</x:v>
      </x:c>
      <x:c r="B103" s="167" t="str">
        <x:v>simulated</x:v>
      </x:c>
      <x:c r="C103" s="167" t="str">
        <x:v>linf</x:v>
      </x:c>
      <x:c r="D103" s="167" t="str">
        <x:v>m1</x:v>
      </x:c>
      <x:c r="E103" s="167" t="str">
        <x:v>S=2D</x:v>
      </x:c>
      <x:c r="F103" s="167" t="str">
        <x:v>log10_ml_error</x:v>
      </x:c>
      <x:c r="G103" s="167" t="str">
        <x:v>ESS-filtered raw NPE-MCMC central 90% interval [q5, q95]</x:v>
      </x:c>
      <x:c r="H103" s="168" t="n">
        <x:v>-0.011684912336838</x:v>
      </x:c>
      <x:c r="I103" s="168" t="n">
        <x:v>0.01596084313129805</x:v>
      </x:c>
      <x:c r="J103" s="169" t="n">
        <x:v>32</x:v>
      </x:c>
      <x:c r="K103" s="169" t="n">
        <x:v>17</x:v>
      </x:c>
      <x:c r="L103" s="169" t="n">
        <x:v>11</x:v>
      </x:c>
      <x:c r="M103" s="169" t="n">
        <x:v>59</x:v>
      </x:c>
      <x:c r="N103" s="169" t="n">
        <x:v>119</x:v>
      </x:c>
      <x:c r="O103" s="269" t="n">
        <x:v>0.2558139534883721</x:v>
      </x:c>
      <x:c r="P103" s="269" t="n">
        <x:v>0.2236842105263158</x:v>
      </x:c>
      <x:c r="Q103" s="269" t="n">
        <x:v>0.6956521739130435</x:v>
      </x:c>
      <x:c r="R103" s="269" t="n">
        <x:v>0.8653610771113831</x:v>
      </x:c>
    </x:row>
    <x:row r="104">
      <x:c r="A104" s="167" t="str">
        <x:v>Diffusion</x:v>
      </x:c>
      <x:c r="B104" s="167" t="str">
        <x:v>simulated</x:v>
      </x:c>
      <x:c r="C104" s="167" t="str">
        <x:v>density</x:v>
      </x:c>
      <x:c r="D104" s="167" t="str">
        <x:v>m1</x:v>
      </x:c>
      <x:c r="E104" s="167" t="str">
        <x:v>S=2D</x:v>
      </x:c>
      <x:c r="F104" s="167" t="str">
        <x:v>log10_ml_error</x:v>
      </x:c>
      <x:c r="G104" s="167" t="str">
        <x:v>ESS-filtered raw NPE-MCMC central 90% interval [q5, q95]</x:v>
      </x:c>
      <x:c r="H104" s="168" t="n">
        <x:v>-0.011684912336838</x:v>
      </x:c>
      <x:c r="I104" s="168" t="n">
        <x:v>0.01596084313129805</x:v>
      </x:c>
      <x:c r="J104" s="169" t="n">
        <x:v>40</x:v>
      </x:c>
      <x:c r="K104" s="169" t="n">
        <x:v>39</x:v>
      </x:c>
      <x:c r="L104" s="169" t="n">
        <x:v>3</x:v>
      </x:c>
      <x:c r="M104" s="169" t="n">
        <x:v>37</x:v>
      </x:c>
      <x:c r="N104" s="169" t="n">
        <x:v>119</x:v>
      </x:c>
      <x:c r="O104" s="219" t="n">
        <x:v>0.06976744186046512</x:v>
      </x:c>
      <x:c r="P104" s="269" t="n">
        <x:v>0.5131578947368421</x:v>
      </x:c>
      <x:c r="Q104" s="269" t="n">
        <x:v>0.6557377049180327</x:v>
      </x:c>
      <x:c r="R104" s="269" t="n">
        <x:v>0.8424112607099143</x:v>
      </x:c>
    </x:row>
    <x:row r="105">
      <x:c r="A105" s="167" t="str">
        <x:v>Diffusion</x:v>
      </x:c>
      <x:c r="B105" s="167" t="str">
        <x:v>simulated</x:v>
      </x:c>
      <x:c r="C105" s="167" t="str">
        <x:v>mmd</x:v>
      </x:c>
      <x:c r="D105" s="167" t="str">
        <x:v>m1</x:v>
      </x:c>
      <x:c r="E105" s="167" t="str">
        <x:v>S=2D</x:v>
      </x:c>
      <x:c r="F105" s="167" t="str">
        <x:v>log10_ml_error</x:v>
      </x:c>
      <x:c r="G105" s="167" t="str">
        <x:v>ESS-filtered raw NPE-MCMC central 90% interval [q5, q95]</x:v>
      </x:c>
      <x:c r="H105" s="168" t="n">
        <x:v>-0.011684912336838</x:v>
      </x:c>
      <x:c r="I105" s="168" t="n">
        <x:v>0.01596084313129805</x:v>
      </x:c>
      <x:c r="J105" s="169" t="n">
        <x:v>28</x:v>
      </x:c>
      <x:c r="K105" s="169" t="n">
        <x:v>9</x:v>
      </x:c>
      <x:c r="L105" s="169" t="n">
        <x:v>15</x:v>
      </x:c>
      <x:c r="M105" s="169" t="n">
        <x:v>67</x:v>
      </x:c>
      <x:c r="N105" s="169" t="n">
        <x:v>119</x:v>
      </x:c>
      <x:c r="O105" s="269" t="n">
        <x:v>0.3488372093023256</x:v>
      </x:c>
      <x:c r="P105" s="219" t="n">
        <x:v>0.11842105263157894</x:v>
      </x:c>
      <x:c r="Q105" s="269" t="n">
        <x:v>0.7</x:v>
      </x:c>
      <x:c r="R105" s="269" t="n">
        <x:v>0.8424112607099143</x:v>
      </x:c>
    </x:row>
    <x:row r="106">
      <x:c r="A106" s="167" t="str">
        <x:v>Diffusion</x:v>
      </x:c>
      <x:c r="B106" s="167" t="str">
        <x:v>simulated</x:v>
      </x:c>
      <x:c r="C106" s="167" t="str">
        <x:v>l2</x:v>
      </x:c>
      <x:c r="D106" s="167" t="str">
        <x:v>m1</x:v>
      </x:c>
      <x:c r="E106" s="167" t="str">
        <x:v>S=4D</x:v>
      </x:c>
      <x:c r="F106" s="167" t="str">
        <x:v>log10_ml_error</x:v>
      </x:c>
      <x:c r="G106" s="167" t="str">
        <x:v>ESS-filtered raw NPE-MCMC central 90% interval [q5, q95]</x:v>
      </x:c>
      <x:c r="H106" s="168" t="n">
        <x:v>-0.010797630787211169</x:v>
      </x:c>
      <x:c r="I106" s="168" t="n">
        <x:v>0.019351309234290834</x:v>
      </x:c>
      <x:c r="J106" s="169" t="n">
        <x:v>45</x:v>
      </x:c>
      <x:c r="K106" s="169" t="n">
        <x:v>20</x:v>
      </x:c>
      <x:c r="L106" s="169" t="n">
        <x:v>8</x:v>
      </x:c>
      <x:c r="M106" s="169" t="n">
        <x:v>46</x:v>
      </x:c>
      <x:c r="N106" s="169" t="n">
        <x:v>119</x:v>
      </x:c>
      <x:c r="O106" s="219" t="n">
        <x:v>0.1509433962264151</x:v>
      </x:c>
      <x:c r="P106" s="269" t="n">
        <x:v>0.30303030303030304</x:v>
      </x:c>
      <x:c r="Q106" s="269" t="n">
        <x:v>0.7627118644067796</x:v>
      </x:c>
      <x:c r="R106" s="269" t="n">
        <x:v>0.8576329331046313</x:v>
      </x:c>
    </x:row>
    <x:row r="107">
      <x:c r="A107" s="167" t="str">
        <x:v>Diffusion</x:v>
      </x:c>
      <x:c r="B107" s="167" t="str">
        <x:v>simulated</x:v>
      </x:c>
      <x:c r="C107" s="167" t="str">
        <x:v>linf</x:v>
      </x:c>
      <x:c r="D107" s="167" t="str">
        <x:v>m1</x:v>
      </x:c>
      <x:c r="E107" s="167" t="str">
        <x:v>S=4D</x:v>
      </x:c>
      <x:c r="F107" s="167" t="str">
        <x:v>log10_ml_error</x:v>
      </x:c>
      <x:c r="G107" s="167" t="str">
        <x:v>ESS-filtered raw NPE-MCMC central 90% interval [q5, q95]</x:v>
      </x:c>
      <x:c r="H107" s="168" t="n">
        <x:v>-0.010797630787211169</x:v>
      </x:c>
      <x:c r="I107" s="168" t="n">
        <x:v>0.019351309234290834</x:v>
      </x:c>
      <x:c r="J107" s="169" t="n">
        <x:v>41</x:v>
      </x:c>
      <x:c r="K107" s="169" t="n">
        <x:v>20</x:v>
      </x:c>
      <x:c r="L107" s="169" t="n">
        <x:v>12</x:v>
      </x:c>
      <x:c r="M107" s="169" t="n">
        <x:v>46</x:v>
      </x:c>
      <x:c r="N107" s="169" t="n">
        <x:v>119</x:v>
      </x:c>
      <x:c r="O107" s="269" t="n">
        <x:v>0.22641509433962265</x:v>
      </x:c>
      <x:c r="P107" s="269" t="n">
        <x:v>0.30303030303030304</x:v>
      </x:c>
      <x:c r="Q107" s="269" t="n">
        <x:v>0.7192982456140351</x:v>
      </x:c>
      <x:c r="R107" s="269" t="n">
        <x:v>0.8273299028016009</x:v>
      </x:c>
    </x:row>
    <x:row r="108">
      <x:c r="A108" s="167" t="str">
        <x:v>Diffusion</x:v>
      </x:c>
      <x:c r="B108" s="167" t="str">
        <x:v>simulated</x:v>
      </x:c>
      <x:c r="C108" s="167" t="str">
        <x:v>density</x:v>
      </x:c>
      <x:c r="D108" s="167" t="str">
        <x:v>m1</x:v>
      </x:c>
      <x:c r="E108" s="167" t="str">
        <x:v>S=4D</x:v>
      </x:c>
      <x:c r="F108" s="167" t="str">
        <x:v>log10_ml_error</x:v>
      </x:c>
      <x:c r="G108" s="167" t="str">
        <x:v>ESS-filtered raw NPE-MCMC central 90% interval [q5, q95]</x:v>
      </x:c>
      <x:c r="H108" s="168" t="n">
        <x:v>-0.010797630787211169</x:v>
      </x:c>
      <x:c r="I108" s="168" t="n">
        <x:v>0.019351309234290834</x:v>
      </x:c>
      <x:c r="J108" s="169" t="n">
        <x:v>50</x:v>
      </x:c>
      <x:c r="K108" s="169" t="n">
        <x:v>30</x:v>
      </x:c>
      <x:c r="L108" s="169" t="n">
        <x:v>3</x:v>
      </x:c>
      <x:c r="M108" s="169" t="n">
        <x:v>36</x:v>
      </x:c>
      <x:c r="N108" s="169" t="n">
        <x:v>119</x:v>
      </x:c>
      <x:c r="O108" s="219" t="n">
        <x:v>0.05660377358490566</x:v>
      </x:c>
      <x:c r="P108" s="269" t="n">
        <x:v>0.45454545454545453</x:v>
      </x:c>
      <x:c r="Q108" s="269" t="n">
        <x:v>0.7518796992481203</x:v>
      </x:c>
      <x:c r="R108" s="269" t="n">
        <x:v>0.8121783876500859</x:v>
      </x:c>
    </x:row>
    <x:row r="109">
      <x:c r="A109" s="167" t="str">
        <x:v>Diffusion</x:v>
      </x:c>
      <x:c r="B109" s="167" t="str">
        <x:v>simulated</x:v>
      </x:c>
      <x:c r="C109" s="167" t="str">
        <x:v>mmd</x:v>
      </x:c>
      <x:c r="D109" s="167" t="str">
        <x:v>m1</x:v>
      </x:c>
      <x:c r="E109" s="167" t="str">
        <x:v>S=4D</x:v>
      </x:c>
      <x:c r="F109" s="167" t="str">
        <x:v>log10_ml_error</x:v>
      </x:c>
      <x:c r="G109" s="167" t="str">
        <x:v>ESS-filtered raw NPE-MCMC central 90% interval [q5, q95]</x:v>
      </x:c>
      <x:c r="H109" s="168" t="n">
        <x:v>-0.010797630787211169</x:v>
      </x:c>
      <x:c r="I109" s="168" t="n">
        <x:v>0.019351309234290834</x:v>
      </x:c>
      <x:c r="J109" s="169" t="n">
        <x:v>21</x:v>
      </x:c>
      <x:c r="K109" s="169" t="n">
        <x:v>5</x:v>
      </x:c>
      <x:c r="L109" s="169" t="n">
        <x:v>32</x:v>
      </x:c>
      <x:c r="M109" s="169" t="n">
        <x:v>61</x:v>
      </x:c>
      <x:c r="N109" s="169" t="n">
        <x:v>119</x:v>
      </x:c>
      <x:c r="O109" s="269" t="n">
        <x:v>0.6037735849056604</x:v>
      </x:c>
      <x:c r="P109" s="219" t="n">
        <x:v>0.07575757575757576</x:v>
      </x:c>
      <x:c r="Q109" s="219" t="n">
        <x:v>0.5316455696202531</x:v>
      </x:c>
      <x:c r="R109" s="219" t="n">
        <x:v>0.7910234419668382</x:v>
      </x:c>
    </x:row>
    <x:row r="110">
      <x:c r="A110" s="167" t="str">
        <x:v>Diffusion</x:v>
      </x:c>
      <x:c r="B110" s="167" t="str">
        <x:v>simulated</x:v>
      </x:c>
      <x:c r="C110" s="167" t="str">
        <x:v>l2</x:v>
      </x:c>
      <x:c r="D110" s="167" t="str">
        <x:v>m1</x:v>
      </x:c>
      <x:c r="E110" s="167" t="str">
        <x:v>S=6D</x:v>
      </x:c>
      <x:c r="F110" s="167" t="str">
        <x:v>log10_ml_error</x:v>
      </x:c>
      <x:c r="G110" s="167" t="str">
        <x:v>ESS-filtered raw NPE-MCMC central 90% interval [q5, q95]</x:v>
      </x:c>
      <x:c r="H110" s="168" t="n">
        <x:v>-0.02093675823663263</x:v>
      </x:c>
      <x:c r="I110" s="168" t="n">
        <x:v>0.019134040600096176</x:v>
      </x:c>
      <x:c r="J110" s="169" t="n">
        <x:v>43</x:v>
      </x:c>
      <x:c r="K110" s="169" t="n">
        <x:v>19</x:v>
      </x:c>
      <x:c r="L110" s="169" t="n">
        <x:v>3</x:v>
      </x:c>
      <x:c r="M110" s="169" t="n">
        <x:v>54</x:v>
      </x:c>
      <x:c r="N110" s="169" t="n">
        <x:v>119</x:v>
      </x:c>
      <x:c r="O110" s="219" t="n">
        <x:v>0.06521739130434782</x:v>
      </x:c>
      <x:c r="P110" s="269" t="n">
        <x:v>0.2602739726027397</x:v>
      </x:c>
      <x:c r="Q110" s="219" t="n">
        <x:v>0.7962962962962963</x:v>
      </x:c>
      <x:c r="R110" s="269" t="n">
        <x:v>0.9187016081000596</x:v>
      </x:c>
    </x:row>
    <x:row r="111">
      <x:c r="A111" s="167" t="str">
        <x:v>Diffusion</x:v>
      </x:c>
      <x:c r="B111" s="167" t="str">
        <x:v>simulated</x:v>
      </x:c>
      <x:c r="C111" s="167" t="str">
        <x:v>linf</x:v>
      </x:c>
      <x:c r="D111" s="167" t="str">
        <x:v>m1</x:v>
      </x:c>
      <x:c r="E111" s="167" t="str">
        <x:v>S=6D</x:v>
      </x:c>
      <x:c r="F111" s="167" t="str">
        <x:v>log10_ml_error</x:v>
      </x:c>
      <x:c r="G111" s="167" t="str">
        <x:v>ESS-filtered raw NPE-MCMC central 90% interval [q5, q95]</x:v>
      </x:c>
      <x:c r="H111" s="168" t="n">
        <x:v>-0.02093675823663263</x:v>
      </x:c>
      <x:c r="I111" s="168" t="n">
        <x:v>0.019134040600096176</x:v>
      </x:c>
      <x:c r="J111" s="169" t="n">
        <x:v>41</x:v>
      </x:c>
      <x:c r="K111" s="169" t="n">
        <x:v>21</x:v>
      </x:c>
      <x:c r="L111" s="169" t="n">
        <x:v>5</x:v>
      </x:c>
      <x:c r="M111" s="169" t="n">
        <x:v>52</x:v>
      </x:c>
      <x:c r="N111" s="169" t="n">
        <x:v>119</x:v>
      </x:c>
      <x:c r="O111" s="219" t="n">
        <x:v>0.10869565217391304</x:v>
      </x:c>
      <x:c r="P111" s="269" t="n">
        <x:v>0.2876712328767123</x:v>
      </x:c>
      <x:c r="Q111" s="219" t="n">
        <x:v>0.7592592592592593</x:v>
      </x:c>
      <x:c r="R111" s="219" t="n">
        <x:v>0.9187016081000595</x:v>
      </x:c>
    </x:row>
    <x:row r="112">
      <x:c r="A112" s="167" t="str">
        <x:v>Diffusion</x:v>
      </x:c>
      <x:c r="B112" s="167" t="str">
        <x:v>simulated</x:v>
      </x:c>
      <x:c r="C112" s="167" t="str">
        <x:v>density</x:v>
      </x:c>
      <x:c r="D112" s="167" t="str">
        <x:v>m1</x:v>
      </x:c>
      <x:c r="E112" s="167" t="str">
        <x:v>S=6D</x:v>
      </x:c>
      <x:c r="F112" s="167" t="str">
        <x:v>log10_ml_error</x:v>
      </x:c>
      <x:c r="G112" s="167" t="str">
        <x:v>ESS-filtered raw NPE-MCMC central 90% interval [q5, q95]</x:v>
      </x:c>
      <x:c r="H112" s="168" t="n">
        <x:v>-0.02093675823663263</x:v>
      </x:c>
      <x:c r="I112" s="168" t="n">
        <x:v>0.019134040600096176</x:v>
      </x:c>
      <x:c r="J112" s="169" t="n">
        <x:v>46</x:v>
      </x:c>
      <x:c r="K112" s="169" t="n">
        <x:v>35</x:v>
      </x:c>
      <x:c r="L112" s="169" t="n">
        <x:v>0</x:v>
      </x:c>
      <x:c r="M112" s="169" t="n">
        <x:v>38</x:v>
      </x:c>
      <x:c r="N112" s="169" t="n">
        <x:v>119</x:v>
      </x:c>
      <x:c r="O112" s="219" t="n">
        <x:v>0</x:v>
      </x:c>
      <x:c r="P112" s="269" t="n">
        <x:v>0.4794520547945205</x:v>
      </x:c>
      <x:c r="Q112" s="269" t="n">
        <x:v>0.7244094488188977</x:v>
      </x:c>
      <x:c r="R112" s="269" t="n">
        <x:v>0.870160810005956</x:v>
      </x:c>
    </x:row>
    <x:row r="113">
      <x:c r="A113" s="167" t="str">
        <x:v>Diffusion</x:v>
      </x:c>
      <x:c r="B113" s="167" t="str">
        <x:v>simulated</x:v>
      </x:c>
      <x:c r="C113" s="167" t="str">
        <x:v>mmd</x:v>
      </x:c>
      <x:c r="D113" s="167" t="str">
        <x:v>m1</x:v>
      </x:c>
      <x:c r="E113" s="167" t="str">
        <x:v>S=6D</x:v>
      </x:c>
      <x:c r="F113" s="167" t="str">
        <x:v>log10_ml_error</x:v>
      </x:c>
      <x:c r="G113" s="167" t="str">
        <x:v>ESS-filtered raw NPE-MCMC central 90% interval [q5, q95]</x:v>
      </x:c>
      <x:c r="H113" s="168" t="n">
        <x:v>-0.02093675823663263</x:v>
      </x:c>
      <x:c r="I113" s="168" t="n">
        <x:v>0.019134040600096176</x:v>
      </x:c>
      <x:c r="J113" s="169" t="n">
        <x:v>30</x:v>
      </x:c>
      <x:c r="K113" s="169" t="n">
        <x:v>5</x:v>
      </x:c>
      <x:c r="L113" s="169" t="n">
        <x:v>16</x:v>
      </x:c>
      <x:c r="M113" s="169" t="n">
        <x:v>68</x:v>
      </x:c>
      <x:c r="N113" s="169" t="n">
        <x:v>119</x:v>
      </x:c>
      <x:c r="O113" s="269" t="n">
        <x:v>0.34782608695652173</x:v>
      </x:c>
      <x:c r="P113" s="219" t="n">
        <x:v>0.0684931506849315</x:v>
      </x:c>
      <x:c r="Q113" s="269" t="n">
        <x:v>0.7407407407407407</x:v>
      </x:c>
      <x:c r="R113" s="269" t="n">
        <x:v>0.8546754020250149</x:v>
      </x:c>
    </x:row>
    <x:row r="114">
      <x:c r="A114" s="167" t="str">
        <x:v>Diffusion</x:v>
      </x:c>
      <x:c r="B114" s="167" t="str">
        <x:v>simulated</x:v>
      </x:c>
      <x:c r="C114" s="167" t="str">
        <x:v>l2</x:v>
      </x:c>
      <x:c r="D114" s="167" t="str">
        <x:v>m3</x:v>
      </x:c>
      <x:c r="E114" s="167" t="str">
        <x:v>S=D</x:v>
      </x:c>
      <x:c r="F114" s="167" t="str">
        <x:v>log10_ml_error</x:v>
      </x:c>
      <x:c r="G114" s="167" t="str">
        <x:v>ESS-filtered raw NPE-MCMC central 90% interval [q5, q95]</x:v>
      </x:c>
      <x:c r="H114" s="168" t="n">
        <x:v>-0.08454716484473893</x:v>
      </x:c>
      <x:c r="I114" s="168" t="n">
        <x:v>0.010131719488446338</x:v>
      </x:c>
      <x:c r="J114" s="169" t="n">
        <x:v>31</x:v>
      </x:c>
      <x:c r="K114" s="169" t="n">
        <x:v>11</x:v>
      </x:c>
      <x:c r="L114" s="169" t="n">
        <x:v>29</x:v>
      </x:c>
      <x:c r="M114" s="169" t="n">
        <x:v>48</x:v>
      </x:c>
      <x:c r="N114" s="169" t="n">
        <x:v>119</x:v>
      </x:c>
      <x:c r="O114" s="219" t="n">
        <x:v>0.48333333333333334</x:v>
      </x:c>
      <x:c r="P114" s="269" t="n">
        <x:v>0.1864406779661017</x:v>
      </x:c>
      <x:c r="Q114" s="219" t="n">
        <x:v>0.6078431372549019</x:v>
      </x:c>
      <x:c r="R114" s="269" t="n">
        <x:v>0.719774011299435</x:v>
      </x:c>
    </x:row>
    <x:row r="115">
      <x:c r="A115" s="167" t="str">
        <x:v>Diffusion</x:v>
      </x:c>
      <x:c r="B115" s="167" t="str">
        <x:v>simulated</x:v>
      </x:c>
      <x:c r="C115" s="167" t="str">
        <x:v>linf</x:v>
      </x:c>
      <x:c r="D115" s="167" t="str">
        <x:v>m3</x:v>
      </x:c>
      <x:c r="E115" s="167" t="str">
        <x:v>S=D</x:v>
      </x:c>
      <x:c r="F115" s="167" t="str">
        <x:v>log10_ml_error</x:v>
      </x:c>
      <x:c r="G115" s="167" t="str">
        <x:v>ESS-filtered raw NPE-MCMC central 90% interval [q5, q95]</x:v>
      </x:c>
      <x:c r="H115" s="168" t="n">
        <x:v>-0.08454716484473893</x:v>
      </x:c>
      <x:c r="I115" s="168" t="n">
        <x:v>0.010131719488446338</x:v>
      </x:c>
      <x:c r="J115" s="169" t="n">
        <x:v>30</x:v>
      </x:c>
      <x:c r="K115" s="169" t="n">
        <x:v>9</x:v>
      </x:c>
      <x:c r="L115" s="169" t="n">
        <x:v>30</x:v>
      </x:c>
      <x:c r="M115" s="169" t="n">
        <x:v>50</x:v>
      </x:c>
      <x:c r="N115" s="169" t="n">
        <x:v>119</x:v>
      </x:c>
      <x:c r="O115" s="269" t="n">
        <x:v>0.5</x:v>
      </x:c>
      <x:c r="P115" s="219" t="n">
        <x:v>0.15254237288135594</x:v>
      </x:c>
      <x:c r="Q115" s="269" t="n">
        <x:v>0.6060606060606061</x:v>
      </x:c>
      <x:c r="R115" s="269" t="n">
        <x:v>0.7203389830508473</x:v>
      </x:c>
    </x:row>
    <x:row r="116">
      <x:c r="A116" s="167" t="str">
        <x:v>Diffusion</x:v>
      </x:c>
      <x:c r="B116" s="167" t="str">
        <x:v>simulated</x:v>
      </x:c>
      <x:c r="C116" s="167" t="str">
        <x:v>density</x:v>
      </x:c>
      <x:c r="D116" s="167" t="str">
        <x:v>m3</x:v>
      </x:c>
      <x:c r="E116" s="167" t="str">
        <x:v>S=D</x:v>
      </x:c>
      <x:c r="F116" s="167" t="str">
        <x:v>log10_ml_error</x:v>
      </x:c>
      <x:c r="G116" s="167" t="str">
        <x:v>ESS-filtered raw NPE-MCMC central 90% interval [q5, q95]</x:v>
      </x:c>
      <x:c r="H116" s="168" t="n">
        <x:v>-0.08454716484473893</x:v>
      </x:c>
      <x:c r="I116" s="168" t="n">
        <x:v>0.010131719488446338</x:v>
      </x:c>
      <x:c r="J116" s="169" t="n">
        <x:v>28</x:v>
      </x:c>
      <x:c r="K116" s="169" t="n">
        <x:v>11</x:v>
      </x:c>
      <x:c r="L116" s="169" t="n">
        <x:v>32</x:v>
      </x:c>
      <x:c r="M116" s="169" t="n">
        <x:v>48</x:v>
      </x:c>
      <x:c r="N116" s="169" t="n">
        <x:v>119</x:v>
      </x:c>
      <x:c r="O116" s="269" t="n">
        <x:v>0.5333333333333333</x:v>
      </x:c>
      <x:c r="P116" s="269" t="n">
        <x:v>0.1864406779661017</x:v>
      </x:c>
      <x:c r="Q116" s="269" t="n">
        <x:v>0.5656565656565656</x:v>
      </x:c>
      <x:c r="R116" s="269" t="n">
        <x:v>0.7022598870056497</x:v>
      </x:c>
    </x:row>
    <x:row r="117">
      <x:c r="A117" s="167" t="str">
        <x:v>Diffusion</x:v>
      </x:c>
      <x:c r="B117" s="167" t="str">
        <x:v>simulated</x:v>
      </x:c>
      <x:c r="C117" s="167" t="str">
        <x:v>mmd</x:v>
      </x:c>
      <x:c r="D117" s="167" t="str">
        <x:v>m3</x:v>
      </x:c>
      <x:c r="E117" s="167" t="str">
        <x:v>S=D</x:v>
      </x:c>
      <x:c r="F117" s="167" t="str">
        <x:v>log10_ml_error</x:v>
      </x:c>
      <x:c r="G117" s="167" t="str">
        <x:v>ESS-filtered raw NPE-MCMC central 90% interval [q5, q95]</x:v>
      </x:c>
      <x:c r="H117" s="168" t="n">
        <x:v>-0.08454716484473893</x:v>
      </x:c>
      <x:c r="I117" s="168" t="n">
        <x:v>0.010131719488446338</x:v>
      </x:c>
      <x:c r="J117" s="169" t="n">
        <x:v>26</x:v>
      </x:c>
      <x:c r="K117" s="169" t="n">
        <x:v>6</x:v>
      </x:c>
      <x:c r="L117" s="169" t="n">
        <x:v>34</x:v>
      </x:c>
      <x:c r="M117" s="169" t="n">
        <x:v>53</x:v>
      </x:c>
      <x:c r="N117" s="169" t="n">
        <x:v>119</x:v>
      </x:c>
      <x:c r="O117" s="219" t="n">
        <x:v>0.5666666666666667</x:v>
      </x:c>
      <x:c r="P117" s="269" t="n">
        <x:v>0.1016949152542373</x:v>
      </x:c>
      <x:c r="Q117" s="219" t="n">
        <x:v>0.5652173913043478</x:v>
      </x:c>
      <x:c r="R117" s="219" t="n">
        <x:v>0.7189265536723164</x:v>
      </x:c>
    </x:row>
    <x:row r="118">
      <x:c r="A118" s="167" t="str">
        <x:v>Diffusion</x:v>
      </x:c>
      <x:c r="B118" s="167" t="str">
        <x:v>simulated</x:v>
      </x:c>
      <x:c r="C118" s="167" t="str">
        <x:v>l2</x:v>
      </x:c>
      <x:c r="D118" s="167" t="str">
        <x:v>m3</x:v>
      </x:c>
      <x:c r="E118" s="167" t="str">
        <x:v>S=2D</x:v>
      </x:c>
      <x:c r="F118" s="167" t="str">
        <x:v>log10_ml_error</x:v>
      </x:c>
      <x:c r="G118" s="167" t="str">
        <x:v>ESS-filtered raw NPE-MCMC central 90% interval [q5, q95]</x:v>
      </x:c>
      <x:c r="H118" s="168" t="n">
        <x:v>-0.08113623146883818</x:v>
      </x:c>
      <x:c r="I118" s="168" t="n">
        <x:v>0.010723818106331304</x:v>
      </x:c>
      <x:c r="J118" s="169" t="n">
        <x:v>22</x:v>
      </x:c>
      <x:c r="K118" s="169" t="n">
        <x:v>15</x:v>
      </x:c>
      <x:c r="L118" s="169" t="n">
        <x:v>16</x:v>
      </x:c>
      <x:c r="M118" s="169" t="n">
        <x:v>66</x:v>
      </x:c>
      <x:c r="N118" s="169" t="n">
        <x:v>119</x:v>
      </x:c>
      <x:c r="O118" s="269" t="n">
        <x:v>0.42105263157894735</x:v>
      </x:c>
      <x:c r="P118" s="269" t="n">
        <x:v>0.18518518518518517</x:v>
      </x:c>
      <x:c r="Q118" s="269" t="n">
        <x:v>0.5866666666666667</x:v>
      </x:c>
      <x:c r="R118" s="269" t="n">
        <x:v>0.7638076673164392</x:v>
      </x:c>
    </x:row>
    <x:row r="119">
      <x:c r="A119" s="167" t="str">
        <x:v>Diffusion</x:v>
      </x:c>
      <x:c r="B119" s="167" t="str">
        <x:v>simulated</x:v>
      </x:c>
      <x:c r="C119" s="167" t="str">
        <x:v>linf</x:v>
      </x:c>
      <x:c r="D119" s="167" t="str">
        <x:v>m3</x:v>
      </x:c>
      <x:c r="E119" s="167" t="str">
        <x:v>S=2D</x:v>
      </x:c>
      <x:c r="F119" s="167" t="str">
        <x:v>log10_ml_error</x:v>
      </x:c>
      <x:c r="G119" s="167" t="str">
        <x:v>ESS-filtered raw NPE-MCMC central 90% interval [q5, q95]</x:v>
      </x:c>
      <x:c r="H119" s="168" t="n">
        <x:v>-0.08113623146883818</x:v>
      </x:c>
      <x:c r="I119" s="168" t="n">
        <x:v>0.010723818106331304</x:v>
      </x:c>
      <x:c r="J119" s="169" t="n">
        <x:v>20</x:v>
      </x:c>
      <x:c r="K119" s="169" t="n">
        <x:v>17</x:v>
      </x:c>
      <x:c r="L119" s="169" t="n">
        <x:v>18</x:v>
      </x:c>
      <x:c r="M119" s="169" t="n">
        <x:v>64</x:v>
      </x:c>
      <x:c r="N119" s="169" t="n">
        <x:v>119</x:v>
      </x:c>
      <x:c r="O119" s="269" t="n">
        <x:v>0.47368421052631576</x:v>
      </x:c>
      <x:c r="P119" s="269" t="n">
        <x:v>0.20987654320987653</x:v>
      </x:c>
      <x:c r="Q119" s="269" t="n">
        <x:v>0.5333333333333333</x:v>
      </x:c>
      <x:c r="R119" s="269" t="n">
        <x:v>0.7683560753736192</x:v>
      </x:c>
    </x:row>
    <x:row r="120">
      <x:c r="A120" s="167" t="str">
        <x:v>Diffusion</x:v>
      </x:c>
      <x:c r="B120" s="167" t="str">
        <x:v>simulated</x:v>
      </x:c>
      <x:c r="C120" s="167" t="str">
        <x:v>density</x:v>
      </x:c>
      <x:c r="D120" s="167" t="str">
        <x:v>m3</x:v>
      </x:c>
      <x:c r="E120" s="167" t="str">
        <x:v>S=2D</x:v>
      </x:c>
      <x:c r="F120" s="167" t="str">
        <x:v>log10_ml_error</x:v>
      </x:c>
      <x:c r="G120" s="167" t="str">
        <x:v>ESS-filtered raw NPE-MCMC central 90% interval [q5, q95]</x:v>
      </x:c>
      <x:c r="H120" s="168" t="n">
        <x:v>-0.08113623146883818</x:v>
      </x:c>
      <x:c r="I120" s="168" t="n">
        <x:v>0.010723818106331304</x:v>
      </x:c>
      <x:c r="J120" s="169" t="n">
        <x:v>27</x:v>
      </x:c>
      <x:c r="K120" s="169" t="n">
        <x:v>24</x:v>
      </x:c>
      <x:c r="L120" s="169" t="n">
        <x:v>11</x:v>
      </x:c>
      <x:c r="M120" s="169" t="n">
        <x:v>57</x:v>
      </x:c>
      <x:c r="N120" s="169" t="n">
        <x:v>119</x:v>
      </x:c>
      <x:c r="O120" s="269" t="n">
        <x:v>0.2894736842105263</x:v>
      </x:c>
      <x:c r="P120" s="219" t="n">
        <x:v>0.2962962962962963</x:v>
      </x:c>
      <x:c r="Q120" s="269" t="n">
        <x:v>0.6067415730337079</x:v>
      </x:c>
      <x:c r="R120" s="269" t="n">
        <x:v>0.7618583495776479</x:v>
      </x:c>
    </x:row>
    <x:row r="121">
      <x:c r="A121" s="167" t="str">
        <x:v>Diffusion</x:v>
      </x:c>
      <x:c r="B121" s="167" t="str">
        <x:v>simulated</x:v>
      </x:c>
      <x:c r="C121" s="167" t="str">
        <x:v>mmd</x:v>
      </x:c>
      <x:c r="D121" s="167" t="str">
        <x:v>m3</x:v>
      </x:c>
      <x:c r="E121" s="167" t="str">
        <x:v>S=2D</x:v>
      </x:c>
      <x:c r="F121" s="167" t="str">
        <x:v>log10_ml_error</x:v>
      </x:c>
      <x:c r="G121" s="167" t="str">
        <x:v>ESS-filtered raw NPE-MCMC central 90% interval [q5, q95]</x:v>
      </x:c>
      <x:c r="H121" s="168" t="n">
        <x:v>-0.08113623146883818</x:v>
      </x:c>
      <x:c r="I121" s="168" t="n">
        <x:v>0.010723818106331304</x:v>
      </x:c>
      <x:c r="J121" s="169" t="n">
        <x:v>18</x:v>
      </x:c>
      <x:c r="K121" s="169" t="n">
        <x:v>12</x:v>
      </x:c>
      <x:c r="L121" s="169" t="n">
        <x:v>20</x:v>
      </x:c>
      <x:c r="M121" s="169" t="n">
        <x:v>69</x:v>
      </x:c>
      <x:c r="N121" s="169" t="n">
        <x:v>119</x:v>
      </x:c>
      <x:c r="O121" s="219" t="n">
        <x:v>0.5263157894736842</x:v>
      </x:c>
      <x:c r="P121" s="269" t="n">
        <x:v>0.14814814814814814</x:v>
      </x:c>
      <x:c r="Q121" s="219" t="n">
        <x:v>0.5294117647058824</x:v>
      </x:c>
      <x:c r="R121" s="219" t="n">
        <x:v>0.7316439246263807</x:v>
      </x:c>
    </x:row>
    <x:row r="122">
      <x:c r="A122" s="167" t="str">
        <x:v>Diffusion</x:v>
      </x:c>
      <x:c r="B122" s="167" t="str">
        <x:v>simulated</x:v>
      </x:c>
      <x:c r="C122" s="167" t="str">
        <x:v>l2</x:v>
      </x:c>
      <x:c r="D122" s="167" t="str">
        <x:v>m3</x:v>
      </x:c>
      <x:c r="E122" s="167" t="str">
        <x:v>S=4D</x:v>
      </x:c>
      <x:c r="F122" s="167" t="str">
        <x:v>log10_ml_error</x:v>
      </x:c>
      <x:c r="G122" s="167" t="str">
        <x:v>ESS-filtered raw NPE-MCMC central 90% interval [q5, q95]</x:v>
      </x:c>
      <x:c r="H122" s="168" t="n">
        <x:v>-0.08447424715509859</x:v>
      </x:c>
      <x:c r="I122" s="168" t="n">
        <x:v>0.006500339545351692</x:v>
      </x:c>
      <x:c r="J122" s="169" t="n">
        <x:v>20</x:v>
      </x:c>
      <x:c r="K122" s="169" t="n">
        <x:v>21</x:v>
      </x:c>
      <x:c r="L122" s="169" t="n">
        <x:v>13</x:v>
      </x:c>
      <x:c r="M122" s="169" t="n">
        <x:v>65</x:v>
      </x:c>
      <x:c r="N122" s="169" t="n">
        <x:v>119</x:v>
      </x:c>
      <x:c r="O122" s="219" t="n">
        <x:v>0.3939393939393939</x:v>
      </x:c>
      <x:c r="P122" s="269" t="n">
        <x:v>0.2441860465116279</x:v>
      </x:c>
      <x:c r="Q122" s="219" t="n">
        <x:v>0.5405405405405406</x:v>
      </x:c>
      <x:c r="R122" s="269" t="n">
        <x:v>0.7071881606765328</x:v>
      </x:c>
    </x:row>
    <x:row r="123">
      <x:c r="A123" s="167" t="str">
        <x:v>Diffusion</x:v>
      </x:c>
      <x:c r="B123" s="167" t="str">
        <x:v>simulated</x:v>
      </x:c>
      <x:c r="C123" s="167" t="str">
        <x:v>linf</x:v>
      </x:c>
      <x:c r="D123" s="167" t="str">
        <x:v>m3</x:v>
      </x:c>
      <x:c r="E123" s="167" t="str">
        <x:v>S=4D</x:v>
      </x:c>
      <x:c r="F123" s="167" t="str">
        <x:v>log10_ml_error</x:v>
      </x:c>
      <x:c r="G123" s="167" t="str">
        <x:v>ESS-filtered raw NPE-MCMC central 90% interval [q5, q95]</x:v>
      </x:c>
      <x:c r="H123" s="168" t="n">
        <x:v>-0.08447424715509859</x:v>
      </x:c>
      <x:c r="I123" s="168" t="n">
        <x:v>0.006500339545351692</x:v>
      </x:c>
      <x:c r="J123" s="169" t="n">
        <x:v>18</x:v>
      </x:c>
      <x:c r="K123" s="169" t="n">
        <x:v>21</x:v>
      </x:c>
      <x:c r="L123" s="169" t="n">
        <x:v>15</x:v>
      </x:c>
      <x:c r="M123" s="169" t="n">
        <x:v>65</x:v>
      </x:c>
      <x:c r="N123" s="169" t="n">
        <x:v>119</x:v>
      </x:c>
      <x:c r="O123" s="269" t="n">
        <x:v>0.45454545454545453</x:v>
      </x:c>
      <x:c r="P123" s="219" t="n">
        <x:v>0.2441860465116279</x:v>
      </x:c>
      <x:c r="Q123" s="269" t="n">
        <x:v>0.5</x:v>
      </x:c>
      <x:c r="R123" s="219" t="n">
        <x:v>0.7142353770260748</x:v>
      </x:c>
    </x:row>
    <x:row r="124">
      <x:c r="A124" s="167" t="str">
        <x:v>Diffusion</x:v>
      </x:c>
      <x:c r="B124" s="167" t="str">
        <x:v>simulated</x:v>
      </x:c>
      <x:c r="C124" s="167" t="str">
        <x:v>density</x:v>
      </x:c>
      <x:c r="D124" s="167" t="str">
        <x:v>m3</x:v>
      </x:c>
      <x:c r="E124" s="167" t="str">
        <x:v>S=4D</x:v>
      </x:c>
      <x:c r="F124" s="167" t="str">
        <x:v>log10_ml_error</x:v>
      </x:c>
      <x:c r="G124" s="167" t="str">
        <x:v>ESS-filtered raw NPE-MCMC central 90% interval [q5, q95]</x:v>
      </x:c>
      <x:c r="H124" s="168" t="n">
        <x:v>-0.08447424715509859</x:v>
      </x:c>
      <x:c r="I124" s="168" t="n">
        <x:v>0.006500339545351692</x:v>
      </x:c>
      <x:c r="J124" s="169" t="n">
        <x:v>21</x:v>
      </x:c>
      <x:c r="K124" s="169" t="n">
        <x:v>30</x:v>
      </x:c>
      <x:c r="L124" s="169" t="n">
        <x:v>12</x:v>
      </x:c>
      <x:c r="M124" s="169" t="n">
        <x:v>56</x:v>
      </x:c>
      <x:c r="N124" s="169" t="n">
        <x:v>119</x:v>
      </x:c>
      <x:c r="O124" s="269" t="n">
        <x:v>0.36363636363636365</x:v>
      </x:c>
      <x:c r="P124" s="269" t="n">
        <x:v>0.3488372093023256</x:v>
      </x:c>
      <x:c r="Q124" s="269" t="n">
        <x:v>0.5</x:v>
      </x:c>
      <x:c r="R124" s="269" t="n">
        <x:v>0.6888653981677237</x:v>
      </x:c>
    </x:row>
    <x:row r="125">
      <x:c r="A125" s="167" t="str">
        <x:v>Diffusion</x:v>
      </x:c>
      <x:c r="B125" s="167" t="str">
        <x:v>simulated</x:v>
      </x:c>
      <x:c r="C125" s="167" t="str">
        <x:v>mmd</x:v>
      </x:c>
      <x:c r="D125" s="167" t="str">
        <x:v>m3</x:v>
      </x:c>
      <x:c r="E125" s="167" t="str">
        <x:v>S=4D</x:v>
      </x:c>
      <x:c r="F125" s="167" t="str">
        <x:v>log10_ml_error</x:v>
      </x:c>
      <x:c r="G125" s="167" t="str">
        <x:v>ESS-filtered raw NPE-MCMC central 90% interval [q5, q95]</x:v>
      </x:c>
      <x:c r="H125" s="168" t="n">
        <x:v>-0.08447424715509859</x:v>
      </x:c>
      <x:c r="I125" s="168" t="n">
        <x:v>0.006500339545351692</x:v>
      </x:c>
      <x:c r="J125" s="169" t="n">
        <x:v>16</x:v>
      </x:c>
      <x:c r="K125" s="169" t="n">
        <x:v>19</x:v>
      </x:c>
      <x:c r="L125" s="169" t="n">
        <x:v>17</x:v>
      </x:c>
      <x:c r="M125" s="169" t="n">
        <x:v>67</x:v>
      </x:c>
      <x:c r="N125" s="169" t="n">
        <x:v>119</x:v>
      </x:c>
      <x:c r="O125" s="219" t="n">
        <x:v>0.5151515151515151</x:v>
      </x:c>
      <x:c r="P125" s="269" t="n">
        <x:v>0.22093023255813954</x:v>
      </x:c>
      <x:c r="Q125" s="269" t="n">
        <x:v>0.47058823529411764</x:v>
      </x:c>
      <x:c r="R125" s="269" t="n">
        <x:v>0.7107117688513037</x:v>
      </x:c>
    </x:row>
    <x:row r="126">
      <x:c r="A126" s="167" t="str">
        <x:v>Diffusion</x:v>
      </x:c>
      <x:c r="B126" s="167" t="str">
        <x:v>simulated</x:v>
      </x:c>
      <x:c r="C126" s="167" t="str">
        <x:v>l2</x:v>
      </x:c>
      <x:c r="D126" s="167" t="str">
        <x:v>m3</x:v>
      </x:c>
      <x:c r="E126" s="167" t="str">
        <x:v>S=6D</x:v>
      </x:c>
      <x:c r="F126" s="167" t="str">
        <x:v>log10_ml_error</x:v>
      </x:c>
      <x:c r="G126" s="167" t="str">
        <x:v>ESS-filtered raw NPE-MCMC central 90% interval [q5, q95]</x:v>
      </x:c>
      <x:c r="H126" s="168" t="n">
        <x:v>-0.08087486122647553</x:v>
      </x:c>
      <x:c r="I126" s="168" t="n">
        <x:v>0.005188006318577338</x:v>
      </x:c>
      <x:c r="J126" s="169" t="n">
        <x:v>29</x:v>
      </x:c>
      <x:c r="K126" s="169" t="n">
        <x:v>10</x:v>
      </x:c>
      <x:c r="L126" s="169" t="n">
        <x:v>22</x:v>
      </x:c>
      <x:c r="M126" s="169" t="n">
        <x:v>58</x:v>
      </x:c>
      <x:c r="N126" s="169" t="n">
        <x:v>119</x:v>
      </x:c>
      <x:c r="O126" s="219" t="n">
        <x:v>0.43137254901960786</x:v>
      </x:c>
      <x:c r="P126" s="219" t="n">
        <x:v>0.14705882352941177</x:v>
      </x:c>
      <x:c r="Q126" s="219" t="n">
        <x:v>0.6444444444444445</x:v>
      </x:c>
      <x:c r="R126" s="219" t="n">
        <x:v>0.7508650519031141</x:v>
      </x:c>
    </x:row>
    <x:row r="127">
      <x:c r="A127" s="167" t="str">
        <x:v>Diffusion</x:v>
      </x:c>
      <x:c r="B127" s="167" t="str">
        <x:v>simulated</x:v>
      </x:c>
      <x:c r="C127" s="167" t="str">
        <x:v>linf</x:v>
      </x:c>
      <x:c r="D127" s="167" t="str">
        <x:v>m3</x:v>
      </x:c>
      <x:c r="E127" s="167" t="str">
        <x:v>S=6D</x:v>
      </x:c>
      <x:c r="F127" s="167" t="str">
        <x:v>log10_ml_error</x:v>
      </x:c>
      <x:c r="G127" s="167" t="str">
        <x:v>ESS-filtered raw NPE-MCMC central 90% interval [q5, q95]</x:v>
      </x:c>
      <x:c r="H127" s="168" t="n">
        <x:v>-0.08087486122647553</x:v>
      </x:c>
      <x:c r="I127" s="168" t="n">
        <x:v>0.005188006318577338</x:v>
      </x:c>
      <x:c r="J127" s="169" t="n">
        <x:v>28</x:v>
      </x:c>
      <x:c r="K127" s="169" t="n">
        <x:v>7</x:v>
      </x:c>
      <x:c r="L127" s="169" t="n">
        <x:v>23</x:v>
      </x:c>
      <x:c r="M127" s="169" t="n">
        <x:v>61</x:v>
      </x:c>
      <x:c r="N127" s="169" t="n">
        <x:v>119</x:v>
      </x:c>
      <x:c r="O127" s="219" t="n">
        <x:v>0.45098039215686275</x:v>
      </x:c>
      <x:c r="P127" s="219" t="n">
        <x:v>0.10294117647058823</x:v>
      </x:c>
      <x:c r="Q127" s="219" t="n">
        <x:v>0.6511627906976745</x:v>
      </x:c>
      <x:c r="R127" s="269" t="n">
        <x:v>0.7335640138408305</x:v>
      </x:c>
    </x:row>
    <x:row r="128">
      <x:c r="A128" s="167" t="str">
        <x:v>Diffusion</x:v>
      </x:c>
      <x:c r="B128" s="167" t="str">
        <x:v>simulated</x:v>
      </x:c>
      <x:c r="C128" s="167" t="str">
        <x:v>density</x:v>
      </x:c>
      <x:c r="D128" s="167" t="str">
        <x:v>m3</x:v>
      </x:c>
      <x:c r="E128" s="167" t="str">
        <x:v>S=6D</x:v>
      </x:c>
      <x:c r="F128" s="167" t="str">
        <x:v>log10_ml_error</x:v>
      </x:c>
      <x:c r="G128" s="167" t="str">
        <x:v>ESS-filtered raw NPE-MCMC central 90% interval [q5, q95]</x:v>
      </x:c>
      <x:c r="H128" s="168" t="n">
        <x:v>-0.08087486122647553</x:v>
      </x:c>
      <x:c r="I128" s="168" t="n">
        <x:v>0.005188006318577338</x:v>
      </x:c>
      <x:c r="J128" s="169" t="n">
        <x:v>33</x:v>
      </x:c>
      <x:c r="K128" s="169" t="n">
        <x:v>18</x:v>
      </x:c>
      <x:c r="L128" s="169" t="n">
        <x:v>18</x:v>
      </x:c>
      <x:c r="M128" s="169" t="n">
        <x:v>50</x:v>
      </x:c>
      <x:c r="N128" s="169" t="n">
        <x:v>119</x:v>
      </x:c>
      <x:c r="O128" s="219" t="n">
        <x:v>0.35294117647058826</x:v>
      </x:c>
      <x:c r="P128" s="219" t="n">
        <x:v>0.2647058823529412</x:v>
      </x:c>
      <x:c r="Q128" s="219" t="n">
        <x:v>0.6470588235294118</x:v>
      </x:c>
      <x:c r="R128" s="269" t="n">
        <x:v>0.7574971164936563</x:v>
      </x:c>
    </x:row>
    <x:row r="129">
      <x:c r="A129" s="167" t="str">
        <x:v>Diffusion</x:v>
      </x:c>
      <x:c r="B129" s="167" t="str">
        <x:v>simulated</x:v>
      </x:c>
      <x:c r="C129" s="167" t="str">
        <x:v>mmd</x:v>
      </x:c>
      <x:c r="D129" s="167" t="str">
        <x:v>m3</x:v>
      </x:c>
      <x:c r="E129" s="167" t="str">
        <x:v>S=6D</x:v>
      </x:c>
      <x:c r="F129" s="167" t="str">
        <x:v>log10_ml_error</x:v>
      </x:c>
      <x:c r="G129" s="167" t="str">
        <x:v>ESS-filtered raw NPE-MCMC central 90% interval [q5, q95]</x:v>
      </x:c>
      <x:c r="H129" s="168" t="n">
        <x:v>-0.08087486122647553</x:v>
      </x:c>
      <x:c r="I129" s="168" t="n">
        <x:v>0.005188006318577338</x:v>
      </x:c>
      <x:c r="J129" s="169" t="n">
        <x:v>28</x:v>
      </x:c>
      <x:c r="K129" s="169" t="n">
        <x:v>9</x:v>
      </x:c>
      <x:c r="L129" s="169" t="n">
        <x:v>23</x:v>
      </x:c>
      <x:c r="M129" s="169" t="n">
        <x:v>59</x:v>
      </x:c>
      <x:c r="N129" s="169" t="n">
        <x:v>119</x:v>
      </x:c>
      <x:c r="O129" s="219" t="n">
        <x:v>0.45098039215686275</x:v>
      </x:c>
      <x:c r="P129" s="269" t="n">
        <x:v>0.1323529411764706</x:v>
      </x:c>
      <x:c r="Q129" s="269" t="n">
        <x:v>0.6363636363636364</x:v>
      </x:c>
      <x:c r="R129" s="269" t="n">
        <x:v>0.7246251441753173</x:v>
      </x:c>
    </x:row>
    <x:row r="130">
      <x:c r="A130" s="167" t="str">
        <x:v>Diffusion</x:v>
      </x:c>
      <x:c r="B130" s="167" t="str">
        <x:v>simulated</x:v>
      </x:c>
      <x:c r="C130" s="167" t="str">
        <x:v>l2</x:v>
      </x:c>
      <x:c r="D130" s="167" t="str">
        <x:v>m1</x:v>
      </x:c>
      <x:c r="E130" s="167" t="str">
        <x:v>S=D</x:v>
      </x:c>
      <x:c r="F130" s="167" t="str">
        <x:v>pmp_error</x:v>
      </x:c>
      <x:c r="G130" s="167" t="str">
        <x:v>ESS-filtered raw NPE-MCMC central 90% interval [q5, q95]</x:v>
      </x:c>
      <x:c r="H130" s="168" t="n">
        <x:v>-0.0020028586420996</x:v>
      </x:c>
      <x:c r="I130" s="168" t="n">
        <x:v>0.0013370502878565</x:v>
      </x:c>
      <x:c r="J130" s="169" t="n">
        <x:v>4</x:v>
      </x:c>
      <x:c r="K130" s="169" t="n">
        <x:v>40</x:v>
      </x:c>
      <x:c r="L130" s="169" t="n">
        <x:v>10</x:v>
      </x:c>
      <x:c r="M130" s="169" t="n">
        <x:v>65</x:v>
      </x:c>
      <x:c r="N130" s="169" t="n">
        <x:v>119</x:v>
      </x:c>
      <x:c r="O130" s="219" t="n">
        <x:v>0.7142857142857143</x:v>
      </x:c>
      <x:c r="P130" s="269" t="n">
        <x:v>0.38095238095238093</x:v>
      </x:c>
      <x:c r="Q130" s="269" t="n">
        <x:v>0.13793103448275862</x:v>
      </x:c>
      <x:c r="R130" s="269" t="n">
        <x:v>0.39727891156462586</x:v>
      </x:c>
    </x:row>
    <x:row r="131">
      <x:c r="A131" s="167" t="str">
        <x:v>Diffusion</x:v>
      </x:c>
      <x:c r="B131" s="167" t="str">
        <x:v>simulated</x:v>
      </x:c>
      <x:c r="C131" s="167" t="str">
        <x:v>linf</x:v>
      </x:c>
      <x:c r="D131" s="167" t="str">
        <x:v>m1</x:v>
      </x:c>
      <x:c r="E131" s="167" t="str">
        <x:v>S=D</x:v>
      </x:c>
      <x:c r="F131" s="167" t="str">
        <x:v>pmp_error</x:v>
      </x:c>
      <x:c r="G131" s="167" t="str">
        <x:v>ESS-filtered raw NPE-MCMC central 90% interval [q5, q95]</x:v>
      </x:c>
      <x:c r="H131" s="168" t="n">
        <x:v>-0.0020028586420996</x:v>
      </x:c>
      <x:c r="I131" s="168" t="n">
        <x:v>0.0013370502878565</x:v>
      </x:c>
      <x:c r="J131" s="169" t="n">
        <x:v>5</x:v>
      </x:c>
      <x:c r="K131" s="169" t="n">
        <x:v>38</x:v>
      </x:c>
      <x:c r="L131" s="169" t="n">
        <x:v>9</x:v>
      </x:c>
      <x:c r="M131" s="169" t="n">
        <x:v>67</x:v>
      </x:c>
      <x:c r="N131" s="169" t="n">
        <x:v>119</x:v>
      </x:c>
      <x:c r="O131" s="219" t="n">
        <x:v>0.6428571428571429</x:v>
      </x:c>
      <x:c r="P131" s="269" t="n">
        <x:v>0.3619047619047619</x:v>
      </x:c>
      <x:c r="Q131" s="269" t="n">
        <x:v>0.17543859649122806</x:v>
      </x:c>
      <x:c r="R131" s="269" t="n">
        <x:v>0.3571428571428572</x:v>
      </x:c>
    </x:row>
    <x:row r="132">
      <x:c r="A132" s="167" t="str">
        <x:v>Diffusion</x:v>
      </x:c>
      <x:c r="B132" s="167" t="str">
        <x:v>simulated</x:v>
      </x:c>
      <x:c r="C132" s="167" t="str">
        <x:v>density</x:v>
      </x:c>
      <x:c r="D132" s="167" t="str">
        <x:v>m1</x:v>
      </x:c>
      <x:c r="E132" s="167" t="str">
        <x:v>S=D</x:v>
      </x:c>
      <x:c r="F132" s="167" t="str">
        <x:v>pmp_error</x:v>
      </x:c>
      <x:c r="G132" s="167" t="str">
        <x:v>ESS-filtered raw NPE-MCMC central 90% interval [q5, q95]</x:v>
      </x:c>
      <x:c r="H132" s="168" t="n">
        <x:v>-0.0020028586420996</x:v>
      </x:c>
      <x:c r="I132" s="168" t="n">
        <x:v>0.0013370502878565</x:v>
      </x:c>
      <x:c r="J132" s="169" t="n">
        <x:v>2</x:v>
      </x:c>
      <x:c r="K132" s="169" t="n">
        <x:v>57</x:v>
      </x:c>
      <x:c r="L132" s="169" t="n">
        <x:v>12</x:v>
      </x:c>
      <x:c r="M132" s="169" t="n">
        <x:v>48</x:v>
      </x:c>
      <x:c r="N132" s="169" t="n">
        <x:v>119</x:v>
      </x:c>
      <x:c r="O132" s="269" t="n">
        <x:v>0.8571428571428571</x:v>
      </x:c>
      <x:c r="P132" s="269" t="n">
        <x:v>0.5428571428571428</x:v>
      </x:c>
      <x:c r="Q132" s="269" t="n">
        <x:v>0.0547945205479452</x:v>
      </x:c>
      <x:c r="R132" s="269" t="n">
        <x:v>0.3414965986394558</x:v>
      </x:c>
    </x:row>
    <x:row r="133">
      <x:c r="A133" s="167" t="str">
        <x:v>Diffusion</x:v>
      </x:c>
      <x:c r="B133" s="167" t="str">
        <x:v>simulated</x:v>
      </x:c>
      <x:c r="C133" s="167" t="str">
        <x:v>mmd</x:v>
      </x:c>
      <x:c r="D133" s="167" t="str">
        <x:v>m1</x:v>
      </x:c>
      <x:c r="E133" s="167" t="str">
        <x:v>S=D</x:v>
      </x:c>
      <x:c r="F133" s="167" t="str">
        <x:v>pmp_error</x:v>
      </x:c>
      <x:c r="G133" s="167" t="str">
        <x:v>ESS-filtered raw NPE-MCMC central 90% interval [q5, q95]</x:v>
      </x:c>
      <x:c r="H133" s="168" t="n">
        <x:v>-0.0020028586420996</x:v>
      </x:c>
      <x:c r="I133" s="168" t="n">
        <x:v>0.0013370502878565</x:v>
      </x:c>
      <x:c r="J133" s="169" t="n">
        <x:v>2</x:v>
      </x:c>
      <x:c r="K133" s="169" t="n">
        <x:v>20</x:v>
      </x:c>
      <x:c r="L133" s="169" t="n">
        <x:v>12</x:v>
      </x:c>
      <x:c r="M133" s="169" t="n">
        <x:v>85</x:v>
      </x:c>
      <x:c r="N133" s="169" t="n">
        <x:v>119</x:v>
      </x:c>
      <x:c r="O133" s="219" t="n">
        <x:v>0.8571428571428571</x:v>
      </x:c>
      <x:c r="P133" s="219" t="n">
        <x:v>0.19047619047619047</x:v>
      </x:c>
      <x:c r="Q133" s="219" t="n">
        <x:v>0.1111111111111111</x:v>
      </x:c>
      <x:c r="R133" s="219" t="n">
        <x:v>0.40068027210884355</x:v>
      </x:c>
    </x:row>
    <x:row r="134">
      <x:c r="A134" s="167" t="str">
        <x:v>Diffusion</x:v>
      </x:c>
      <x:c r="B134" s="167" t="str">
        <x:v>simulated</x:v>
      </x:c>
      <x:c r="C134" s="167" t="str">
        <x:v>l2</x:v>
      </x:c>
      <x:c r="D134" s="167" t="str">
        <x:v>m1</x:v>
      </x:c>
      <x:c r="E134" s="167" t="str">
        <x:v>S=2D</x:v>
      </x:c>
      <x:c r="F134" s="167" t="str">
        <x:v>pmp_error</x:v>
      </x:c>
      <x:c r="G134" s="167" t="str">
        <x:v>ESS-filtered raw NPE-MCMC central 90% interval [q5, q95]</x:v>
      </x:c>
      <x:c r="H134" s="168" t="n">
        <x:v>-0.0018448968408685</x:v>
      </x:c>
      <x:c r="I134" s="168" t="n">
        <x:v>0.0014865644998681</x:v>
      </x:c>
      <x:c r="J134" s="169" t="n">
        <x:v>5</x:v>
      </x:c>
      <x:c r="K134" s="169" t="n">
        <x:v>43</x:v>
      </x:c>
      <x:c r="L134" s="169" t="n">
        <x:v>5</x:v>
      </x:c>
      <x:c r="M134" s="169" t="n">
        <x:v>66</x:v>
      </x:c>
      <x:c r="N134" s="169" t="n">
        <x:v>119</x:v>
      </x:c>
      <x:c r="O134" s="219" t="n">
        <x:v>0.5</x:v>
      </x:c>
      <x:c r="P134" s="269" t="n">
        <x:v>0.3944954128440367</x:v>
      </x:c>
      <x:c r="Q134" s="269" t="n">
        <x:v>0.1724137931034483</x:v>
      </x:c>
      <x:c r="R134" s="269" t="n">
        <x:v>0.5477064220183486</x:v>
      </x:c>
    </x:row>
    <x:row r="135">
      <x:c r="A135" s="167" t="str">
        <x:v>Diffusion</x:v>
      </x:c>
      <x:c r="B135" s="167" t="str">
        <x:v>simulated</x:v>
      </x:c>
      <x:c r="C135" s="167" t="str">
        <x:v>linf</x:v>
      </x:c>
      <x:c r="D135" s="167" t="str">
        <x:v>m1</x:v>
      </x:c>
      <x:c r="E135" s="167" t="str">
        <x:v>S=2D</x:v>
      </x:c>
      <x:c r="F135" s="167" t="str">
        <x:v>pmp_error</x:v>
      </x:c>
      <x:c r="G135" s="167" t="str">
        <x:v>ESS-filtered raw NPE-MCMC central 90% interval [q5, q95]</x:v>
      </x:c>
      <x:c r="H135" s="168" t="n">
        <x:v>-0.0018448968408685</x:v>
      </x:c>
      <x:c r="I135" s="168" t="n">
        <x:v>0.0014865644998681</x:v>
      </x:c>
      <x:c r="J135" s="169" t="n">
        <x:v>4</x:v>
      </x:c>
      <x:c r="K135" s="169" t="n">
        <x:v>45</x:v>
      </x:c>
      <x:c r="L135" s="169" t="n">
        <x:v>6</x:v>
      </x:c>
      <x:c r="M135" s="169" t="n">
        <x:v>64</x:v>
      </x:c>
      <x:c r="N135" s="169" t="n">
        <x:v>119</x:v>
      </x:c>
      <x:c r="O135" s="269" t="n">
        <x:v>0.6</x:v>
      </x:c>
      <x:c r="P135" s="269" t="n">
        <x:v>0.41284403669724773</x:v>
      </x:c>
      <x:c r="Q135" s="269" t="n">
        <x:v>0.13559322033898305</x:v>
      </x:c>
      <x:c r="R135" s="269" t="n">
        <x:v>0.5486238532110093</x:v>
      </x:c>
    </x:row>
    <x:row r="136">
      <x:c r="A136" s="167" t="str">
        <x:v>Diffusion</x:v>
      </x:c>
      <x:c r="B136" s="167" t="str">
        <x:v>simulated</x:v>
      </x:c>
      <x:c r="C136" s="167" t="str">
        <x:v>density</x:v>
      </x:c>
      <x:c r="D136" s="167" t="str">
        <x:v>m1</x:v>
      </x:c>
      <x:c r="E136" s="167" t="str">
        <x:v>S=2D</x:v>
      </x:c>
      <x:c r="F136" s="167" t="str">
        <x:v>pmp_error</x:v>
      </x:c>
      <x:c r="G136" s="167" t="str">
        <x:v>ESS-filtered raw NPE-MCMC central 90% interval [q5, q95]</x:v>
      </x:c>
      <x:c r="H136" s="168" t="n">
        <x:v>-0.0018448968408685</x:v>
      </x:c>
      <x:c r="I136" s="168" t="n">
        <x:v>0.0014865644998681</x:v>
      </x:c>
      <x:c r="J136" s="169" t="n">
        <x:v>5</x:v>
      </x:c>
      <x:c r="K136" s="169" t="n">
        <x:v>74</x:v>
      </x:c>
      <x:c r="L136" s="169" t="n">
        <x:v>5</x:v>
      </x:c>
      <x:c r="M136" s="169" t="n">
        <x:v>35</x:v>
      </x:c>
      <x:c r="N136" s="169" t="n">
        <x:v>119</x:v>
      </x:c>
      <x:c r="O136" s="269" t="n">
        <x:v>0.5</x:v>
      </x:c>
      <x:c r="P136" s="269" t="n">
        <x:v>0.6788990825688074</x:v>
      </x:c>
      <x:c r="Q136" s="269" t="n">
        <x:v>0.11235955056179775</x:v>
      </x:c>
      <x:c r="R136" s="269" t="n">
        <x:v>0.39449541284403666</x:v>
      </x:c>
    </x:row>
    <x:row r="137">
      <x:c r="A137" s="167" t="str">
        <x:v>Diffusion</x:v>
      </x:c>
      <x:c r="B137" s="167" t="str">
        <x:v>simulated</x:v>
      </x:c>
      <x:c r="C137" s="167" t="str">
        <x:v>mmd</x:v>
      </x:c>
      <x:c r="D137" s="167" t="str">
        <x:v>m1</x:v>
      </x:c>
      <x:c r="E137" s="167" t="str">
        <x:v>S=2D</x:v>
      </x:c>
      <x:c r="F137" s="167" t="str">
        <x:v>pmp_error</x:v>
      </x:c>
      <x:c r="G137" s="167" t="str">
        <x:v>ESS-filtered raw NPE-MCMC central 90% interval [q5, q95]</x:v>
      </x:c>
      <x:c r="H137" s="168" t="n">
        <x:v>-0.0018448968408685</x:v>
      </x:c>
      <x:c r="I137" s="168" t="n">
        <x:v>0.0014865644998681</x:v>
      </x:c>
      <x:c r="J137" s="169" t="n">
        <x:v>5</x:v>
      </x:c>
      <x:c r="K137" s="169" t="n">
        <x:v>32</x:v>
      </x:c>
      <x:c r="L137" s="169" t="n">
        <x:v>5</x:v>
      </x:c>
      <x:c r="M137" s="169" t="n">
        <x:v>77</x:v>
      </x:c>
      <x:c r="N137" s="169" t="n">
        <x:v>119</x:v>
      </x:c>
      <x:c r="O137" s="219" t="n">
        <x:v>0.5</x:v>
      </x:c>
      <x:c r="P137" s="219" t="n">
        <x:v>0.29357798165137616</x:v>
      </x:c>
      <x:c r="Q137" s="219" t="n">
        <x:v>0.2127659574468085</x:v>
      </x:c>
      <x:c r="R137" s="219" t="n">
        <x:v>0.6403669724770642</x:v>
      </x:c>
    </x:row>
    <x:row r="138">
      <x:c r="A138" s="167" t="str">
        <x:v>Diffusion</x:v>
      </x:c>
      <x:c r="B138" s="167" t="str">
        <x:v>simulated</x:v>
      </x:c>
      <x:c r="C138" s="167" t="str">
        <x:v>l2</x:v>
      </x:c>
      <x:c r="D138" s="167" t="str">
        <x:v>m1</x:v>
      </x:c>
      <x:c r="E138" s="167" t="str">
        <x:v>S=4D</x:v>
      </x:c>
      <x:c r="F138" s="167" t="str">
        <x:v>pmp_error</x:v>
      </x:c>
      <x:c r="G138" s="167" t="str">
        <x:v>ESS-filtered raw NPE-MCMC central 90% interval [q5, q95]</x:v>
      </x:c>
      <x:c r="H138" s="168" t="n">
        <x:v>-0.0009498249689278</x:v>
      </x:c>
      <x:c r="I138" s="168" t="n">
        <x:v>0.0009317388356325</x:v>
      </x:c>
      <x:c r="J138" s="169" t="n">
        <x:v>5</x:v>
      </x:c>
      <x:c r="K138" s="169" t="n">
        <x:v>60</x:v>
      </x:c>
      <x:c r="L138" s="169" t="n">
        <x:v>11</x:v>
      </x:c>
      <x:c r="M138" s="169" t="n">
        <x:v>43</x:v>
      </x:c>
      <x:c r="N138" s="169" t="n">
        <x:v>119</x:v>
      </x:c>
      <x:c r="O138" s="219" t="n">
        <x:v>0.6875</x:v>
      </x:c>
      <x:c r="P138" s="269" t="n">
        <x:v>0.5825242718446602</x:v>
      </x:c>
      <x:c r="Q138" s="269" t="n">
        <x:v>0.12345679012345678</x:v>
      </x:c>
      <x:c r="R138" s="269" t="n">
        <x:v>0.33555825242718446</x:v>
      </x:c>
    </x:row>
    <x:row r="139">
      <x:c r="A139" s="167" t="str">
        <x:v>Diffusion</x:v>
      </x:c>
      <x:c r="B139" s="167" t="str">
        <x:v>simulated</x:v>
      </x:c>
      <x:c r="C139" s="167" t="str">
        <x:v>linf</x:v>
      </x:c>
      <x:c r="D139" s="167" t="str">
        <x:v>m1</x:v>
      </x:c>
      <x:c r="E139" s="167" t="str">
        <x:v>S=4D</x:v>
      </x:c>
      <x:c r="F139" s="167" t="str">
        <x:v>pmp_error</x:v>
      </x:c>
      <x:c r="G139" s="167" t="str">
        <x:v>ESS-filtered raw NPE-MCMC central 90% interval [q5, q95]</x:v>
      </x:c>
      <x:c r="H139" s="168" t="n">
        <x:v>-0.0009498249689278</x:v>
      </x:c>
      <x:c r="I139" s="168" t="n">
        <x:v>0.0009317388356325</x:v>
      </x:c>
      <x:c r="J139" s="169" t="n">
        <x:v>5</x:v>
      </x:c>
      <x:c r="K139" s="169" t="n">
        <x:v>56</x:v>
      </x:c>
      <x:c r="L139" s="169" t="n">
        <x:v>11</x:v>
      </x:c>
      <x:c r="M139" s="169" t="n">
        <x:v>47</x:v>
      </x:c>
      <x:c r="N139" s="169" t="n">
        <x:v>119</x:v>
      </x:c>
      <x:c r="O139" s="219" t="n">
        <x:v>0.6875</x:v>
      </x:c>
      <x:c r="P139" s="269" t="n">
        <x:v>0.5436893203883495</x:v>
      </x:c>
      <x:c r="Q139" s="269" t="n">
        <x:v>0.12987012987012986</x:v>
      </x:c>
      <x:c r="R139" s="269" t="n">
        <x:v>0.32281553398058255</x:v>
      </x:c>
    </x:row>
    <x:row r="140">
      <x:c r="A140" s="167" t="str">
        <x:v>Diffusion</x:v>
      </x:c>
      <x:c r="B140" s="167" t="str">
        <x:v>simulated</x:v>
      </x:c>
      <x:c r="C140" s="167" t="str">
        <x:v>density</x:v>
      </x:c>
      <x:c r="D140" s="167" t="str">
        <x:v>m1</x:v>
      </x:c>
      <x:c r="E140" s="167" t="str">
        <x:v>S=4D</x:v>
      </x:c>
      <x:c r="F140" s="167" t="str">
        <x:v>pmp_error</x:v>
      </x:c>
      <x:c r="G140" s="167" t="str">
        <x:v>ESS-filtered raw NPE-MCMC central 90% interval [q5, q95]</x:v>
      </x:c>
      <x:c r="H140" s="168" t="n">
        <x:v>-0.0009498249689278</x:v>
      </x:c>
      <x:c r="I140" s="168" t="n">
        <x:v>0.0009317388356325</x:v>
      </x:c>
      <x:c r="J140" s="169" t="n">
        <x:v>5</x:v>
      </x:c>
      <x:c r="K140" s="169" t="n">
        <x:v>75</x:v>
      </x:c>
      <x:c r="L140" s="169" t="n">
        <x:v>11</x:v>
      </x:c>
      <x:c r="M140" s="169" t="n">
        <x:v>28</x:v>
      </x:c>
      <x:c r="N140" s="169" t="n">
        <x:v>119</x:v>
      </x:c>
      <x:c r="O140" s="269" t="n">
        <x:v>0.6875</x:v>
      </x:c>
      <x:c r="P140" s="269" t="n">
        <x:v>0.7281553398058253</x:v>
      </x:c>
      <x:c r="Q140" s="269" t="n">
        <x:v>0.10416666666666667</x:v>
      </x:c>
      <x:c r="R140" s="269" t="n">
        <x:v>0.22936893203883496</x:v>
      </x:c>
    </x:row>
    <x:row r="141">
      <x:c r="A141" s="167" t="str">
        <x:v>Diffusion</x:v>
      </x:c>
      <x:c r="B141" s="167" t="str">
        <x:v>simulated</x:v>
      </x:c>
      <x:c r="C141" s="167" t="str">
        <x:v>mmd</x:v>
      </x:c>
      <x:c r="D141" s="167" t="str">
        <x:v>m1</x:v>
      </x:c>
      <x:c r="E141" s="167" t="str">
        <x:v>S=4D</x:v>
      </x:c>
      <x:c r="F141" s="167" t="str">
        <x:v>pmp_error</x:v>
      </x:c>
      <x:c r="G141" s="167" t="str">
        <x:v>ESS-filtered raw NPE-MCMC central 90% interval [q5, q95]</x:v>
      </x:c>
      <x:c r="H141" s="168" t="n">
        <x:v>-0.0009498249689278</x:v>
      </x:c>
      <x:c r="I141" s="168" t="n">
        <x:v>0.0009317388356325</x:v>
      </x:c>
      <x:c r="J141" s="169" t="n">
        <x:v>4</x:v>
      </x:c>
      <x:c r="K141" s="169" t="n">
        <x:v>22</x:v>
      </x:c>
      <x:c r="L141" s="169" t="n">
        <x:v>12</x:v>
      </x:c>
      <x:c r="M141" s="169" t="n">
        <x:v>81</x:v>
      </x:c>
      <x:c r="N141" s="169" t="n">
        <x:v>119</x:v>
      </x:c>
      <x:c r="O141" s="219" t="n">
        <x:v>0.75</x:v>
      </x:c>
      <x:c r="P141" s="219" t="n">
        <x:v>0.21359223300970873</x:v>
      </x:c>
      <x:c r="Q141" s="219" t="n">
        <x:v>0.19047619047619047</x:v>
      </x:c>
      <x:c r="R141" s="219" t="n">
        <x:v>0.4635922330097087</x:v>
      </x:c>
    </x:row>
    <x:row r="142">
      <x:c r="A142" s="167" t="str">
        <x:v>Diffusion</x:v>
      </x:c>
      <x:c r="B142" s="167" t="str">
        <x:v>simulated</x:v>
      </x:c>
      <x:c r="C142" s="167" t="str">
        <x:v>l2</x:v>
      </x:c>
      <x:c r="D142" s="167" t="str">
        <x:v>m1</x:v>
      </x:c>
      <x:c r="E142" s="167" t="str">
        <x:v>S=6D</x:v>
      </x:c>
      <x:c r="F142" s="167" t="str">
        <x:v>pmp_error</x:v>
      </x:c>
      <x:c r="G142" s="167" t="str">
        <x:v>ESS-filtered raw NPE-MCMC central 90% interval [q5, q95]</x:v>
      </x:c>
      <x:c r="H142" s="168" t="n">
        <x:v>-0.0012564695158165</x:v>
      </x:c>
      <x:c r="I142" s="168" t="n">
        <x:v>0.0012622490653153</x:v>
      </x:c>
      <x:c r="J142" s="169" t="n">
        <x:v>3</x:v>
      </x:c>
      <x:c r="K142" s="169" t="n">
        <x:v>59</x:v>
      </x:c>
      <x:c r="L142" s="169" t="n">
        <x:v>8</x:v>
      </x:c>
      <x:c r="M142" s="169" t="n">
        <x:v>49</x:v>
      </x:c>
      <x:c r="N142" s="169" t="n">
        <x:v>119</x:v>
      </x:c>
      <x:c r="O142" s="269" t="n">
        <x:v>0.7272727272727273</x:v>
      </x:c>
      <x:c r="P142" s="269" t="n">
        <x:v>0.5462962962962963</x:v>
      </x:c>
      <x:c r="Q142" s="269" t="n">
        <x:v>0.0821917808219178</x:v>
      </x:c>
      <x:c r="R142" s="269" t="n">
        <x:v>0.36784511784511786</x:v>
      </x:c>
    </x:row>
    <x:row r="143">
      <x:c r="A143" s="167" t="str">
        <x:v>Diffusion</x:v>
      </x:c>
      <x:c r="B143" s="167" t="str">
        <x:v>simulated</x:v>
      </x:c>
      <x:c r="C143" s="167" t="str">
        <x:v>linf</x:v>
      </x:c>
      <x:c r="D143" s="167" t="str">
        <x:v>m1</x:v>
      </x:c>
      <x:c r="E143" s="167" t="str">
        <x:v>S=6D</x:v>
      </x:c>
      <x:c r="F143" s="167" t="str">
        <x:v>pmp_error</x:v>
      </x:c>
      <x:c r="G143" s="167" t="str">
        <x:v>ESS-filtered raw NPE-MCMC central 90% interval [q5, q95]</x:v>
      </x:c>
      <x:c r="H143" s="168" t="n">
        <x:v>-0.0012564695158165</x:v>
      </x:c>
      <x:c r="I143" s="168" t="n">
        <x:v>0.0012622490653153</x:v>
      </x:c>
      <x:c r="J143" s="169" t="n">
        <x:v>2</x:v>
      </x:c>
      <x:c r="K143" s="169" t="n">
        <x:v>60</x:v>
      </x:c>
      <x:c r="L143" s="169" t="n">
        <x:v>9</x:v>
      </x:c>
      <x:c r="M143" s="169" t="n">
        <x:v>48</x:v>
      </x:c>
      <x:c r="N143" s="169" t="n">
        <x:v>119</x:v>
      </x:c>
      <x:c r="O143" s="269" t="n">
        <x:v>0.8181818181818182</x:v>
      </x:c>
      <x:c r="P143" s="269" t="n">
        <x:v>0.5555555555555556</x:v>
      </x:c>
      <x:c r="Q143" s="269" t="n">
        <x:v>0.0547945205479452</x:v>
      </x:c>
      <x:c r="R143" s="269" t="n">
        <x:v>0.3341750841750842</x:v>
      </x:c>
    </x:row>
    <x:row r="144">
      <x:c r="A144" s="167" t="str">
        <x:v>Diffusion</x:v>
      </x:c>
      <x:c r="B144" s="167" t="str">
        <x:v>simulated</x:v>
      </x:c>
      <x:c r="C144" s="167" t="str">
        <x:v>density</x:v>
      </x:c>
      <x:c r="D144" s="167" t="str">
        <x:v>m1</x:v>
      </x:c>
      <x:c r="E144" s="167" t="str">
        <x:v>S=6D</x:v>
      </x:c>
      <x:c r="F144" s="167" t="str">
        <x:v>pmp_error</x:v>
      </x:c>
      <x:c r="G144" s="167" t="str">
        <x:v>ESS-filtered raw NPE-MCMC central 90% interval [q5, q95]</x:v>
      </x:c>
      <x:c r="H144" s="168" t="n">
        <x:v>-0.0012564695158165</x:v>
      </x:c>
      <x:c r="I144" s="168" t="n">
        <x:v>0.0012622490653153</x:v>
      </x:c>
      <x:c r="J144" s="169" t="n">
        <x:v>5</x:v>
      </x:c>
      <x:c r="K144" s="169" t="n">
        <x:v>76</x:v>
      </x:c>
      <x:c r="L144" s="169" t="n">
        <x:v>6</x:v>
      </x:c>
      <x:c r="M144" s="169" t="n">
        <x:v>32</x:v>
      </x:c>
      <x:c r="N144" s="169" t="n">
        <x:v>119</x:v>
      </x:c>
      <x:c r="O144" s="269" t="n">
        <x:v>0.5454545454545454</x:v>
      </x:c>
      <x:c r="P144" s="269" t="n">
        <x:v>0.7037037037037037</x:v>
      </x:c>
      <x:c r="Q144" s="269" t="n">
        <x:v>0.10869565217391304</x:v>
      </x:c>
      <x:c r="R144" s="269" t="n">
        <x:v>0.3232323232323232</x:v>
      </x:c>
    </x:row>
    <x:row r="145">
      <x:c r="A145" s="167" t="str">
        <x:v>Diffusion</x:v>
      </x:c>
      <x:c r="B145" s="167" t="str">
        <x:v>simulated</x:v>
      </x:c>
      <x:c r="C145" s="167" t="str">
        <x:v>mmd</x:v>
      </x:c>
      <x:c r="D145" s="167" t="str">
        <x:v>m1</x:v>
      </x:c>
      <x:c r="E145" s="167" t="str">
        <x:v>S=6D</x:v>
      </x:c>
      <x:c r="F145" s="167" t="str">
        <x:v>pmp_error</x:v>
      </x:c>
      <x:c r="G145" s="167" t="str">
        <x:v>ESS-filtered raw NPE-MCMC central 90% interval [q5, q95]</x:v>
      </x:c>
      <x:c r="H145" s="168" t="n">
        <x:v>-0.0012564695158165</x:v>
      </x:c>
      <x:c r="I145" s="168" t="n">
        <x:v>0.0012622490653153</x:v>
      </x:c>
      <x:c r="J145" s="169" t="n">
        <x:v>4</x:v>
      </x:c>
      <x:c r="K145" s="169" t="n">
        <x:v>31</x:v>
      </x:c>
      <x:c r="L145" s="169" t="n">
        <x:v>7</x:v>
      </x:c>
      <x:c r="M145" s="169" t="n">
        <x:v>77</x:v>
      </x:c>
      <x:c r="N145" s="169" t="n">
        <x:v>119</x:v>
      </x:c>
      <x:c r="O145" s="219" t="n">
        <x:v>0.6363636363636364</x:v>
      </x:c>
      <x:c r="P145" s="219" t="n">
        <x:v>0.28703703703703703</x:v>
      </x:c>
      <x:c r="Q145" s="219" t="n">
        <x:v>0.17391304347826086</x:v>
      </x:c>
      <x:c r="R145" s="219" t="n">
        <x:v>0.44612794612794615</x:v>
      </x:c>
    </x:row>
    <x:row r="146">
      <x:c r="A146" s="167" t="str">
        <x:v>Diffusion</x:v>
      </x:c>
      <x:c r="B146" s="167" t="str">
        <x:v>simulated</x:v>
      </x:c>
      <x:c r="C146" s="167" t="str">
        <x:v>l2</x:v>
      </x:c>
      <x:c r="D146" s="167" t="str">
        <x:v>m3</x:v>
      </x:c>
      <x:c r="E146" s="167" t="str">
        <x:v>S=D</x:v>
      </x:c>
      <x:c r="F146" s="167" t="str">
        <x:v>pmp_error</x:v>
      </x:c>
      <x:c r="G146" s="167" t="str">
        <x:v>ESS-filtered raw NPE-MCMC central 90% interval [q5, q95]</x:v>
      </x:c>
      <x:c r="H146" s="168" t="n">
        <x:v>-0.0013939881056684</x:v>
      </x:c>
      <x:c r="I146" s="168" t="n">
        <x:v>0.0013939881056685</x:v>
      </x:c>
      <x:c r="J146" s="169" t="n">
        <x:v>10</x:v>
      </x:c>
      <x:c r="K146" s="169" t="n">
        <x:v>32</x:v>
      </x:c>
      <x:c r="L146" s="169" t="n">
        <x:v>9</x:v>
      </x:c>
      <x:c r="M146" s="169" t="n">
        <x:v>68</x:v>
      </x:c>
      <x:c r="N146" s="169" t="n">
        <x:v>119</x:v>
      </x:c>
      <x:c r="O146" s="219" t="n">
        <x:v>0.47368421052631576</x:v>
      </x:c>
      <x:c r="P146" s="269" t="n">
        <x:v>0.32</x:v>
      </x:c>
      <x:c r="Q146" s="219" t="n">
        <x:v>0.32786885245901637</x:v>
      </x:c>
      <x:c r="R146" s="269" t="n">
        <x:v>0.578421052631579</x:v>
      </x:c>
    </x:row>
    <x:row r="147">
      <x:c r="A147" s="167" t="str">
        <x:v>Diffusion</x:v>
      </x:c>
      <x:c r="B147" s="167" t="str">
        <x:v>simulated</x:v>
      </x:c>
      <x:c r="C147" s="167" t="str">
        <x:v>linf</x:v>
      </x:c>
      <x:c r="D147" s="167" t="str">
        <x:v>m3</x:v>
      </x:c>
      <x:c r="E147" s="167" t="str">
        <x:v>S=D</x:v>
      </x:c>
      <x:c r="F147" s="167" t="str">
        <x:v>pmp_error</x:v>
      </x:c>
      <x:c r="G147" s="167" t="str">
        <x:v>ESS-filtered raw NPE-MCMC central 90% interval [q5, q95]</x:v>
      </x:c>
      <x:c r="H147" s="168" t="n">
        <x:v>-0.0013939881056684</x:v>
      </x:c>
      <x:c r="I147" s="168" t="n">
        <x:v>0.0013939881056685</x:v>
      </x:c>
      <x:c r="J147" s="169" t="n">
        <x:v>9</x:v>
      </x:c>
      <x:c r="K147" s="169" t="n">
        <x:v>30</x:v>
      </x:c>
      <x:c r="L147" s="169" t="n">
        <x:v>10</x:v>
      </x:c>
      <x:c r="M147" s="169" t="n">
        <x:v>70</x:v>
      </x:c>
      <x:c r="N147" s="169" t="n">
        <x:v>119</x:v>
      </x:c>
      <x:c r="O147" s="269" t="n">
        <x:v>0.5263157894736842</x:v>
      </x:c>
      <x:c r="P147" s="269" t="n">
        <x:v>0.3</x:v>
      </x:c>
      <x:c r="Q147" s="269" t="n">
        <x:v>0.3103448275862069</x:v>
      </x:c>
      <x:c r="R147" s="269" t="n">
        <x:v>0.6205263157894736</x:v>
      </x:c>
    </x:row>
    <x:row r="148">
      <x:c r="A148" s="167" t="str">
        <x:v>Diffusion</x:v>
      </x:c>
      <x:c r="B148" s="167" t="str">
        <x:v>simulated</x:v>
      </x:c>
      <x:c r="C148" s="167" t="str">
        <x:v>density</x:v>
      </x:c>
      <x:c r="D148" s="167" t="str">
        <x:v>m3</x:v>
      </x:c>
      <x:c r="E148" s="167" t="str">
        <x:v>S=D</x:v>
      </x:c>
      <x:c r="F148" s="167" t="str">
        <x:v>pmp_error</x:v>
      </x:c>
      <x:c r="G148" s="167" t="str">
        <x:v>ESS-filtered raw NPE-MCMC central 90% interval [q5, q95]</x:v>
      </x:c>
      <x:c r="H148" s="168" t="n">
        <x:v>-0.0013939881056684</x:v>
      </x:c>
      <x:c r="I148" s="168" t="n">
        <x:v>0.0013939881056685</x:v>
      </x:c>
      <x:c r="J148" s="169" t="n">
        <x:v>9</x:v>
      </x:c>
      <x:c r="K148" s="169" t="n">
        <x:v>30</x:v>
      </x:c>
      <x:c r="L148" s="169" t="n">
        <x:v>10</x:v>
      </x:c>
      <x:c r="M148" s="169" t="n">
        <x:v>70</x:v>
      </x:c>
      <x:c r="N148" s="169" t="n">
        <x:v>119</x:v>
      </x:c>
      <x:c r="O148" s="269" t="n">
        <x:v>0.5263157894736842</x:v>
      </x:c>
      <x:c r="P148" s="219" t="n">
        <x:v>0.3</x:v>
      </x:c>
      <x:c r="Q148" s="269" t="n">
        <x:v>0.3103448275862069</x:v>
      </x:c>
      <x:c r="R148" s="219" t="n">
        <x:v>0.6173684210526316</x:v>
      </x:c>
    </x:row>
    <x:row r="149">
      <x:c r="A149" s="167" t="str">
        <x:v>Diffusion</x:v>
      </x:c>
      <x:c r="B149" s="167" t="str">
        <x:v>simulated</x:v>
      </x:c>
      <x:c r="C149" s="167" t="str">
        <x:v>mmd</x:v>
      </x:c>
      <x:c r="D149" s="167" t="str">
        <x:v>m3</x:v>
      </x:c>
      <x:c r="E149" s="167" t="str">
        <x:v>S=D</x:v>
      </x:c>
      <x:c r="F149" s="167" t="str">
        <x:v>pmp_error</x:v>
      </x:c>
      <x:c r="G149" s="167" t="str">
        <x:v>ESS-filtered raw NPE-MCMC central 90% interval [q5, q95]</x:v>
      </x:c>
      <x:c r="H149" s="168" t="n">
        <x:v>-0.0013939881056684</x:v>
      </x:c>
      <x:c r="I149" s="168" t="n">
        <x:v>0.0013939881056685</x:v>
      </x:c>
      <x:c r="J149" s="169" t="n">
        <x:v>5</x:v>
      </x:c>
      <x:c r="K149" s="169" t="n">
        <x:v>27</x:v>
      </x:c>
      <x:c r="L149" s="169" t="n">
        <x:v>14</x:v>
      </x:c>
      <x:c r="M149" s="169" t="n">
        <x:v>73</x:v>
      </x:c>
      <x:c r="N149" s="169" t="n">
        <x:v>119</x:v>
      </x:c>
      <x:c r="O149" s="219" t="n">
        <x:v>0.7368421052631579</x:v>
      </x:c>
      <x:c r="P149" s="269" t="n">
        <x:v>0.27</x:v>
      </x:c>
      <x:c r="Q149" s="219" t="n">
        <x:v>0.19607843137254902</x:v>
      </x:c>
      <x:c r="R149" s="269" t="n">
        <x:v>0.5463157894736842</x:v>
      </x:c>
    </x:row>
    <x:row r="150">
      <x:c r="A150" s="167" t="str">
        <x:v>Diffusion</x:v>
      </x:c>
      <x:c r="B150" s="167" t="str">
        <x:v>simulated</x:v>
      </x:c>
      <x:c r="C150" s="167" t="str">
        <x:v>l2</x:v>
      </x:c>
      <x:c r="D150" s="167" t="str">
        <x:v>m3</x:v>
      </x:c>
      <x:c r="E150" s="167" t="str">
        <x:v>S=2D</x:v>
      </x:c>
      <x:c r="F150" s="167" t="str">
        <x:v>pmp_error</x:v>
      </x:c>
      <x:c r="G150" s="167" t="str">
        <x:v>ESS-filtered raw NPE-MCMC central 90% interval [q5, q95]</x:v>
      </x:c>
      <x:c r="H150" s="168" t="n">
        <x:v>-0.0008305577012413</x:v>
      </x:c>
      <x:c r="I150" s="168" t="n">
        <x:v>0.0008305577012414</x:v>
      </x:c>
      <x:c r="J150" s="169" t="n">
        <x:v>8</x:v>
      </x:c>
      <x:c r="K150" s="169" t="n">
        <x:v>29</x:v>
      </x:c>
      <x:c r="L150" s="169" t="n">
        <x:v>10</x:v>
      </x:c>
      <x:c r="M150" s="169" t="n">
        <x:v>72</x:v>
      </x:c>
      <x:c r="N150" s="169" t="n">
        <x:v>119</x:v>
      </x:c>
      <x:c r="O150" s="219" t="n">
        <x:v>0.5555555555555556</x:v>
      </x:c>
      <x:c r="P150" s="269" t="n">
        <x:v>0.2871287128712871</x:v>
      </x:c>
      <x:c r="Q150" s="219" t="n">
        <x:v>0.2909090909090909</x:v>
      </x:c>
      <x:c r="R150" s="269" t="n">
        <x:v>0.6171617161716171</x:v>
      </x:c>
    </x:row>
    <x:row r="151">
      <x:c r="A151" s="167" t="str">
        <x:v>Diffusion</x:v>
      </x:c>
      <x:c r="B151" s="167" t="str">
        <x:v>simulated</x:v>
      </x:c>
      <x:c r="C151" s="167" t="str">
        <x:v>linf</x:v>
      </x:c>
      <x:c r="D151" s="167" t="str">
        <x:v>m3</x:v>
      </x:c>
      <x:c r="E151" s="167" t="str">
        <x:v>S=2D</x:v>
      </x:c>
      <x:c r="F151" s="167" t="str">
        <x:v>pmp_error</x:v>
      </x:c>
      <x:c r="G151" s="167" t="str">
        <x:v>ESS-filtered raw NPE-MCMC central 90% interval [q5, q95]</x:v>
      </x:c>
      <x:c r="H151" s="168" t="n">
        <x:v>-0.0008305577012413</x:v>
      </x:c>
      <x:c r="I151" s="168" t="n">
        <x:v>0.0008305577012414</x:v>
      </x:c>
      <x:c r="J151" s="169" t="n">
        <x:v>9</x:v>
      </x:c>
      <x:c r="K151" s="169" t="n">
        <x:v>28</x:v>
      </x:c>
      <x:c r="L151" s="169" t="n">
        <x:v>9</x:v>
      </x:c>
      <x:c r="M151" s="169" t="n">
        <x:v>73</x:v>
      </x:c>
      <x:c r="N151" s="169" t="n">
        <x:v>119</x:v>
      </x:c>
      <x:c r="O151" s="269" t="n">
        <x:v>0.5</x:v>
      </x:c>
      <x:c r="P151" s="219" t="n">
        <x:v>0.27722772277227725</x:v>
      </x:c>
      <x:c r="Q151" s="269" t="n">
        <x:v>0.32727272727272727</x:v>
      </x:c>
      <x:c r="R151" s="219" t="n">
        <x:v>0.6402640264026402</x:v>
      </x:c>
    </x:row>
    <x:row r="152">
      <x:c r="A152" s="167" t="str">
        <x:v>Diffusion</x:v>
      </x:c>
      <x:c r="B152" s="167" t="str">
        <x:v>simulated</x:v>
      </x:c>
      <x:c r="C152" s="167" t="str">
        <x:v>density</x:v>
      </x:c>
      <x:c r="D152" s="167" t="str">
        <x:v>m3</x:v>
      </x:c>
      <x:c r="E152" s="167" t="str">
        <x:v>S=2D</x:v>
      </x:c>
      <x:c r="F152" s="167" t="str">
        <x:v>pmp_error</x:v>
      </x:c>
      <x:c r="G152" s="167" t="str">
        <x:v>ESS-filtered raw NPE-MCMC central 90% interval [q5, q95]</x:v>
      </x:c>
      <x:c r="H152" s="168" t="n">
        <x:v>-0.0008305577012413</x:v>
      </x:c>
      <x:c r="I152" s="168" t="n">
        <x:v>0.0008305577012414</x:v>
      </x:c>
      <x:c r="J152" s="169" t="n">
        <x:v>10</x:v>
      </x:c>
      <x:c r="K152" s="169" t="n">
        <x:v>41</x:v>
      </x:c>
      <x:c r="L152" s="169" t="n">
        <x:v>8</x:v>
      </x:c>
      <x:c r="M152" s="169" t="n">
        <x:v>60</x:v>
      </x:c>
      <x:c r="N152" s="169" t="n">
        <x:v>119</x:v>
      </x:c>
      <x:c r="O152" s="269" t="n">
        <x:v>0.4444444444444444</x:v>
      </x:c>
      <x:c r="P152" s="269" t="n">
        <x:v>0.40594059405940597</x:v>
      </x:c>
      <x:c r="Q152" s="269" t="n">
        <x:v>0.2898550724637681</x:v>
      </x:c>
      <x:c r="R152" s="269" t="n">
        <x:v>0.5902090209020902</x:v>
      </x:c>
    </x:row>
    <x:row r="153">
      <x:c r="A153" s="167" t="str">
        <x:v>Diffusion</x:v>
      </x:c>
      <x:c r="B153" s="167" t="str">
        <x:v>simulated</x:v>
      </x:c>
      <x:c r="C153" s="167" t="str">
        <x:v>mmd</x:v>
      </x:c>
      <x:c r="D153" s="167" t="str">
        <x:v>m3</x:v>
      </x:c>
      <x:c r="E153" s="167" t="str">
        <x:v>S=2D</x:v>
      </x:c>
      <x:c r="F153" s="167" t="str">
        <x:v>pmp_error</x:v>
      </x:c>
      <x:c r="G153" s="167" t="str">
        <x:v>ESS-filtered raw NPE-MCMC central 90% interval [q5, q95]</x:v>
      </x:c>
      <x:c r="H153" s="168" t="n">
        <x:v>-0.0008305577012413</x:v>
      </x:c>
      <x:c r="I153" s="168" t="n">
        <x:v>0.0008305577012414</x:v>
      </x:c>
      <x:c r="J153" s="169" t="n">
        <x:v>4</x:v>
      </x:c>
      <x:c r="K153" s="169" t="n">
        <x:v>26</x:v>
      </x:c>
      <x:c r="L153" s="169" t="n">
        <x:v>14</x:v>
      </x:c>
      <x:c r="M153" s="169" t="n">
        <x:v>75</x:v>
      </x:c>
      <x:c r="N153" s="169" t="n">
        <x:v>119</x:v>
      </x:c>
      <x:c r="O153" s="219" t="n">
        <x:v>0.7777777777777778</x:v>
      </x:c>
      <x:c r="P153" s="269" t="n">
        <x:v>0.25742574257425743</x:v>
      </x:c>
      <x:c r="Q153" s="269" t="n">
        <x:v>0.16666666666666666</x:v>
      </x:c>
      <x:c r="R153" s="269" t="n">
        <x:v>0.5715071507150715</x:v>
      </x:c>
    </x:row>
    <x:row r="154">
      <x:c r="A154" s="167" t="str">
        <x:v>Diffusion</x:v>
      </x:c>
      <x:c r="B154" s="167" t="str">
        <x:v>simulated</x:v>
      </x:c>
      <x:c r="C154" s="167" t="str">
        <x:v>l2</x:v>
      </x:c>
      <x:c r="D154" s="167" t="str">
        <x:v>m3</x:v>
      </x:c>
      <x:c r="E154" s="167" t="str">
        <x:v>S=4D</x:v>
      </x:c>
      <x:c r="F154" s="167" t="str">
        <x:v>pmp_error</x:v>
      </x:c>
      <x:c r="G154" s="167" t="str">
        <x:v>ESS-filtered raw NPE-MCMC central 90% interval [q5, q95]</x:v>
      </x:c>
      <x:c r="H154" s="168" t="n">
        <x:v>-0.0002998693073956</x:v>
      </x:c>
      <x:c r="I154" s="168" t="n">
        <x:v>0.0002998693073957</x:v>
      </x:c>
      <x:c r="J154" s="169" t="n">
        <x:v>12</x:v>
      </x:c>
      <x:c r="K154" s="169" t="n">
        <x:v>29</x:v>
      </x:c>
      <x:c r="L154" s="169" t="n">
        <x:v>19</x:v>
      </x:c>
      <x:c r="M154" s="169" t="n">
        <x:v>59</x:v>
      </x:c>
      <x:c r="N154" s="169" t="n">
        <x:v>119</x:v>
      </x:c>
      <x:c r="O154" s="269" t="n">
        <x:v>0.6129032258064516</x:v>
      </x:c>
      <x:c r="P154" s="269" t="n">
        <x:v>0.32954545454545453</x:v>
      </x:c>
      <x:c r="Q154" s="269" t="n">
        <x:v>0.3333333333333333</x:v>
      </x:c>
      <x:c r="R154" s="269" t="n">
        <x:v>0.5131964809384164</x:v>
      </x:c>
    </x:row>
    <x:row r="155">
      <x:c r="A155" s="167" t="str">
        <x:v>Diffusion</x:v>
      </x:c>
      <x:c r="B155" s="167" t="str">
        <x:v>simulated</x:v>
      </x:c>
      <x:c r="C155" s="167" t="str">
        <x:v>linf</x:v>
      </x:c>
      <x:c r="D155" s="167" t="str">
        <x:v>m3</x:v>
      </x:c>
      <x:c r="E155" s="167" t="str">
        <x:v>S=4D</x:v>
      </x:c>
      <x:c r="F155" s="167" t="str">
        <x:v>pmp_error</x:v>
      </x:c>
      <x:c r="G155" s="167" t="str">
        <x:v>ESS-filtered raw NPE-MCMC central 90% interval [q5, q95]</x:v>
      </x:c>
      <x:c r="H155" s="168" t="n">
        <x:v>-0.0002998693073956</x:v>
      </x:c>
      <x:c r="I155" s="168" t="n">
        <x:v>0.0002998693073957</x:v>
      </x:c>
      <x:c r="J155" s="169" t="n">
        <x:v>12</x:v>
      </x:c>
      <x:c r="K155" s="169" t="n">
        <x:v>27</x:v>
      </x:c>
      <x:c r="L155" s="169" t="n">
        <x:v>19</x:v>
      </x:c>
      <x:c r="M155" s="169" t="n">
        <x:v>61</x:v>
      </x:c>
      <x:c r="N155" s="169" t="n">
        <x:v>119</x:v>
      </x:c>
      <x:c r="O155" s="269" t="n">
        <x:v>0.6129032258064516</x:v>
      </x:c>
      <x:c r="P155" s="219" t="n">
        <x:v>0.3068181818181818</x:v>
      </x:c>
      <x:c r="Q155" s="219" t="n">
        <x:v>0.34285714285714286</x:v>
      </x:c>
      <x:c r="R155" s="219" t="n">
        <x:v>0.531158357771261</x:v>
      </x:c>
    </x:row>
    <x:row r="156">
      <x:c r="A156" s="167" t="str">
        <x:v>Diffusion</x:v>
      </x:c>
      <x:c r="B156" s="167" t="str">
        <x:v>simulated</x:v>
      </x:c>
      <x:c r="C156" s="167" t="str">
        <x:v>density</x:v>
      </x:c>
      <x:c r="D156" s="167" t="str">
        <x:v>m3</x:v>
      </x:c>
      <x:c r="E156" s="167" t="str">
        <x:v>S=4D</x:v>
      </x:c>
      <x:c r="F156" s="167" t="str">
        <x:v>pmp_error</x:v>
      </x:c>
      <x:c r="G156" s="167" t="str">
        <x:v>ESS-filtered raw NPE-MCMC central 90% interval [q5, q95]</x:v>
      </x:c>
      <x:c r="H156" s="168" t="n">
        <x:v>-0.0002998693073956</x:v>
      </x:c>
      <x:c r="I156" s="168" t="n">
        <x:v>0.0002998693073957</x:v>
      </x:c>
      <x:c r="J156" s="169" t="n">
        <x:v>14</x:v>
      </x:c>
      <x:c r="K156" s="169" t="n">
        <x:v>37</x:v>
      </x:c>
      <x:c r="L156" s="169" t="n">
        <x:v>17</x:v>
      </x:c>
      <x:c r="M156" s="169" t="n">
        <x:v>51</x:v>
      </x:c>
      <x:c r="N156" s="169" t="n">
        <x:v>119</x:v>
      </x:c>
      <x:c r="O156" s="269" t="n">
        <x:v>0.5483870967741935</x:v>
      </x:c>
      <x:c r="P156" s="269" t="n">
        <x:v>0.42045454545454547</x:v>
      </x:c>
      <x:c r="Q156" s="269" t="n">
        <x:v>0.34146341463414637</x:v>
      </x:c>
      <x:c r="R156" s="269" t="n">
        <x:v>0.4879032258064516</x:v>
      </x:c>
    </x:row>
    <x:row r="157">
      <x:c r="A157" s="167" t="str">
        <x:v>Diffusion</x:v>
      </x:c>
      <x:c r="B157" s="167" t="str">
        <x:v>simulated</x:v>
      </x:c>
      <x:c r="C157" s="167" t="str">
        <x:v>mmd</x:v>
      </x:c>
      <x:c r="D157" s="167" t="str">
        <x:v>m3</x:v>
      </x:c>
      <x:c r="E157" s="167" t="str">
        <x:v>S=4D</x:v>
      </x:c>
      <x:c r="F157" s="167" t="str">
        <x:v>pmp_error</x:v>
      </x:c>
      <x:c r="G157" s="167" t="str">
        <x:v>ESS-filtered raw NPE-MCMC central 90% interval [q5, q95]</x:v>
      </x:c>
      <x:c r="H157" s="168" t="n">
        <x:v>-0.0002998693073956</x:v>
      </x:c>
      <x:c r="I157" s="168" t="n">
        <x:v>0.0002998693073957</x:v>
      </x:c>
      <x:c r="J157" s="169" t="n">
        <x:v>9</x:v>
      </x:c>
      <x:c r="K157" s="169" t="n">
        <x:v>26</x:v>
      </x:c>
      <x:c r="L157" s="169" t="n">
        <x:v>22</x:v>
      </x:c>
      <x:c r="M157" s="169" t="n">
        <x:v>62</x:v>
      </x:c>
      <x:c r="N157" s="169" t="n">
        <x:v>119</x:v>
      </x:c>
      <x:c r="O157" s="219" t="n">
        <x:v>0.7096774193548387</x:v>
      </x:c>
      <x:c r="P157" s="269" t="n">
        <x:v>0.29545454545454547</x:v>
      </x:c>
      <x:c r="Q157" s="269" t="n">
        <x:v>0.2727272727272727</x:v>
      </x:c>
      <x:c r="R157" s="269" t="n">
        <x:v>0.5076979472140762</x:v>
      </x:c>
    </x:row>
    <x:row r="158">
      <x:c r="A158" s="167" t="str">
        <x:v>Diffusion</x:v>
      </x:c>
      <x:c r="B158" s="167" t="str">
        <x:v>simulated</x:v>
      </x:c>
      <x:c r="C158" s="167" t="str">
        <x:v>l2</x:v>
      </x:c>
      <x:c r="D158" s="167" t="str">
        <x:v>m3</x:v>
      </x:c>
      <x:c r="E158" s="167" t="str">
        <x:v>S=6D</x:v>
      </x:c>
      <x:c r="F158" s="167" t="str">
        <x:v>pmp_error</x:v>
      </x:c>
      <x:c r="G158" s="167" t="str">
        <x:v>ESS-filtered raw NPE-MCMC central 90% interval [q5, q95]</x:v>
      </x:c>
      <x:c r="H158" s="168" t="n">
        <x:v>-0.0003168301065271</x:v>
      </x:c>
      <x:c r="I158" s="168" t="n">
        <x:v>0.0002626847586337</x:v>
      </x:c>
      <x:c r="J158" s="169" t="n">
        <x:v>12</x:v>
      </x:c>
      <x:c r="K158" s="169" t="n">
        <x:v>27</x:v>
      </x:c>
      <x:c r="L158" s="169" t="n">
        <x:v>18</x:v>
      </x:c>
      <x:c r="M158" s="169" t="n">
        <x:v>62</x:v>
      </x:c>
      <x:c r="N158" s="169" t="n">
        <x:v>119</x:v>
      </x:c>
      <x:c r="O158" s="269" t="n">
        <x:v>0.6</x:v>
      </x:c>
      <x:c r="P158" s="269" t="n">
        <x:v>0.30337078651685395</x:v>
      </x:c>
      <x:c r="Q158" s="269" t="n">
        <x:v>0.34782608695652173</x:v>
      </x:c>
      <x:c r="R158" s="269" t="n">
        <x:v>0.5775280898876405</x:v>
      </x:c>
    </x:row>
    <x:row r="159">
      <x:c r="A159" s="167" t="str">
        <x:v>Diffusion</x:v>
      </x:c>
      <x:c r="B159" s="167" t="str">
        <x:v>simulated</x:v>
      </x:c>
      <x:c r="C159" s="167" t="str">
        <x:v>linf</x:v>
      </x:c>
      <x:c r="D159" s="167" t="str">
        <x:v>m3</x:v>
      </x:c>
      <x:c r="E159" s="167" t="str">
        <x:v>S=6D</x:v>
      </x:c>
      <x:c r="F159" s="167" t="str">
        <x:v>pmp_error</x:v>
      </x:c>
      <x:c r="G159" s="167" t="str">
        <x:v>ESS-filtered raw NPE-MCMC central 90% interval [q5, q95]</x:v>
      </x:c>
      <x:c r="H159" s="168" t="n">
        <x:v>-0.0003168301065271</x:v>
      </x:c>
      <x:c r="I159" s="168" t="n">
        <x:v>0.0002626847586337</x:v>
      </x:c>
      <x:c r="J159" s="169" t="n">
        <x:v>12</x:v>
      </x:c>
      <x:c r="K159" s="169" t="n">
        <x:v>23</x:v>
      </x:c>
      <x:c r="L159" s="169" t="n">
        <x:v>18</x:v>
      </x:c>
      <x:c r="M159" s="169" t="n">
        <x:v>66</x:v>
      </x:c>
      <x:c r="N159" s="169" t="n">
        <x:v>119</x:v>
      </x:c>
      <x:c r="O159" s="219" t="n">
        <x:v>0.6</x:v>
      </x:c>
      <x:c r="P159" s="219" t="n">
        <x:v>0.25842696629213485</x:v>
      </x:c>
      <x:c r="Q159" s="219" t="n">
        <x:v>0.36923076923076925</x:v>
      </x:c>
      <x:c r="R159" s="219" t="n">
        <x:v>0.5940074906367041</x:v>
      </x:c>
    </x:row>
    <x:row r="160">
      <x:c r="A160" s="167" t="str">
        <x:v>Diffusion</x:v>
      </x:c>
      <x:c r="B160" s="167" t="str">
        <x:v>simulated</x:v>
      </x:c>
      <x:c r="C160" s="167" t="str">
        <x:v>density</x:v>
      </x:c>
      <x:c r="D160" s="167" t="str">
        <x:v>m3</x:v>
      </x:c>
      <x:c r="E160" s="167" t="str">
        <x:v>S=6D</x:v>
      </x:c>
      <x:c r="F160" s="167" t="str">
        <x:v>pmp_error</x:v>
      </x:c>
      <x:c r="G160" s="167" t="str">
        <x:v>ESS-filtered raw NPE-MCMC central 90% interval [q5, q95]</x:v>
      </x:c>
      <x:c r="H160" s="168" t="n">
        <x:v>-0.0003168301065271</x:v>
      </x:c>
      <x:c r="I160" s="168" t="n">
        <x:v>0.0002626847586337</x:v>
      </x:c>
      <x:c r="J160" s="169" t="n">
        <x:v>15</x:v>
      </x:c>
      <x:c r="K160" s="169" t="n">
        <x:v>36</x:v>
      </x:c>
      <x:c r="L160" s="169" t="n">
        <x:v>15</x:v>
      </x:c>
      <x:c r="M160" s="169" t="n">
        <x:v>53</x:v>
      </x:c>
      <x:c r="N160" s="169" t="n">
        <x:v>119</x:v>
      </x:c>
      <x:c r="O160" s="269" t="n">
        <x:v>0.5</x:v>
      </x:c>
      <x:c r="P160" s="269" t="n">
        <x:v>0.4044943820224719</x:v>
      </x:c>
      <x:c r="Q160" s="269" t="n">
        <x:v>0.37037037037037035</x:v>
      </x:c>
      <x:c r="R160" s="269" t="n">
        <x:v>0.59625468164794</x:v>
      </x:c>
    </x:row>
    <x:row r="161">
      <x:c r="A161" s="167" t="str">
        <x:v>Diffusion</x:v>
      </x:c>
      <x:c r="B161" s="167" t="str">
        <x:v>simulated</x:v>
      </x:c>
      <x:c r="C161" s="167" t="str">
        <x:v>mmd</x:v>
      </x:c>
      <x:c r="D161" s="167" t="str">
        <x:v>m3</x:v>
      </x:c>
      <x:c r="E161" s="167" t="str">
        <x:v>S=6D</x:v>
      </x:c>
      <x:c r="F161" s="167" t="str">
        <x:v>pmp_error</x:v>
      </x:c>
      <x:c r="G161" s="167" t="str">
        <x:v>ESS-filtered raw NPE-MCMC central 90% interval [q5, q95]</x:v>
      </x:c>
      <x:c r="H161" s="168" t="n">
        <x:v>-0.0003168301065271</x:v>
      </x:c>
      <x:c r="I161" s="168" t="n">
        <x:v>0.0002626847586337</x:v>
      </x:c>
      <x:c r="J161" s="169" t="n">
        <x:v>11</x:v>
      </x:c>
      <x:c r="K161" s="169" t="n">
        <x:v>26</x:v>
      </x:c>
      <x:c r="L161" s="169" t="n">
        <x:v>19</x:v>
      </x:c>
      <x:c r="M161" s="169" t="n">
        <x:v>63</x:v>
      </x:c>
      <x:c r="N161" s="169" t="n">
        <x:v>119</x:v>
      </x:c>
      <x:c r="O161" s="219" t="n">
        <x:v>0.6333333333333333</x:v>
      </x:c>
      <x:c r="P161" s="269" t="n">
        <x:v>0.29213483146067415</x:v>
      </x:c>
      <x:c r="Q161" s="269" t="n">
        <x:v>0.3283582089552239</x:v>
      </x:c>
      <x:c r="R161" s="269" t="n">
        <x:v>0.5543071161048689</x:v>
      </x:c>
    </x:row>
    <x:row r="162">
      <x:c r="A162" s="167" t="str">
        <x:v>Diffusion</x:v>
      </x:c>
      <x:c r="B162" s="167" t="str">
        <x:v>simulated</x:v>
      </x:c>
      <x:c r="C162" s="167" t="str">
        <x:v>l2</x:v>
      </x:c>
      <x:c r="D162" s="167" t="str">
        <x:v>m1</x:v>
      </x:c>
      <x:c r="E162" s="167" t="str">
        <x:v>S=D</x:v>
      </x:c>
      <x:c r="F162" s="167" t="str">
        <x:v>posterior_mmd</x:v>
      </x:c>
      <x:c r="G162" s="167" t="str">
        <x:v>ESS-filtered raw NPE-MCMC interval [0, q95]</x:v>
      </x:c>
      <x:c r="H162" s="168" t="n">
        <x:v>0</x:v>
      </x:c>
      <x:c r="I162" s="168" t="n">
        <x:v>0.2568952053671909</x:v>
      </x:c>
      <x:c r="J162" s="169" t="n">
        <x:v>38</x:v>
      </x:c>
      <x:c r="K162" s="169" t="n">
        <x:v>6</x:v>
      </x:c>
      <x:c r="L162" s="169" t="n">
        <x:v>20</x:v>
      </x:c>
      <x:c r="M162" s="169" t="n">
        <x:v>55</x:v>
      </x:c>
      <x:c r="N162" s="169" t="n">
        <x:v>119</x:v>
      </x:c>
      <x:c r="O162" s="269" t="n">
        <x:v>0.3448275862068966</x:v>
      </x:c>
      <x:c r="P162" s="219" t="n">
        <x:v>0.09836065573770492</x:v>
      </x:c>
      <x:c r="Q162" s="219" t="n">
        <x:v>0.7450980392156863</x:v>
      </x:c>
      <x:c r="R162" s="219" t="n">
        <x:v>0.8273035613340872</x:v>
      </x:c>
    </x:row>
    <x:row r="163">
      <x:c r="A163" s="167" t="str">
        <x:v>Diffusion</x:v>
      </x:c>
      <x:c r="B163" s="167" t="str">
        <x:v>simulated</x:v>
      </x:c>
      <x:c r="C163" s="167" t="str">
        <x:v>linf</x:v>
      </x:c>
      <x:c r="D163" s="167" t="str">
        <x:v>m1</x:v>
      </x:c>
      <x:c r="E163" s="167" t="str">
        <x:v>S=D</x:v>
      </x:c>
      <x:c r="F163" s="167" t="str">
        <x:v>posterior_mmd</x:v>
      </x:c>
      <x:c r="G163" s="167" t="str">
        <x:v>ESS-filtered raw NPE-MCMC interval [0, q95]</x:v>
      </x:c>
      <x:c r="H163" s="168" t="n">
        <x:v>0</x:v>
      </x:c>
      <x:c r="I163" s="168" t="n">
        <x:v>0.2568952053671909</x:v>
      </x:c>
      <x:c r="J163" s="169" t="n">
        <x:v>35</x:v>
      </x:c>
      <x:c r="K163" s="169" t="n">
        <x:v>8</x:v>
      </x:c>
      <x:c r="L163" s="169" t="n">
        <x:v>23</x:v>
      </x:c>
      <x:c r="M163" s="169" t="n">
        <x:v>53</x:v>
      </x:c>
      <x:c r="N163" s="169" t="n">
        <x:v>119</x:v>
      </x:c>
      <x:c r="O163" s="269" t="n">
        <x:v>0.39655172413793105</x:v>
      </x:c>
      <x:c r="P163" s="269" t="n">
        <x:v>0.13114754098360656</x:v>
      </x:c>
      <x:c r="Q163" s="269" t="n">
        <x:v>0.693069306930693</x:v>
      </x:c>
      <x:c r="R163" s="269" t="n">
        <x:v>0.8309779536461277</x:v>
      </x:c>
    </x:row>
    <x:row r="164">
      <x:c r="A164" s="167" t="str">
        <x:v>Diffusion</x:v>
      </x:c>
      <x:c r="B164" s="167" t="str">
        <x:v>simulated</x:v>
      </x:c>
      <x:c r="C164" s="167" t="str">
        <x:v>density</x:v>
      </x:c>
      <x:c r="D164" s="167" t="str">
        <x:v>m1</x:v>
      </x:c>
      <x:c r="E164" s="167" t="str">
        <x:v>S=D</x:v>
      </x:c>
      <x:c r="F164" s="167" t="str">
        <x:v>posterior_mmd</x:v>
      </x:c>
      <x:c r="G164" s="167" t="str">
        <x:v>ESS-filtered raw NPE-MCMC interval [0, q95]</x:v>
      </x:c>
      <x:c r="H164" s="168" t="n">
        <x:v>0</x:v>
      </x:c>
      <x:c r="I164" s="168" t="n">
        <x:v>0.2568952053671909</x:v>
      </x:c>
      <x:c r="J164" s="169" t="n">
        <x:v>46</x:v>
      </x:c>
      <x:c r="K164" s="169" t="n">
        <x:v>13</x:v>
      </x:c>
      <x:c r="L164" s="169" t="n">
        <x:v>12</x:v>
      </x:c>
      <x:c r="M164" s="169" t="n">
        <x:v>48</x:v>
      </x:c>
      <x:c r="N164" s="169" t="n">
        <x:v>119</x:v>
      </x:c>
      <x:c r="O164" s="219" t="n">
        <x:v>0.20689655172413793</x:v>
      </x:c>
      <x:c r="P164" s="269" t="n">
        <x:v>0.21311475409836064</x:v>
      </x:c>
      <x:c r="Q164" s="269" t="n">
        <x:v>0.7863247863247863</x:v>
      </x:c>
      <x:c r="R164" s="269" t="n">
        <x:v>0.8558507631430186</x:v>
      </x:c>
    </x:row>
    <x:row r="165">
      <x:c r="A165" s="167" t="str">
        <x:v>Diffusion</x:v>
      </x:c>
      <x:c r="B165" s="167" t="str">
        <x:v>simulated</x:v>
      </x:c>
      <x:c r="C165" s="167" t="str">
        <x:v>mmd</x:v>
      </x:c>
      <x:c r="D165" s="167" t="str">
        <x:v>m1</x:v>
      </x:c>
      <x:c r="E165" s="167" t="str">
        <x:v>S=D</x:v>
      </x:c>
      <x:c r="F165" s="167" t="str">
        <x:v>posterior_mmd</x:v>
      </x:c>
      <x:c r="G165" s="167" t="str">
        <x:v>ESS-filtered raw NPE-MCMC interval [0, q95]</x:v>
      </x:c>
      <x:c r="H165" s="168" t="n">
        <x:v>0</x:v>
      </x:c>
      <x:c r="I165" s="168" t="n">
        <x:v>0.2568952053671909</x:v>
      </x:c>
      <x:c r="J165" s="169" t="n">
        <x:v>19</x:v>
      </x:c>
      <x:c r="K165" s="169" t="n">
        <x:v>3</x:v>
      </x:c>
      <x:c r="L165" s="169" t="n">
        <x:v>39</x:v>
      </x:c>
      <x:c r="M165" s="169" t="n">
        <x:v>58</x:v>
      </x:c>
      <x:c r="N165" s="169" t="n">
        <x:v>119</x:v>
      </x:c>
      <x:c r="O165" s="269" t="n">
        <x:v>0.6724137931034483</x:v>
      </x:c>
      <x:c r="P165" s="269" t="n">
        <x:v>0.04918032786885246</x:v>
      </x:c>
      <x:c r="Q165" s="269" t="n">
        <x:v>0.475</x:v>
      </x:c>
      <x:c r="R165" s="269" t="n">
        <x:v>0.7589033352176371</x:v>
      </x:c>
    </x:row>
    <x:row r="166">
      <x:c r="A166" s="167" t="str">
        <x:v>Diffusion</x:v>
      </x:c>
      <x:c r="B166" s="167" t="str">
        <x:v>simulated</x:v>
      </x:c>
      <x:c r="C166" s="167" t="str">
        <x:v>l2</x:v>
      </x:c>
      <x:c r="D166" s="167" t="str">
        <x:v>m1</x:v>
      </x:c>
      <x:c r="E166" s="167" t="str">
        <x:v>S=2D</x:v>
      </x:c>
      <x:c r="F166" s="167" t="str">
        <x:v>posterior_mmd</x:v>
      </x:c>
      <x:c r="G166" s="167" t="str">
        <x:v>ESS-filtered raw NPE-MCMC interval [0, q95]</x:v>
      </x:c>
      <x:c r="H166" s="168" t="n">
        <x:v>0</x:v>
      </x:c>
      <x:c r="I166" s="168" t="n">
        <x:v>0.2601570480507253</x:v>
      </x:c>
      <x:c r="J166" s="169" t="n">
        <x:v>39</x:v>
      </x:c>
      <x:c r="K166" s="169" t="n">
        <x:v>9</x:v>
      </x:c>
      <x:c r="L166" s="169" t="n">
        <x:v>14</x:v>
      </x:c>
      <x:c r="M166" s="169" t="n">
        <x:v>57</x:v>
      </x:c>
      <x:c r="N166" s="169" t="n">
        <x:v>119</x:v>
      </x:c>
      <x:c r="O166" s="269" t="n">
        <x:v>0.2641509433962264</x:v>
      </x:c>
      <x:c r="P166" s="219" t="n">
        <x:v>0.13636363636363635</x:v>
      </x:c>
      <x:c r="Q166" s="219" t="n">
        <x:v>0.7722772277227723</x:v>
      </x:c>
      <x:c r="R166" s="269" t="n">
        <x:v>0.8767867352773013</x:v>
      </x:c>
    </x:row>
    <x:row r="167">
      <x:c r="A167" s="167" t="str">
        <x:v>Diffusion</x:v>
      </x:c>
      <x:c r="B167" s="167" t="str">
        <x:v>simulated</x:v>
      </x:c>
      <x:c r="C167" s="167" t="str">
        <x:v>linf</x:v>
      </x:c>
      <x:c r="D167" s="167" t="str">
        <x:v>m1</x:v>
      </x:c>
      <x:c r="E167" s="167" t="str">
        <x:v>S=2D</x:v>
      </x:c>
      <x:c r="F167" s="167" t="str">
        <x:v>posterior_mmd</x:v>
      </x:c>
      <x:c r="G167" s="167" t="str">
        <x:v>ESS-filtered raw NPE-MCMC interval [0, q95]</x:v>
      </x:c>
      <x:c r="H167" s="168" t="n">
        <x:v>0</x:v>
      </x:c>
      <x:c r="I167" s="168" t="n">
        <x:v>0.2601570480507253</x:v>
      </x:c>
      <x:c r="J167" s="169" t="n">
        <x:v>40</x:v>
      </x:c>
      <x:c r="K167" s="169" t="n">
        <x:v>9</x:v>
      </x:c>
      <x:c r="L167" s="169" t="n">
        <x:v>13</x:v>
      </x:c>
      <x:c r="M167" s="169" t="n">
        <x:v>57</x:v>
      </x:c>
      <x:c r="N167" s="169" t="n">
        <x:v>119</x:v>
      </x:c>
      <x:c r="O167" s="269" t="n">
        <x:v>0.24528301886792453</x:v>
      </x:c>
      <x:c r="P167" s="269" t="n">
        <x:v>0.13636363636363635</x:v>
      </x:c>
      <x:c r="Q167" s="269" t="n">
        <x:v>0.7843137254901961</x:v>
      </x:c>
      <x:c r="R167" s="219" t="n">
        <x:v>0.8785020011435105</x:v>
      </x:c>
    </x:row>
    <x:row r="168">
      <x:c r="A168" s="167" t="str">
        <x:v>Diffusion</x:v>
      </x:c>
      <x:c r="B168" s="167" t="str">
        <x:v>simulated</x:v>
      </x:c>
      <x:c r="C168" s="167" t="str">
        <x:v>density</x:v>
      </x:c>
      <x:c r="D168" s="167" t="str">
        <x:v>m1</x:v>
      </x:c>
      <x:c r="E168" s="167" t="str">
        <x:v>S=2D</x:v>
      </x:c>
      <x:c r="F168" s="167" t="str">
        <x:v>posterior_mmd</x:v>
      </x:c>
      <x:c r="G168" s="167" t="str">
        <x:v>ESS-filtered raw NPE-MCMC interval [0, q95]</x:v>
      </x:c>
      <x:c r="H168" s="168" t="n">
        <x:v>0</x:v>
      </x:c>
      <x:c r="I168" s="168" t="n">
        <x:v>0.2601570480507253</x:v>
      </x:c>
      <x:c r="J168" s="169" t="n">
        <x:v>48</x:v>
      </x:c>
      <x:c r="K168" s="169" t="n">
        <x:v>31</x:v>
      </x:c>
      <x:c r="L168" s="169" t="n">
        <x:v>5</x:v>
      </x:c>
      <x:c r="M168" s="169" t="n">
        <x:v>35</x:v>
      </x:c>
      <x:c r="N168" s="169" t="n">
        <x:v>119</x:v>
      </x:c>
      <x:c r="O168" s="219" t="n">
        <x:v>0.09433962264150944</x:v>
      </x:c>
      <x:c r="P168" s="269" t="n">
        <x:v>0.4696969696969697</x:v>
      </x:c>
      <x:c r="Q168" s="269" t="n">
        <x:v>0.7272727272727273</x:v>
      </x:c>
      <x:c r="R168" s="269" t="n">
        <x:v>0.8453401943967983</x:v>
      </x:c>
    </x:row>
    <x:row r="169">
      <x:c r="A169" s="167" t="str">
        <x:v>Diffusion</x:v>
      </x:c>
      <x:c r="B169" s="167" t="str">
        <x:v>simulated</x:v>
      </x:c>
      <x:c r="C169" s="167" t="str">
        <x:v>mmd</x:v>
      </x:c>
      <x:c r="D169" s="167" t="str">
        <x:v>m1</x:v>
      </x:c>
      <x:c r="E169" s="167" t="str">
        <x:v>S=2D</x:v>
      </x:c>
      <x:c r="F169" s="167" t="str">
        <x:v>posterior_mmd</x:v>
      </x:c>
      <x:c r="G169" s="167" t="str">
        <x:v>ESS-filtered raw NPE-MCMC interval [0, q95]</x:v>
      </x:c>
      <x:c r="H169" s="168" t="n">
        <x:v>0</x:v>
      </x:c>
      <x:c r="I169" s="168" t="n">
        <x:v>0.2601570480507253</x:v>
      </x:c>
      <x:c r="J169" s="169" t="n">
        <x:v>33</x:v>
      </x:c>
      <x:c r="K169" s="169" t="n">
        <x:v>4</x:v>
      </x:c>
      <x:c r="L169" s="169" t="n">
        <x:v>20</x:v>
      </x:c>
      <x:c r="M169" s="169" t="n">
        <x:v>62</x:v>
      </x:c>
      <x:c r="N169" s="169" t="n">
        <x:v>119</x:v>
      </x:c>
      <x:c r="O169" s="269" t="n">
        <x:v>0.37735849056603776</x:v>
      </x:c>
      <x:c r="P169" s="219" t="n">
        <x:v>0.06060606060606061</x:v>
      </x:c>
      <x:c r="Q169" s="269" t="n">
        <x:v>0.7333333333333333</x:v>
      </x:c>
      <x:c r="R169" s="269" t="n">
        <x:v>0.8699256718124643</x:v>
      </x:c>
    </x:row>
    <x:row r="170">
      <x:c r="A170" s="167" t="str">
        <x:v>Diffusion</x:v>
      </x:c>
      <x:c r="B170" s="167" t="str">
        <x:v>simulated</x:v>
      </x:c>
      <x:c r="C170" s="167" t="str">
        <x:v>l2</x:v>
      </x:c>
      <x:c r="D170" s="167" t="str">
        <x:v>m1</x:v>
      </x:c>
      <x:c r="E170" s="167" t="str">
        <x:v>S=4D</x:v>
      </x:c>
      <x:c r="F170" s="167" t="str">
        <x:v>posterior_mmd</x:v>
      </x:c>
      <x:c r="G170" s="167" t="str">
        <x:v>ESS-filtered raw NPE-MCMC interval [0, q95]</x:v>
      </x:c>
      <x:c r="H170" s="168" t="n">
        <x:v>0</x:v>
      </x:c>
      <x:c r="I170" s="168" t="n">
        <x:v>0.2541019682951986</x:v>
      </x:c>
      <x:c r="J170" s="169" t="n">
        <x:v>54</x:v>
      </x:c>
      <x:c r="K170" s="169" t="n">
        <x:v>11</x:v>
      </x:c>
      <x:c r="L170" s="169" t="n">
        <x:v>8</x:v>
      </x:c>
      <x:c r="M170" s="169" t="n">
        <x:v>46</x:v>
      </x:c>
      <x:c r="N170" s="169" t="n">
        <x:v>119</x:v>
      </x:c>
      <x:c r="O170" s="219" t="n">
        <x:v>0.12903225806451613</x:v>
      </x:c>
      <x:c r="P170" s="269" t="n">
        <x:v>0.19298245614035087</x:v>
      </x:c>
      <x:c r="Q170" s="219" t="n">
        <x:v>0.8503937007874016</x:v>
      </x:c>
      <x:c r="R170" s="219" t="n">
        <x:v>0.9219015280135823</x:v>
      </x:c>
    </x:row>
    <x:row r="171">
      <x:c r="A171" s="167" t="str">
        <x:v>Diffusion</x:v>
      </x:c>
      <x:c r="B171" s="167" t="str">
        <x:v>simulated</x:v>
      </x:c>
      <x:c r="C171" s="167" t="str">
        <x:v>linf</x:v>
      </x:c>
      <x:c r="D171" s="167" t="str">
        <x:v>m1</x:v>
      </x:c>
      <x:c r="E171" s="167" t="str">
        <x:v>S=4D</x:v>
      </x:c>
      <x:c r="F171" s="167" t="str">
        <x:v>posterior_mmd</x:v>
      </x:c>
      <x:c r="G171" s="167" t="str">
        <x:v>ESS-filtered raw NPE-MCMC interval [0, q95]</x:v>
      </x:c>
      <x:c r="H171" s="168" t="n">
        <x:v>0</x:v>
      </x:c>
      <x:c r="I171" s="168" t="n">
        <x:v>0.2541019682951986</x:v>
      </x:c>
      <x:c r="J171" s="169" t="n">
        <x:v>49</x:v>
      </x:c>
      <x:c r="K171" s="169" t="n">
        <x:v>12</x:v>
      </x:c>
      <x:c r="L171" s="169" t="n">
        <x:v>13</x:v>
      </x:c>
      <x:c r="M171" s="169" t="n">
        <x:v>45</x:v>
      </x:c>
      <x:c r="N171" s="169" t="n">
        <x:v>119</x:v>
      </x:c>
      <x:c r="O171" s="269" t="n">
        <x:v>0.20967741935483872</x:v>
      </x:c>
      <x:c r="P171" s="269" t="n">
        <x:v>0.21052631578947367</x:v>
      </x:c>
      <x:c r="Q171" s="269" t="n">
        <x:v>0.7967479674796748</x:v>
      </x:c>
      <x:c r="R171" s="269" t="n">
        <x:v>0.8967176004527447</x:v>
      </x:c>
    </x:row>
    <x:row r="172">
      <x:c r="A172" s="167" t="str">
        <x:v>Diffusion</x:v>
      </x:c>
      <x:c r="B172" s="167" t="str">
        <x:v>simulated</x:v>
      </x:c>
      <x:c r="C172" s="167" t="str">
        <x:v>density</x:v>
      </x:c>
      <x:c r="D172" s="167" t="str">
        <x:v>m1</x:v>
      </x:c>
      <x:c r="E172" s="167" t="str">
        <x:v>S=4D</x:v>
      </x:c>
      <x:c r="F172" s="167" t="str">
        <x:v>posterior_mmd</x:v>
      </x:c>
      <x:c r="G172" s="167" t="str">
        <x:v>ESS-filtered raw NPE-MCMC interval [0, q95]</x:v>
      </x:c>
      <x:c r="H172" s="168" t="n">
        <x:v>0</x:v>
      </x:c>
      <x:c r="I172" s="168" t="n">
        <x:v>0.2541019682951986</x:v>
      </x:c>
      <x:c r="J172" s="169" t="n">
        <x:v>60</x:v>
      </x:c>
      <x:c r="K172" s="169" t="n">
        <x:v>20</x:v>
      </x:c>
      <x:c r="L172" s="169" t="n">
        <x:v>2</x:v>
      </x:c>
      <x:c r="M172" s="169" t="n">
        <x:v>37</x:v>
      </x:c>
      <x:c r="N172" s="169" t="n">
        <x:v>119</x:v>
      </x:c>
      <x:c r="O172" s="219" t="n">
        <x:v>0.03225806451612903</x:v>
      </x:c>
      <x:c r="P172" s="269" t="n">
        <x:v>0.3508771929824561</x:v>
      </x:c>
      <x:c r="Q172" s="269" t="n">
        <x:v>0.8450704225352113</x:v>
      </x:c>
      <x:c r="R172" s="269" t="n">
        <x:v>0.8890775325410301</x:v>
      </x:c>
    </x:row>
    <x:row r="173">
      <x:c r="A173" s="167" t="str">
        <x:v>Diffusion</x:v>
      </x:c>
      <x:c r="B173" s="167" t="str">
        <x:v>simulated</x:v>
      </x:c>
      <x:c r="C173" s="167" t="str">
        <x:v>mmd</x:v>
      </x:c>
      <x:c r="D173" s="167" t="str">
        <x:v>m1</x:v>
      </x:c>
      <x:c r="E173" s="167" t="str">
        <x:v>S=4D</x:v>
      </x:c>
      <x:c r="F173" s="167" t="str">
        <x:v>posterior_mmd</x:v>
      </x:c>
      <x:c r="G173" s="167" t="str">
        <x:v>ESS-filtered raw NPE-MCMC interval [0, q95]</x:v>
      </x:c>
      <x:c r="H173" s="168" t="n">
        <x:v>0</x:v>
      </x:c>
      <x:c r="I173" s="168" t="n">
        <x:v>0.2541019682951986</x:v>
      </x:c>
      <x:c r="J173" s="169" t="n">
        <x:v>24</x:v>
      </x:c>
      <x:c r="K173" s="169" t="n">
        <x:v>2</x:v>
      </x:c>
      <x:c r="L173" s="169" t="n">
        <x:v>38</x:v>
      </x:c>
      <x:c r="M173" s="169" t="n">
        <x:v>55</x:v>
      </x:c>
      <x:c r="N173" s="169" t="n">
        <x:v>119</x:v>
      </x:c>
      <x:c r="O173" s="269" t="n">
        <x:v>0.6129032258064516</x:v>
      </x:c>
      <x:c r="P173" s="219" t="n">
        <x:v>0.03508771929824561</x:v>
      </x:c>
      <x:c r="Q173" s="269" t="n">
        <x:v>0.5454545454545454</x:v>
      </x:c>
      <x:c r="R173" s="269" t="n">
        <x:v>0.8455008488964346</x:v>
      </x:c>
    </x:row>
    <x:row r="174">
      <x:c r="A174" s="167" t="str">
        <x:v>Diffusion</x:v>
      </x:c>
      <x:c r="B174" s="167" t="str">
        <x:v>simulated</x:v>
      </x:c>
      <x:c r="C174" s="167" t="str">
        <x:v>l2</x:v>
      </x:c>
      <x:c r="D174" s="167" t="str">
        <x:v>m1</x:v>
      </x:c>
      <x:c r="E174" s="167" t="str">
        <x:v>S=6D</x:v>
      </x:c>
      <x:c r="F174" s="167" t="str">
        <x:v>posterior_mmd</x:v>
      </x:c>
      <x:c r="G174" s="167" t="str">
        <x:v>ESS-filtered raw NPE-MCMC interval [0, q95]</x:v>
      </x:c>
      <x:c r="H174" s="168" t="n">
        <x:v>0</x:v>
      </x:c>
      <x:c r="I174" s="168" t="n">
        <x:v>0.2516644289461925</x:v>
      </x:c>
      <x:c r="J174" s="169" t="n">
        <x:v>50</x:v>
      </x:c>
      <x:c r="K174" s="169" t="n">
        <x:v>12</x:v>
      </x:c>
      <x:c r="L174" s="169" t="n">
        <x:v>7</x:v>
      </x:c>
      <x:c r="M174" s="169" t="n">
        <x:v>50</x:v>
      </x:c>
      <x:c r="N174" s="169" t="n">
        <x:v>119</x:v>
      </x:c>
      <x:c r="O174" s="269" t="n">
        <x:v>0.12280701754385964</x:v>
      </x:c>
      <x:c r="P174" s="269" t="n">
        <x:v>0.1935483870967742</x:v>
      </x:c>
      <x:c r="Q174" s="219" t="n">
        <x:v>0.8403361344537815</x:v>
      </x:c>
      <x:c r="R174" s="219" t="n">
        <x:v>0.9377475947934353</x:v>
      </x:c>
    </x:row>
    <x:row r="175">
      <x:c r="A175" s="167" t="str">
        <x:v>Diffusion</x:v>
      </x:c>
      <x:c r="B175" s="167" t="str">
        <x:v>simulated</x:v>
      </x:c>
      <x:c r="C175" s="167" t="str">
        <x:v>linf</x:v>
      </x:c>
      <x:c r="D175" s="167" t="str">
        <x:v>m1</x:v>
      </x:c>
      <x:c r="E175" s="167" t="str">
        <x:v>S=6D</x:v>
      </x:c>
      <x:c r="F175" s="167" t="str">
        <x:v>posterior_mmd</x:v>
      </x:c>
      <x:c r="G175" s="167" t="str">
        <x:v>ESS-filtered raw NPE-MCMC interval [0, q95]</x:v>
      </x:c>
      <x:c r="H175" s="168" t="n">
        <x:v>0</x:v>
      </x:c>
      <x:c r="I175" s="168" t="n">
        <x:v>0.2516644289461925</x:v>
      </x:c>
      <x:c r="J175" s="169" t="n">
        <x:v>50</x:v>
      </x:c>
      <x:c r="K175" s="169" t="n">
        <x:v>12</x:v>
      </x:c>
      <x:c r="L175" s="169" t="n">
        <x:v>7</x:v>
      </x:c>
      <x:c r="M175" s="169" t="n">
        <x:v>50</x:v>
      </x:c>
      <x:c r="N175" s="169" t="n">
        <x:v>119</x:v>
      </x:c>
      <x:c r="O175" s="269" t="n">
        <x:v>0.12280701754385964</x:v>
      </x:c>
      <x:c r="P175" s="269" t="n">
        <x:v>0.1935483870967742</x:v>
      </x:c>
      <x:c r="Q175" s="219" t="n">
        <x:v>0.8403361344537815</x:v>
      </x:c>
      <x:c r="R175" s="269" t="n">
        <x:v>0.9326542161856254</x:v>
      </x:c>
    </x:row>
    <x:row r="176">
      <x:c r="A176" s="167" t="str">
        <x:v>Diffusion</x:v>
      </x:c>
      <x:c r="B176" s="167" t="str">
        <x:v>simulated</x:v>
      </x:c>
      <x:c r="C176" s="167" t="str">
        <x:v>density</x:v>
      </x:c>
      <x:c r="D176" s="167" t="str">
        <x:v>m1</x:v>
      </x:c>
      <x:c r="E176" s="167" t="str">
        <x:v>S=6D</x:v>
      </x:c>
      <x:c r="F176" s="167" t="str">
        <x:v>posterior_mmd</x:v>
      </x:c>
      <x:c r="G176" s="167" t="str">
        <x:v>ESS-filtered raw NPE-MCMC interval [0, q95]</x:v>
      </x:c>
      <x:c r="H176" s="168" t="n">
        <x:v>0</x:v>
      </x:c>
      <x:c r="I176" s="168" t="n">
        <x:v>0.2516644289461925</x:v>
      </x:c>
      <x:c r="J176" s="169" t="n">
        <x:v>56</x:v>
      </x:c>
      <x:c r="K176" s="169" t="n">
        <x:v>25</x:v>
      </x:c>
      <x:c r="L176" s="169" t="n">
        <x:v>1</x:v>
      </x:c>
      <x:c r="M176" s="169" t="n">
        <x:v>37</x:v>
      </x:c>
      <x:c r="N176" s="169" t="n">
        <x:v>119</x:v>
      </x:c>
      <x:c r="O176" s="219" t="n">
        <x:v>0.017543859649122806</x:v>
      </x:c>
      <x:c r="P176" s="269" t="n">
        <x:v>0.4032258064516129</x:v>
      </x:c>
      <x:c r="Q176" s="269" t="n">
        <x:v>0.8115942028985508</x:v>
      </x:c>
      <x:c r="R176" s="269" t="n">
        <x:v>0.8941709111488398</x:v>
      </x:c>
    </x:row>
    <x:row r="177">
      <x:c r="A177" s="167" t="str">
        <x:v>Diffusion</x:v>
      </x:c>
      <x:c r="B177" s="167" t="str">
        <x:v>simulated</x:v>
      </x:c>
      <x:c r="C177" s="167" t="str">
        <x:v>mmd</x:v>
      </x:c>
      <x:c r="D177" s="167" t="str">
        <x:v>m1</x:v>
      </x:c>
      <x:c r="E177" s="167" t="str">
        <x:v>S=6D</x:v>
      </x:c>
      <x:c r="F177" s="167" t="str">
        <x:v>posterior_mmd</x:v>
      </x:c>
      <x:c r="G177" s="167" t="str">
        <x:v>ESS-filtered raw NPE-MCMC interval [0, q95]</x:v>
      </x:c>
      <x:c r="H177" s="168" t="n">
        <x:v>0</x:v>
      </x:c>
      <x:c r="I177" s="168" t="n">
        <x:v>0.2516644289461925</x:v>
      </x:c>
      <x:c r="J177" s="169" t="n">
        <x:v>32</x:v>
      </x:c>
      <x:c r="K177" s="169" t="n">
        <x:v>3</x:v>
      </x:c>
      <x:c r="L177" s="169" t="n">
        <x:v>25</x:v>
      </x:c>
      <x:c r="M177" s="169" t="n">
        <x:v>59</x:v>
      </x:c>
      <x:c r="N177" s="169" t="n">
        <x:v>119</x:v>
      </x:c>
      <x:c r="O177" s="269" t="n">
        <x:v>0.43859649122807015</x:v>
      </x:c>
      <x:c r="P177" s="219" t="n">
        <x:v>0.04838709677419355</x:v>
      </x:c>
      <x:c r="Q177" s="269" t="n">
        <x:v>0.6956521739130435</x:v>
      </x:c>
      <x:c r="R177" s="269" t="n">
        <x:v>0.8418222976796831</x:v>
      </x:c>
    </x:row>
    <x:row r="178">
      <x:c r="A178" s="167" t="str">
        <x:v>Diffusion</x:v>
      </x:c>
      <x:c r="B178" s="167" t="str">
        <x:v>simulated</x:v>
      </x:c>
      <x:c r="C178" s="167" t="str">
        <x:v>l2</x:v>
      </x:c>
      <x:c r="D178" s="167" t="str">
        <x:v>m3</x:v>
      </x:c>
      <x:c r="E178" s="167" t="str">
        <x:v>S=D</x:v>
      </x:c>
      <x:c r="F178" s="167" t="str">
        <x:v>posterior_mmd</x:v>
      </x:c>
      <x:c r="G178" s="167" t="str">
        <x:v>ESS-filtered raw NPE-MCMC interval [0, q95]</x:v>
      </x:c>
      <x:c r="H178" s="168" t="n">
        <x:v>0</x:v>
      </x:c>
      <x:c r="I178" s="168" t="n">
        <x:v>0.495483672463502</x:v>
      </x:c>
      <x:c r="J178" s="169" t="n">
        <x:v>30</x:v>
      </x:c>
      <x:c r="K178" s="169" t="n">
        <x:v>12</x:v>
      </x:c>
      <x:c r="L178" s="169" t="n">
        <x:v>41</x:v>
      </x:c>
      <x:c r="M178" s="169" t="n">
        <x:v>36</x:v>
      </x:c>
      <x:c r="N178" s="169" t="n">
        <x:v>119</x:v>
      </x:c>
      <x:c r="O178" s="219" t="n">
        <x:v>0.5774647887323944</x:v>
      </x:c>
      <x:c r="P178" s="269" t="n">
        <x:v>0.25</x:v>
      </x:c>
      <x:c r="Q178" s="219" t="n">
        <x:v>0.5309734513274337</x:v>
      </x:c>
      <x:c r="R178" s="269" t="n">
        <x:v>0.5894953051643192</x:v>
      </x:c>
    </x:row>
    <x:row r="179">
      <x:c r="A179" s="167" t="str">
        <x:v>Diffusion</x:v>
      </x:c>
      <x:c r="B179" s="167" t="str">
        <x:v>simulated</x:v>
      </x:c>
      <x:c r="C179" s="167" t="str">
        <x:v>linf</x:v>
      </x:c>
      <x:c r="D179" s="167" t="str">
        <x:v>m3</x:v>
      </x:c>
      <x:c r="E179" s="167" t="str">
        <x:v>S=D</x:v>
      </x:c>
      <x:c r="F179" s="167" t="str">
        <x:v>posterior_mmd</x:v>
      </x:c>
      <x:c r="G179" s="167" t="str">
        <x:v>ESS-filtered raw NPE-MCMC interval [0, q95]</x:v>
      </x:c>
      <x:c r="H179" s="168" t="n">
        <x:v>0</x:v>
      </x:c>
      <x:c r="I179" s="168" t="n">
        <x:v>0.495483672463502</x:v>
      </x:c>
      <x:c r="J179" s="169" t="n">
        <x:v>29</x:v>
      </x:c>
      <x:c r="K179" s="169" t="n">
        <x:v>10</x:v>
      </x:c>
      <x:c r="L179" s="169" t="n">
        <x:v>42</x:v>
      </x:c>
      <x:c r="M179" s="169" t="n">
        <x:v>38</x:v>
      </x:c>
      <x:c r="N179" s="169" t="n">
        <x:v>119</x:v>
      </x:c>
      <x:c r="O179" s="269" t="n">
        <x:v>0.5915492957746479</x:v>
      </x:c>
      <x:c r="P179" s="269" t="n">
        <x:v>0.20833333333333334</x:v>
      </x:c>
      <x:c r="Q179" s="269" t="n">
        <x:v>0.5272727272727272</x:v>
      </x:c>
      <x:c r="R179" s="269" t="n">
        <x:v>0.5818661971830984</x:v>
      </x:c>
    </x:row>
    <x:row r="180">
      <x:c r="A180" s="167" t="str">
        <x:v>Diffusion</x:v>
      </x:c>
      <x:c r="B180" s="167" t="str">
        <x:v>simulated</x:v>
      </x:c>
      <x:c r="C180" s="167" t="str">
        <x:v>density</x:v>
      </x:c>
      <x:c r="D180" s="167" t="str">
        <x:v>m3</x:v>
      </x:c>
      <x:c r="E180" s="167" t="str">
        <x:v>S=D</x:v>
      </x:c>
      <x:c r="F180" s="167" t="str">
        <x:v>posterior_mmd</x:v>
      </x:c>
      <x:c r="G180" s="167" t="str">
        <x:v>ESS-filtered raw NPE-MCMC interval [0, q95]</x:v>
      </x:c>
      <x:c r="H180" s="168" t="n">
        <x:v>0</x:v>
      </x:c>
      <x:c r="I180" s="168" t="n">
        <x:v>0.495483672463502</x:v>
      </x:c>
      <x:c r="J180" s="169" t="n">
        <x:v>29</x:v>
      </x:c>
      <x:c r="K180" s="169" t="n">
        <x:v>10</x:v>
      </x:c>
      <x:c r="L180" s="169" t="n">
        <x:v>42</x:v>
      </x:c>
      <x:c r="M180" s="169" t="n">
        <x:v>38</x:v>
      </x:c>
      <x:c r="N180" s="169" t="n">
        <x:v>119</x:v>
      </x:c>
      <x:c r="O180" s="269" t="n">
        <x:v>0.5915492957746479</x:v>
      </x:c>
      <x:c r="P180" s="219" t="n">
        <x:v>0.20833333333333334</x:v>
      </x:c>
      <x:c r="Q180" s="269" t="n">
        <x:v>0.5272727272727272</x:v>
      </x:c>
      <x:c r="R180" s="269" t="n">
        <x:v>0.6335093896713614</x:v>
      </x:c>
    </x:row>
    <x:row r="181">
      <x:c r="A181" s="167" t="str">
        <x:v>Diffusion</x:v>
      </x:c>
      <x:c r="B181" s="167" t="str">
        <x:v>simulated</x:v>
      </x:c>
      <x:c r="C181" s="167" t="str">
        <x:v>mmd</x:v>
      </x:c>
      <x:c r="D181" s="167" t="str">
        <x:v>m3</x:v>
      </x:c>
      <x:c r="E181" s="167" t="str">
        <x:v>S=D</x:v>
      </x:c>
      <x:c r="F181" s="167" t="str">
        <x:v>posterior_mmd</x:v>
      </x:c>
      <x:c r="G181" s="167" t="str">
        <x:v>ESS-filtered raw NPE-MCMC interval [0, q95]</x:v>
      </x:c>
      <x:c r="H181" s="168" t="n">
        <x:v>0</x:v>
      </x:c>
      <x:c r="I181" s="168" t="n">
        <x:v>0.495483672463502</x:v>
      </x:c>
      <x:c r="J181" s="169" t="n">
        <x:v>23</x:v>
      </x:c>
      <x:c r="K181" s="169" t="n">
        <x:v>9</x:v>
      </x:c>
      <x:c r="L181" s="169" t="n">
        <x:v>48</x:v>
      </x:c>
      <x:c r="M181" s="169" t="n">
        <x:v>39</x:v>
      </x:c>
      <x:c r="N181" s="169" t="n">
        <x:v>119</x:v>
      </x:c>
      <x:c r="O181" s="219" t="n">
        <x:v>0.676056338028169</x:v>
      </x:c>
      <x:c r="P181" s="269" t="n">
        <x:v>0.1875</x:v>
      </x:c>
      <x:c r="Q181" s="219" t="n">
        <x:v>0.44660194174757284</x:v>
      </x:c>
      <x:c r="R181" s="219" t="n">
        <x:v>0.5742370892018779</x:v>
      </x:c>
    </x:row>
    <x:row r="182">
      <x:c r="A182" s="167" t="str">
        <x:v>Diffusion</x:v>
      </x:c>
      <x:c r="B182" s="167" t="str">
        <x:v>simulated</x:v>
      </x:c>
      <x:c r="C182" s="167" t="str">
        <x:v>l2</x:v>
      </x:c>
      <x:c r="D182" s="167" t="str">
        <x:v>m3</x:v>
      </x:c>
      <x:c r="E182" s="167" t="str">
        <x:v>S=2D</x:v>
      </x:c>
      <x:c r="F182" s="167" t="str">
        <x:v>posterior_mmd</x:v>
      </x:c>
      <x:c r="G182" s="167" t="str">
        <x:v>ESS-filtered raw NPE-MCMC interval [0, q95]</x:v>
      </x:c>
      <x:c r="H182" s="168" t="n">
        <x:v>0</x:v>
      </x:c>
      <x:c r="I182" s="168" t="n">
        <x:v>0.2749548664825378</x:v>
      </x:c>
      <x:c r="J182" s="169" t="n">
        <x:v>30</x:v>
      </x:c>
      <x:c r="K182" s="169" t="n">
        <x:v>7</x:v>
      </x:c>
      <x:c r="L182" s="169" t="n">
        <x:v>23</x:v>
      </x:c>
      <x:c r="M182" s="169" t="n">
        <x:v>59</x:v>
      </x:c>
      <x:c r="N182" s="169" t="n">
        <x:v>119</x:v>
      </x:c>
      <x:c r="O182" s="269" t="n">
        <x:v>0.4339622641509434</x:v>
      </x:c>
      <x:c r="P182" s="269" t="n">
        <x:v>0.10606060606060606</x:v>
      </x:c>
      <x:c r="Q182" s="269" t="n">
        <x:v>0.6666666666666666</x:v>
      </x:c>
      <x:c r="R182" s="219" t="n">
        <x:v>0.8413379073756433</x:v>
      </x:c>
    </x:row>
    <x:row r="183">
      <x:c r="A183" s="167" t="str">
        <x:v>Diffusion</x:v>
      </x:c>
      <x:c r="B183" s="167" t="str">
        <x:v>simulated</x:v>
      </x:c>
      <x:c r="C183" s="167" t="str">
        <x:v>linf</x:v>
      </x:c>
      <x:c r="D183" s="167" t="str">
        <x:v>m3</x:v>
      </x:c>
      <x:c r="E183" s="167" t="str">
        <x:v>S=2D</x:v>
      </x:c>
      <x:c r="F183" s="167" t="str">
        <x:v>posterior_mmd</x:v>
      </x:c>
      <x:c r="G183" s="167" t="str">
        <x:v>ESS-filtered raw NPE-MCMC interval [0, q95]</x:v>
      </x:c>
      <x:c r="H183" s="168" t="n">
        <x:v>0</x:v>
      </x:c>
      <x:c r="I183" s="168" t="n">
        <x:v>0.2749548664825378</x:v>
      </x:c>
      <x:c r="J183" s="169" t="n">
        <x:v>30</x:v>
      </x:c>
      <x:c r="K183" s="169" t="n">
        <x:v>7</x:v>
      </x:c>
      <x:c r="L183" s="169" t="n">
        <x:v>23</x:v>
      </x:c>
      <x:c r="M183" s="169" t="n">
        <x:v>59</x:v>
      </x:c>
      <x:c r="N183" s="169" t="n">
        <x:v>119</x:v>
      </x:c>
      <x:c r="O183" s="269" t="n">
        <x:v>0.4339622641509434</x:v>
      </x:c>
      <x:c r="P183" s="219" t="n">
        <x:v>0.10606060606060606</x:v>
      </x:c>
      <x:c r="Q183" s="269" t="n">
        <x:v>0.6666666666666666</x:v>
      </x:c>
      <x:c r="R183" s="269" t="n">
        <x:v>0.8353344768439108</x:v>
      </x:c>
    </x:row>
    <x:row r="184">
      <x:c r="A184" s="167" t="str">
        <x:v>Diffusion</x:v>
      </x:c>
      <x:c r="B184" s="167" t="str">
        <x:v>simulated</x:v>
      </x:c>
      <x:c r="C184" s="167" t="str">
        <x:v>density</x:v>
      </x:c>
      <x:c r="D184" s="167" t="str">
        <x:v>m3</x:v>
      </x:c>
      <x:c r="E184" s="167" t="str">
        <x:v>S=2D</x:v>
      </x:c>
      <x:c r="F184" s="167" t="str">
        <x:v>posterior_mmd</x:v>
      </x:c>
      <x:c r="G184" s="167" t="str">
        <x:v>ESS-filtered raw NPE-MCMC interval [0, q95]</x:v>
      </x:c>
      <x:c r="H184" s="168" t="n">
        <x:v>0</x:v>
      </x:c>
      <x:c r="I184" s="168" t="n">
        <x:v>0.2749548664825378</x:v>
      </x:c>
      <x:c r="J184" s="169" t="n">
        <x:v>40</x:v>
      </x:c>
      <x:c r="K184" s="169" t="n">
        <x:v>11</x:v>
      </x:c>
      <x:c r="L184" s="169" t="n">
        <x:v>13</x:v>
      </x:c>
      <x:c r="M184" s="169" t="n">
        <x:v>55</x:v>
      </x:c>
      <x:c r="N184" s="169" t="n">
        <x:v>119</x:v>
      </x:c>
      <x:c r="O184" s="269" t="n">
        <x:v>0.24528301886792453</x:v>
      </x:c>
      <x:c r="P184" s="269" t="n">
        <x:v>0.16666666666666666</x:v>
      </x:c>
      <x:c r="Q184" s="269" t="n">
        <x:v>0.7692307692307693</x:v>
      </x:c>
      <x:c r="R184" s="269" t="n">
        <x:v>0.850485991995426</x:v>
      </x:c>
    </x:row>
    <x:row r="185">
      <x:c r="A185" s="167" t="str">
        <x:v>Diffusion</x:v>
      </x:c>
      <x:c r="B185" s="167" t="str">
        <x:v>simulated</x:v>
      </x:c>
      <x:c r="C185" s="167" t="str">
        <x:v>mmd</x:v>
      </x:c>
      <x:c r="D185" s="167" t="str">
        <x:v>m3</x:v>
      </x:c>
      <x:c r="E185" s="167" t="str">
        <x:v>S=2D</x:v>
      </x:c>
      <x:c r="F185" s="167" t="str">
        <x:v>posterior_mmd</x:v>
      </x:c>
      <x:c r="G185" s="167" t="str">
        <x:v>ESS-filtered raw NPE-MCMC interval [0, q95]</x:v>
      </x:c>
      <x:c r="H185" s="168" t="n">
        <x:v>0</x:v>
      </x:c>
      <x:c r="I185" s="168" t="n">
        <x:v>0.2749548664825378</x:v>
      </x:c>
      <x:c r="J185" s="169" t="n">
        <x:v>25</x:v>
      </x:c>
      <x:c r="K185" s="169" t="n">
        <x:v>5</x:v>
      </x:c>
      <x:c r="L185" s="169" t="n">
        <x:v>28</x:v>
      </x:c>
      <x:c r="M185" s="169" t="n">
        <x:v>61</x:v>
      </x:c>
      <x:c r="N185" s="169" t="n">
        <x:v>119</x:v>
      </x:c>
      <x:c r="O185" s="219" t="n">
        <x:v>0.5283018867924528</x:v>
      </x:c>
      <x:c r="P185" s="269" t="n">
        <x:v>0.07575757575757576</x:v>
      </x:c>
      <x:c r="Q185" s="219" t="n">
        <x:v>0.6024096385542169</x:v>
      </x:c>
      <x:c r="R185" s="269" t="n">
        <x:v>0.7861635220125786</x:v>
      </x:c>
    </x:row>
    <x:row r="186">
      <x:c r="A186" s="167" t="str">
        <x:v>Diffusion</x:v>
      </x:c>
      <x:c r="B186" s="167" t="str">
        <x:v>simulated</x:v>
      </x:c>
      <x:c r="C186" s="167" t="str">
        <x:v>l2</x:v>
      </x:c>
      <x:c r="D186" s="167" t="str">
        <x:v>m3</x:v>
      </x:c>
      <x:c r="E186" s="167" t="str">
        <x:v>S=4D</x:v>
      </x:c>
      <x:c r="F186" s="167" t="str">
        <x:v>posterior_mmd</x:v>
      </x:c>
      <x:c r="G186" s="167" t="str">
        <x:v>ESS-filtered raw NPE-MCMC interval [0, q95]</x:v>
      </x:c>
      <x:c r="H186" s="168" t="n">
        <x:v>0</x:v>
      </x:c>
      <x:c r="I186" s="168" t="n">
        <x:v>0.2725756146319847</x:v>
      </x:c>
      <x:c r="J186" s="169" t="n">
        <x:v>32</x:v>
      </x:c>
      <x:c r="K186" s="169" t="n">
        <x:v>9</x:v>
      </x:c>
      <x:c r="L186" s="169" t="n">
        <x:v>16</x:v>
      </x:c>
      <x:c r="M186" s="169" t="n">
        <x:v>62</x:v>
      </x:c>
      <x:c r="N186" s="169" t="n">
        <x:v>119</x:v>
      </x:c>
      <x:c r="O186" s="269" t="n">
        <x:v>0.3333333333333333</x:v>
      </x:c>
      <x:c r="P186" s="269" t="n">
        <x:v>0.1267605633802817</x:v>
      </x:c>
      <x:c r="Q186" s="269" t="n">
        <x:v>0.7191011235955056</x:v>
      </x:c>
      <x:c r="R186" s="269" t="n">
        <x:v>0.8512323943661972</x:v>
      </x:c>
    </x:row>
    <x:row r="187">
      <x:c r="A187" s="167" t="str">
        <x:v>Diffusion</x:v>
      </x:c>
      <x:c r="B187" s="167" t="str">
        <x:v>simulated</x:v>
      </x:c>
      <x:c r="C187" s="167" t="str">
        <x:v>linf</x:v>
      </x:c>
      <x:c r="D187" s="167" t="str">
        <x:v>m3</x:v>
      </x:c>
      <x:c r="E187" s="167" t="str">
        <x:v>S=4D</x:v>
      </x:c>
      <x:c r="F187" s="167" t="str">
        <x:v>posterior_mmd</x:v>
      </x:c>
      <x:c r="G187" s="167" t="str">
        <x:v>ESS-filtered raw NPE-MCMC interval [0, q95]</x:v>
      </x:c>
      <x:c r="H187" s="168" t="n">
        <x:v>0</x:v>
      </x:c>
      <x:c r="I187" s="168" t="n">
        <x:v>0.2725756146319847</x:v>
      </x:c>
      <x:c r="J187" s="169" t="n">
        <x:v>31</x:v>
      </x:c>
      <x:c r="K187" s="169" t="n">
        <x:v>8</x:v>
      </x:c>
      <x:c r="L187" s="169" t="n">
        <x:v>17</x:v>
      </x:c>
      <x:c r="M187" s="169" t="n">
        <x:v>63</x:v>
      </x:c>
      <x:c r="N187" s="169" t="n">
        <x:v>119</x:v>
      </x:c>
      <x:c r="O187" s="269" t="n">
        <x:v>0.3541666666666667</x:v>
      </x:c>
      <x:c r="P187" s="219" t="n">
        <x:v>0.11267605633802817</x:v>
      </x:c>
      <x:c r="Q187" s="269" t="n">
        <x:v>0.7126436781609196</x:v>
      </x:c>
      <x:c r="R187" s="269" t="n">
        <x:v>0.8318661971830986</x:v>
      </x:c>
    </x:row>
    <x:row r="188">
      <x:c r="A188" s="167" t="str">
        <x:v>Diffusion</x:v>
      </x:c>
      <x:c r="B188" s="167" t="str">
        <x:v>simulated</x:v>
      </x:c>
      <x:c r="C188" s="167" t="str">
        <x:v>density</x:v>
      </x:c>
      <x:c r="D188" s="167" t="str">
        <x:v>m3</x:v>
      </x:c>
      <x:c r="E188" s="167" t="str">
        <x:v>S=4D</x:v>
      </x:c>
      <x:c r="F188" s="167" t="str">
        <x:v>posterior_mmd</x:v>
      </x:c>
      <x:c r="G188" s="167" t="str">
        <x:v>ESS-filtered raw NPE-MCMC interval [0, q95]</x:v>
      </x:c>
      <x:c r="H188" s="168" t="n">
        <x:v>0</x:v>
      </x:c>
      <x:c r="I188" s="168" t="n">
        <x:v>0.2725756146319847</x:v>
      </x:c>
      <x:c r="J188" s="169" t="n">
        <x:v>37</x:v>
      </x:c>
      <x:c r="K188" s="169" t="n">
        <x:v>14</x:v>
      </x:c>
      <x:c r="L188" s="169" t="n">
        <x:v>11</x:v>
      </x:c>
      <x:c r="M188" s="169" t="n">
        <x:v>57</x:v>
      </x:c>
      <x:c r="N188" s="169" t="n">
        <x:v>119</x:v>
      </x:c>
      <x:c r="O188" s="269" t="n">
        <x:v>0.22916666666666666</x:v>
      </x:c>
      <x:c r="P188" s="269" t="n">
        <x:v>0.19718309859154928</x:v>
      </x:c>
      <x:c r="Q188" s="269" t="n">
        <x:v>0.7474747474747475</x:v>
      </x:c>
      <x:c r="R188" s="269" t="n">
        <x:v>0.8685446009389671</x:v>
      </x:c>
    </x:row>
    <x:row r="189">
      <x:c r="A189" s="167" t="str">
        <x:v>Diffusion</x:v>
      </x:c>
      <x:c r="B189" s="167" t="str">
        <x:v>simulated</x:v>
      </x:c>
      <x:c r="C189" s="167" t="str">
        <x:v>mmd</x:v>
      </x:c>
      <x:c r="D189" s="167" t="str">
        <x:v>m3</x:v>
      </x:c>
      <x:c r="E189" s="167" t="str">
        <x:v>S=4D</x:v>
      </x:c>
      <x:c r="F189" s="167" t="str">
        <x:v>posterior_mmd</x:v>
      </x:c>
      <x:c r="G189" s="167" t="str">
        <x:v>ESS-filtered raw NPE-MCMC interval [0, q95]</x:v>
      </x:c>
      <x:c r="H189" s="168" t="n">
        <x:v>0</x:v>
      </x:c>
      <x:c r="I189" s="168" t="n">
        <x:v>0.2725756146319847</x:v>
      </x:c>
      <x:c r="J189" s="169" t="n">
        <x:v>28</x:v>
      </x:c>
      <x:c r="K189" s="169" t="n">
        <x:v>7</x:v>
      </x:c>
      <x:c r="L189" s="169" t="n">
        <x:v>20</x:v>
      </x:c>
      <x:c r="M189" s="169" t="n">
        <x:v>64</x:v>
      </x:c>
      <x:c r="N189" s="169" t="n">
        <x:v>119</x:v>
      </x:c>
      <x:c r="O189" s="219" t="n">
        <x:v>0.4166666666666667</x:v>
      </x:c>
      <x:c r="P189" s="269" t="n">
        <x:v>0.09859154929577464</x:v>
      </x:c>
      <x:c r="Q189" s="219" t="n">
        <x:v>0.6746987951807228</x:v>
      </x:c>
      <x:c r="R189" s="219" t="n">
        <x:v>0.8136737089201879</x:v>
      </x:c>
    </x:row>
    <x:row r="190">
      <x:c r="A190" s="167" t="str">
        <x:v>Diffusion</x:v>
      </x:c>
      <x:c r="B190" s="167" t="str">
        <x:v>simulated</x:v>
      </x:c>
      <x:c r="C190" s="167" t="str">
        <x:v>l2</x:v>
      </x:c>
      <x:c r="D190" s="167" t="str">
        <x:v>m3</x:v>
      </x:c>
      <x:c r="E190" s="167" t="str">
        <x:v>S=6D</x:v>
      </x:c>
      <x:c r="F190" s="167" t="str">
        <x:v>posterior_mmd</x:v>
      </x:c>
      <x:c r="G190" s="167" t="str">
        <x:v>ESS-filtered raw NPE-MCMC interval [0, q95]</x:v>
      </x:c>
      <x:c r="H190" s="168" t="n">
        <x:v>0</x:v>
      </x:c>
      <x:c r="I190" s="168" t="n">
        <x:v>0.2545244227389356</x:v>
      </x:c>
      <x:c r="J190" s="169" t="n">
        <x:v>34</x:v>
      </x:c>
      <x:c r="K190" s="169" t="n">
        <x:v>5</x:v>
      </x:c>
      <x:c r="L190" s="169" t="n">
        <x:v>20</x:v>
      </x:c>
      <x:c r="M190" s="169" t="n">
        <x:v>60</x:v>
      </x:c>
      <x:c r="N190" s="169" t="n">
        <x:v>119</x:v>
      </x:c>
      <x:c r="O190" s="269" t="n">
        <x:v>0.37037037037037035</x:v>
      </x:c>
      <x:c r="P190" s="219" t="n">
        <x:v>0.07692307692307693</x:v>
      </x:c>
      <x:c r="Q190" s="269" t="n">
        <x:v>0.7311827956989247</x:v>
      </x:c>
      <x:c r="R190" s="269" t="n">
        <x:v>0.8717948717948718</x:v>
      </x:c>
    </x:row>
    <x:row r="191">
      <x:c r="A191" s="167" t="str">
        <x:v>Diffusion</x:v>
      </x:c>
      <x:c r="B191" s="167" t="str">
        <x:v>simulated</x:v>
      </x:c>
      <x:c r="C191" s="167" t="str">
        <x:v>linf</x:v>
      </x:c>
      <x:c r="D191" s="167" t="str">
        <x:v>m3</x:v>
      </x:c>
      <x:c r="E191" s="167" t="str">
        <x:v>S=6D</x:v>
      </x:c>
      <x:c r="F191" s="167" t="str">
        <x:v>posterior_mmd</x:v>
      </x:c>
      <x:c r="G191" s="167" t="str">
        <x:v>ESS-filtered raw NPE-MCMC interval [0, q95]</x:v>
      </x:c>
      <x:c r="H191" s="168" t="n">
        <x:v>0</x:v>
      </x:c>
      <x:c r="I191" s="168" t="n">
        <x:v>0.2545244227389356</x:v>
      </x:c>
      <x:c r="J191" s="169" t="n">
        <x:v>31</x:v>
      </x:c>
      <x:c r="K191" s="169" t="n">
        <x:v>4</x:v>
      </x:c>
      <x:c r="L191" s="169" t="n">
        <x:v>23</x:v>
      </x:c>
      <x:c r="M191" s="169" t="n">
        <x:v>61</x:v>
      </x:c>
      <x:c r="N191" s="169" t="n">
        <x:v>119</x:v>
      </x:c>
      <x:c r="O191" s="269" t="n">
        <x:v>0.42592592592592593</x:v>
      </x:c>
      <x:c r="P191" s="219" t="n">
        <x:v>0.06153846153846154</x:v>
      </x:c>
      <x:c r="Q191" s="269" t="n">
        <x:v>0.6966292134831461</x:v>
      </x:c>
      <x:c r="R191" s="269" t="n">
        <x:v>0.8452991452991453</x:v>
      </x:c>
    </x:row>
    <x:row r="192">
      <x:c r="A192" s="167" t="str">
        <x:v>Diffusion</x:v>
      </x:c>
      <x:c r="B192" s="167" t="str">
        <x:v>simulated</x:v>
      </x:c>
      <x:c r="C192" s="167" t="str">
        <x:v>density</x:v>
      </x:c>
      <x:c r="D192" s="167" t="str">
        <x:v>m3</x:v>
      </x:c>
      <x:c r="E192" s="167" t="str">
        <x:v>S=6D</x:v>
      </x:c>
      <x:c r="F192" s="167" t="str">
        <x:v>posterior_mmd</x:v>
      </x:c>
      <x:c r="G192" s="167" t="str">
        <x:v>ESS-filtered raw NPE-MCMC interval [0, q95]</x:v>
      </x:c>
      <x:c r="H192" s="168" t="n">
        <x:v>0</x:v>
      </x:c>
      <x:c r="I192" s="168" t="n">
        <x:v>0.2545244227389356</x:v>
      </x:c>
      <x:c r="J192" s="169" t="n">
        <x:v>43</x:v>
      </x:c>
      <x:c r="K192" s="169" t="n">
        <x:v>8</x:v>
      </x:c>
      <x:c r="L192" s="169" t="n">
        <x:v>11</x:v>
      </x:c>
      <x:c r="M192" s="169" t="n">
        <x:v>57</x:v>
      </x:c>
      <x:c r="N192" s="169" t="n">
        <x:v>119</x:v>
      </x:c>
      <x:c r="O192" s="269" t="n">
        <x:v>0.2037037037037037</x:v>
      </x:c>
      <x:c r="P192" s="219" t="n">
        <x:v>0.12307692307692308</x:v>
      </x:c>
      <x:c r="Q192" s="269" t="n">
        <x:v>0.819047619047619</x:v>
      </x:c>
      <x:c r="R192" s="269" t="n">
        <x:v>0.9111111111111112</x:v>
      </x:c>
    </x:row>
    <x:row r="193">
      <x:c r="A193" s="167" t="str">
        <x:v>Diffusion</x:v>
      </x:c>
      <x:c r="B193" s="167" t="str">
        <x:v>simulated</x:v>
      </x:c>
      <x:c r="C193" s="167" t="str">
        <x:v>mmd</x:v>
      </x:c>
      <x:c r="D193" s="167" t="str">
        <x:v>m3</x:v>
      </x:c>
      <x:c r="E193" s="167" t="str">
        <x:v>S=6D</x:v>
      </x:c>
      <x:c r="F193" s="167" t="str">
        <x:v>posterior_mmd</x:v>
      </x:c>
      <x:c r="G193" s="167" t="str">
        <x:v>ESS-filtered raw NPE-MCMC interval [0, q95]</x:v>
      </x:c>
      <x:c r="H193" s="168" t="n">
        <x:v>0</x:v>
      </x:c>
      <x:c r="I193" s="168" t="n">
        <x:v>0.2545244227389356</x:v>
      </x:c>
      <x:c r="J193" s="169" t="n">
        <x:v>33</x:v>
      </x:c>
      <x:c r="K193" s="169" t="n">
        <x:v>4</x:v>
      </x:c>
      <x:c r="L193" s="169" t="n">
        <x:v>21</x:v>
      </x:c>
      <x:c r="M193" s="169" t="n">
        <x:v>61</x:v>
      </x:c>
      <x:c r="N193" s="169" t="n">
        <x:v>119</x:v>
      </x:c>
      <x:c r="O193" s="219" t="n">
        <x:v>0.3888888888888889</x:v>
      </x:c>
      <x:c r="P193" s="219" t="n">
        <x:v>0.06153846153846154</x:v>
      </x:c>
      <x:c r="Q193" s="219" t="n">
        <x:v>0.7252747252747253</x:v>
      </x:c>
      <x:c r="R193" s="219" t="n">
        <x:v>0.8253561253561252</x:v>
      </x:c>
    </x:row>
    <x:row r="194">
      <x:c r="A194" s="167" t="str">
        <x:v>Gaussian</x:v>
      </x:c>
      <x:c r="B194" s="167" t="str">
        <x:v>simulated</x:v>
      </x:c>
      <x:c r="C194" s="167" t="str">
        <x:v>l2</x:v>
      </x:c>
      <x:c r="D194" s="167" t="str">
        <x:v>m1</x:v>
      </x:c>
      <x:c r="E194" s="167" t="str">
        <x:v>S=D</x:v>
      </x:c>
      <x:c r="F194" s="167" t="str">
        <x:v>signed_logml_error</x:v>
      </x:c>
      <x:c r="G194" s="167" t="str">
        <x:v>raw NPE-analytical central 90% interval [q5, q95]</x:v>
      </x:c>
      <x:c r="H194" s="168" t="n">
        <x:v>-0.0154821352171239</x:v>
      </x:c>
      <x:c r="I194" s="168" t="n">
        <x:v>0.0187986525584874</x:v>
      </x:c>
      <x:c r="J194" s="169" t="n">
        <x:v>203</x:v>
      </x:c>
      <x:c r="K194" s="169" t="n">
        <x:v>8</x:v>
      </x:c>
      <x:c r="L194" s="169" t="n">
        <x:v>181</x:v>
      </x:c>
      <x:c r="M194" s="169" t="n">
        <x:v>208</x:v>
      </x:c>
      <x:c r="N194" s="169" t="n">
        <x:v>600</x:v>
      </x:c>
      <x:c r="O194" s="219" t="n">
        <x:v>0.4713541666666667</x:v>
      </x:c>
      <x:c r="P194" s="269" t="n">
        <x:v>0.037037037037037035</x:v>
      </x:c>
      <x:c r="Q194" s="219" t="n">
        <x:v>0.6823529411764706</x:v>
      </x:c>
      <x:c r="R194" s="269" t="n">
        <x:v>0.7941984953703703</x:v>
      </x:c>
    </x:row>
    <x:row r="195">
      <x:c r="A195" s="167" t="str">
        <x:v>Gaussian</x:v>
      </x:c>
      <x:c r="B195" s="167" t="str">
        <x:v>simulated</x:v>
      </x:c>
      <x:c r="C195" s="167" t="str">
        <x:v>linf</x:v>
      </x:c>
      <x:c r="D195" s="167" t="str">
        <x:v>m1</x:v>
      </x:c>
      <x:c r="E195" s="167" t="str">
        <x:v>S=D</x:v>
      </x:c>
      <x:c r="F195" s="167" t="str">
        <x:v>signed_logml_error</x:v>
      </x:c>
      <x:c r="G195" s="167" t="str">
        <x:v>raw NPE-analytical central 90% interval [q5, q95]</x:v>
      </x:c>
      <x:c r="H195" s="168" t="n">
        <x:v>-0.0154821352171239</x:v>
      </x:c>
      <x:c r="I195" s="168" t="n">
        <x:v>0.0187986525584874</x:v>
      </x:c>
      <x:c r="J195" s="169" t="n">
        <x:v>196</x:v>
      </x:c>
      <x:c r="K195" s="169" t="n">
        <x:v>11</x:v>
      </x:c>
      <x:c r="L195" s="169" t="n">
        <x:v>189</x:v>
      </x:c>
      <x:c r="M195" s="169" t="n">
        <x:v>204</x:v>
      </x:c>
      <x:c r="N195" s="169" t="n">
        <x:v>600</x:v>
      </x:c>
      <x:c r="O195" s="269" t="n">
        <x:v>0.4909090909090909</x:v>
      </x:c>
      <x:c r="P195" s="269" t="n">
        <x:v>0.05116279069767442</x:v>
      </x:c>
      <x:c r="Q195" s="269" t="n">
        <x:v>0.6621621621621622</x:v>
      </x:c>
      <x:c r="R195" s="269" t="n">
        <x:v>0.8054726668680157</x:v>
      </x:c>
    </x:row>
    <x:row r="196">
      <x:c r="A196" s="167" t="str">
        <x:v>Gaussian</x:v>
      </x:c>
      <x:c r="B196" s="167" t="str">
        <x:v>simulated</x:v>
      </x:c>
      <x:c r="C196" s="167" t="str">
        <x:v>density</x:v>
      </x:c>
      <x:c r="D196" s="167" t="str">
        <x:v>m1</x:v>
      </x:c>
      <x:c r="E196" s="167" t="str">
        <x:v>S=D</x:v>
      </x:c>
      <x:c r="F196" s="167" t="str">
        <x:v>signed_logml_error</x:v>
      </x:c>
      <x:c r="G196" s="167" t="str">
        <x:v>raw NPE-analytical central 90% interval [q5, q95]</x:v>
      </x:c>
      <x:c r="H196" s="168" t="n">
        <x:v>-0.0154821352171239</x:v>
      </x:c>
      <x:c r="I196" s="168" t="n">
        <x:v>0.0187986525584874</x:v>
      </x:c>
      <x:c r="J196" s="169" t="n">
        <x:v>175</x:v>
      </x:c>
      <x:c r="K196" s="169" t="n">
        <x:v>6</x:v>
      </x:c>
      <x:c r="L196" s="169" t="n">
        <x:v>209</x:v>
      </x:c>
      <x:c r="M196" s="169" t="n">
        <x:v>210</x:v>
      </x:c>
      <x:c r="N196" s="169" t="n">
        <x:v>600</x:v>
      </x:c>
      <x:c r="O196" s="269" t="n">
        <x:v>0.5442708333333334</x:v>
      </x:c>
      <x:c r="P196" s="219" t="n">
        <x:v>0.027777777777777776</x:v>
      </x:c>
      <x:c r="Q196" s="269" t="n">
        <x:v>0.6194690265486725</x:v>
      </x:c>
      <x:c r="R196" s="219" t="n">
        <x:v>0.8228443287037037</x:v>
      </x:c>
    </x:row>
    <x:row r="197">
      <x:c r="A197" s="167" t="str">
        <x:v>Gaussian</x:v>
      </x:c>
      <x:c r="B197" s="167" t="str">
        <x:v>simulated</x:v>
      </x:c>
      <x:c r="C197" s="167" t="str">
        <x:v>mmd</x:v>
      </x:c>
      <x:c r="D197" s="167" t="str">
        <x:v>m1</x:v>
      </x:c>
      <x:c r="E197" s="167" t="str">
        <x:v>S=D</x:v>
      </x:c>
      <x:c r="F197" s="167" t="str">
        <x:v>signed_logml_error</x:v>
      </x:c>
      <x:c r="G197" s="167" t="str">
        <x:v>raw NPE-analytical central 90% interval [q5, q95]</x:v>
      </x:c>
      <x:c r="H197" s="168" t="n">
        <x:v>-0.0154821352171239</x:v>
      </x:c>
      <x:c r="I197" s="168" t="n">
        <x:v>0.0187986525584874</x:v>
      </x:c>
      <x:c r="J197" s="169" t="n">
        <x:v>203</x:v>
      </x:c>
      <x:c r="K197" s="169" t="n">
        <x:v>10</x:v>
      </x:c>
      <x:c r="L197" s="169" t="n">
        <x:v>181</x:v>
      </x:c>
      <x:c r="M197" s="169" t="n">
        <x:v>206</x:v>
      </x:c>
      <x:c r="N197" s="169" t="n">
        <x:v>600</x:v>
      </x:c>
      <x:c r="O197" s="219" t="n">
        <x:v>0.4713541666666667</x:v>
      </x:c>
      <x:c r="P197" s="269" t="n">
        <x:v>0.046296296296296294</x:v>
      </x:c>
      <x:c r="Q197" s="269" t="n">
        <x:v>0.6800670016750419</x:v>
      </x:c>
      <x:c r="R197" s="269" t="n">
        <x:v>0.7895688657407407</x:v>
      </x:c>
    </x:row>
    <x:row r="198">
      <x:c r="A198" s="167" t="str">
        <x:v>Gaussian</x:v>
      </x:c>
      <x:c r="B198" s="167" t="str">
        <x:v>simulated</x:v>
      </x:c>
      <x:c r="C198" s="167" t="str">
        <x:v>l2</x:v>
      </x:c>
      <x:c r="D198" s="167" t="str">
        <x:v>m1</x:v>
      </x:c>
      <x:c r="E198" s="167" t="str">
        <x:v>S=2D</x:v>
      </x:c>
      <x:c r="F198" s="167" t="str">
        <x:v>signed_logml_error</x:v>
      </x:c>
      <x:c r="G198" s="167" t="str">
        <x:v>raw NPE-analytical central 90% interval [q5, q95]</x:v>
      </x:c>
      <x:c r="H198" s="168" t="n">
        <x:v>-0.0233606876598684</x:v>
      </x:c>
      <x:c r="I198" s="168" t="n">
        <x:v>0.011452976583979</x:v>
      </x:c>
      <x:c r="J198" s="169" t="n">
        <x:v>308</x:v>
      </x:c>
      <x:c r="K198" s="169" t="n">
        <x:v>42</x:v>
      </x:c>
      <x:c r="L198" s="169" t="n">
        <x:v>54</x:v>
      </x:c>
      <x:c r="M198" s="169" t="n">
        <x:v>196</x:v>
      </x:c>
      <x:c r="N198" s="169" t="n">
        <x:v>600</x:v>
      </x:c>
      <x:c r="O198" s="269" t="n">
        <x:v>0.14917127071823205</x:v>
      </x:c>
      <x:c r="P198" s="269" t="n">
        <x:v>0.17647058823529413</x:v>
      </x:c>
      <x:c r="Q198" s="219" t="n">
        <x:v>0.8651685393258427</x:v>
      </x:c>
      <x:c r="R198" s="269" t="n">
        <x:v>0.8988462788430289</x:v>
      </x:c>
    </x:row>
    <x:row r="199">
      <x:c r="A199" s="167" t="str">
        <x:v>Gaussian</x:v>
      </x:c>
      <x:c r="B199" s="167" t="str">
        <x:v>simulated</x:v>
      </x:c>
      <x:c r="C199" s="167" t="str">
        <x:v>linf</x:v>
      </x:c>
      <x:c r="D199" s="167" t="str">
        <x:v>m1</x:v>
      </x:c>
      <x:c r="E199" s="167" t="str">
        <x:v>S=2D</x:v>
      </x:c>
      <x:c r="F199" s="167" t="str">
        <x:v>signed_logml_error</x:v>
      </x:c>
      <x:c r="G199" s="167" t="str">
        <x:v>raw NPE-analytical central 90% interval [q5, q95]</x:v>
      </x:c>
      <x:c r="H199" s="168" t="n">
        <x:v>-0.0233606876598684</x:v>
      </x:c>
      <x:c r="I199" s="168" t="n">
        <x:v>0.011452976583979</x:v>
      </x:c>
      <x:c r="J199" s="169" t="n">
        <x:v>265</x:v>
      </x:c>
      <x:c r="K199" s="169" t="n">
        <x:v>13</x:v>
      </x:c>
      <x:c r="L199" s="169" t="n">
        <x:v>99</x:v>
      </x:c>
      <x:c r="M199" s="169" t="n">
        <x:v>223</x:v>
      </x:c>
      <x:c r="N199" s="169" t="n">
        <x:v>600</x:v>
      </x:c>
      <x:c r="O199" s="269" t="n">
        <x:v>0.27197802197802196</x:v>
      </x:c>
      <x:c r="P199" s="219" t="n">
        <x:v>0.05508474576271186</x:v>
      </x:c>
      <x:c r="Q199" s="269" t="n">
        <x:v>0.8255451713395638</x:v>
      </x:c>
      <x:c r="R199" s="219" t="n">
        <x:v>0.9079321102626188</x:v>
      </x:c>
    </x:row>
    <x:row r="200">
      <x:c r="A200" s="167" t="str">
        <x:v>Gaussian</x:v>
      </x:c>
      <x:c r="B200" s="167" t="str">
        <x:v>simulated</x:v>
      </x:c>
      <x:c r="C200" s="167" t="str">
        <x:v>density</x:v>
      </x:c>
      <x:c r="D200" s="167" t="str">
        <x:v>m1</x:v>
      </x:c>
      <x:c r="E200" s="167" t="str">
        <x:v>S=2D</x:v>
      </x:c>
      <x:c r="F200" s="167" t="str">
        <x:v>signed_logml_error</x:v>
      </x:c>
      <x:c r="G200" s="167" t="str">
        <x:v>raw NPE-analytical central 90% interval [q5, q95]</x:v>
      </x:c>
      <x:c r="H200" s="168" t="n">
        <x:v>-0.0233606876598684</x:v>
      </x:c>
      <x:c r="I200" s="168" t="n">
        <x:v>0.011452976583979</x:v>
      </x:c>
      <x:c r="J200" s="169" t="n">
        <x:v>322</x:v>
      </x:c>
      <x:c r="K200" s="169" t="n">
        <x:v>81</x:v>
      </x:c>
      <x:c r="L200" s="169" t="n">
        <x:v>40</x:v>
      </x:c>
      <x:c r="M200" s="169" t="n">
        <x:v>157</x:v>
      </x:c>
      <x:c r="N200" s="169" t="n">
        <x:v>600</x:v>
      </x:c>
      <x:c r="O200" s="219" t="n">
        <x:v>0.11049723756906077</x:v>
      </x:c>
      <x:c r="P200" s="269" t="n">
        <x:v>0.3403361344537815</x:v>
      </x:c>
      <x:c r="Q200" s="269" t="n">
        <x:v>0.8418300653594771</x:v>
      </x:c>
      <x:c r="R200" s="269" t="n">
        <x:v>0.8809485120014857</x:v>
      </x:c>
    </x:row>
    <x:row r="201">
      <x:c r="A201" s="167" t="str">
        <x:v>Gaussian</x:v>
      </x:c>
      <x:c r="B201" s="167" t="str">
        <x:v>simulated</x:v>
      </x:c>
      <x:c r="C201" s="167" t="str">
        <x:v>mmd</x:v>
      </x:c>
      <x:c r="D201" s="167" t="str">
        <x:v>m1</x:v>
      </x:c>
      <x:c r="E201" s="167" t="str">
        <x:v>S=2D</x:v>
      </x:c>
      <x:c r="F201" s="167" t="str">
        <x:v>signed_logml_error</x:v>
      </x:c>
      <x:c r="G201" s="167" t="str">
        <x:v>raw NPE-analytical central 90% interval [q5, q95]</x:v>
      </x:c>
      <x:c r="H201" s="168" t="n">
        <x:v>-0.0233606876598684</x:v>
      </x:c>
      <x:c r="I201" s="168" t="n">
        <x:v>0.011452976583979</x:v>
      </x:c>
      <x:c r="J201" s="169" t="n">
        <x:v>205</x:v>
      </x:c>
      <x:c r="K201" s="169" t="n">
        <x:v>33</x:v>
      </x:c>
      <x:c r="L201" s="169" t="n">
        <x:v>157</x:v>
      </x:c>
      <x:c r="M201" s="169" t="n">
        <x:v>205</x:v>
      </x:c>
      <x:c r="N201" s="169" t="n">
        <x:v>600</x:v>
      </x:c>
      <x:c r="O201" s="269" t="n">
        <x:v>0.43370165745856354</x:v>
      </x:c>
      <x:c r="P201" s="269" t="n">
        <x:v>0.13865546218487396</x:v>
      </x:c>
      <x:c r="Q201" s="269" t="n">
        <x:v>0.6833333333333333</x:v>
      </x:c>
      <x:c r="R201" s="269" t="n">
        <x:v>0.7179302660290635</x:v>
      </x:c>
    </x:row>
    <x:row r="202">
      <x:c r="A202" s="167" t="str">
        <x:v>Gaussian</x:v>
      </x:c>
      <x:c r="B202" s="167" t="str">
        <x:v>simulated</x:v>
      </x:c>
      <x:c r="C202" s="167" t="str">
        <x:v>l2</x:v>
      </x:c>
      <x:c r="D202" s="167" t="str">
        <x:v>m1</x:v>
      </x:c>
      <x:c r="E202" s="167" t="str">
        <x:v>S=4D</x:v>
      </x:c>
      <x:c r="F202" s="167" t="str">
        <x:v>signed_logml_error</x:v>
      </x:c>
      <x:c r="G202" s="167" t="str">
        <x:v>raw NPE-analytical central 90% interval [q5, q95]</x:v>
      </x:c>
      <x:c r="H202" s="168" t="n">
        <x:v>-0.0255032733874201</x:v>
      </x:c>
      <x:c r="I202" s="168" t="n">
        <x:v>0.0207169262969556</x:v>
      </x:c>
      <x:c r="J202" s="169" t="n">
        <x:v>312</x:v>
      </x:c>
      <x:c r="K202" s="169" t="n">
        <x:v>86</x:v>
      </x:c>
      <x:c r="L202" s="169" t="n">
        <x:v>15</x:v>
      </x:c>
      <x:c r="M202" s="169" t="n">
        <x:v>187</x:v>
      </x:c>
      <x:c r="N202" s="169" t="n">
        <x:v>600</x:v>
      </x:c>
      <x:c r="O202" s="219" t="n">
        <x:v>0.045871559633027525</x:v>
      </x:c>
      <x:c r="P202" s="269" t="n">
        <x:v>0.315018315018315</x:v>
      </x:c>
      <x:c r="Q202" s="269" t="n">
        <x:v>0.8606896551724138</x:v>
      </x:c>
      <x:c r="R202" s="219" t="n">
        <x:v>0.953377916680669</x:v>
      </x:c>
    </x:row>
    <x:row r="203">
      <x:c r="A203" s="167" t="str">
        <x:v>Gaussian</x:v>
      </x:c>
      <x:c r="B203" s="167" t="str">
        <x:v>simulated</x:v>
      </x:c>
      <x:c r="C203" s="167" t="str">
        <x:v>linf</x:v>
      </x:c>
      <x:c r="D203" s="167" t="str">
        <x:v>m1</x:v>
      </x:c>
      <x:c r="E203" s="167" t="str">
        <x:v>S=4D</x:v>
      </x:c>
      <x:c r="F203" s="167" t="str">
        <x:v>signed_logml_error</x:v>
      </x:c>
      <x:c r="G203" s="167" t="str">
        <x:v>raw NPE-analytical central 90% interval [q5, q95]</x:v>
      </x:c>
      <x:c r="H203" s="168" t="n">
        <x:v>-0.0255032733874201</x:v>
      </x:c>
      <x:c r="I203" s="168" t="n">
        <x:v>0.0207169262969556</x:v>
      </x:c>
      <x:c r="J203" s="169" t="n">
        <x:v>282</x:v>
      </x:c>
      <x:c r="K203" s="169" t="n">
        <x:v>52</x:v>
      </x:c>
      <x:c r="L203" s="169" t="n">
        <x:v>35</x:v>
      </x:c>
      <x:c r="M203" s="169" t="n">
        <x:v>231</x:v>
      </x:c>
      <x:c r="N203" s="169" t="n">
        <x:v>600</x:v>
      </x:c>
      <x:c r="O203" s="269" t="n">
        <x:v>0.11041009463722397</x:v>
      </x:c>
      <x:c r="P203" s="219" t="n">
        <x:v>0.18374558303886926</x:v>
      </x:c>
      <x:c r="Q203" s="219" t="n">
        <x:v>0.8663594470046083</x:v>
      </x:c>
      <x:c r="R203" s="269" t="n">
        <x:v>0.9427717894126696</x:v>
      </x:c>
    </x:row>
    <x:row r="204">
      <x:c r="A204" s="167" t="str">
        <x:v>Gaussian</x:v>
      </x:c>
      <x:c r="B204" s="167" t="str">
        <x:v>simulated</x:v>
      </x:c>
      <x:c r="C204" s="167" t="str">
        <x:v>density</x:v>
      </x:c>
      <x:c r="D204" s="167" t="str">
        <x:v>m1</x:v>
      </x:c>
      <x:c r="E204" s="167" t="str">
        <x:v>S=4D</x:v>
      </x:c>
      <x:c r="F204" s="167" t="str">
        <x:v>signed_logml_error</x:v>
      </x:c>
      <x:c r="G204" s="167" t="str">
        <x:v>raw NPE-analytical central 90% interval [q5, q95]</x:v>
      </x:c>
      <x:c r="H204" s="168" t="n">
        <x:v>-0.0255032733874201</x:v>
      </x:c>
      <x:c r="I204" s="168" t="n">
        <x:v>0.0207169262969556</x:v>
      </x:c>
      <x:c r="J204" s="169" t="n">
        <x:v>314</x:v>
      </x:c>
      <x:c r="K204" s="169" t="n">
        <x:v>119</x:v>
      </x:c>
      <x:c r="L204" s="169" t="n">
        <x:v>13</x:v>
      </x:c>
      <x:c r="M204" s="169" t="n">
        <x:v>154</x:v>
      </x:c>
      <x:c r="N204" s="169" t="n">
        <x:v>600</x:v>
      </x:c>
      <x:c r="O204" s="219" t="n">
        <x:v>0.039755351681957186</x:v>
      </x:c>
      <x:c r="P204" s="269" t="n">
        <x:v>0.4358974358974359</x:v>
      </x:c>
      <x:c r="Q204" s="269" t="n">
        <x:v>0.8263157894736842</x:v>
      </x:c>
      <x:c r="R204" s="269" t="n">
        <x:v>0.9165350449754119</x:v>
      </x:c>
    </x:row>
    <x:row r="205">
      <x:c r="A205" s="167" t="str">
        <x:v>Gaussian</x:v>
      </x:c>
      <x:c r="B205" s="167" t="str">
        <x:v>simulated</x:v>
      </x:c>
      <x:c r="C205" s="167" t="str">
        <x:v>mmd</x:v>
      </x:c>
      <x:c r="D205" s="167" t="str">
        <x:v>m1</x:v>
      </x:c>
      <x:c r="E205" s="167" t="str">
        <x:v>S=4D</x:v>
      </x:c>
      <x:c r="F205" s="167" t="str">
        <x:v>signed_logml_error</x:v>
      </x:c>
      <x:c r="G205" s="167" t="str">
        <x:v>raw NPE-analytical central 90% interval [q5, q95]</x:v>
      </x:c>
      <x:c r="H205" s="168" t="n">
        <x:v>-0.0255032733874201</x:v>
      </x:c>
      <x:c r="I205" s="168" t="n">
        <x:v>0.0207169262969556</x:v>
      </x:c>
      <x:c r="J205" s="169" t="n">
        <x:v>235</x:v>
      </x:c>
      <x:c r="K205" s="169" t="n">
        <x:v>60</x:v>
      </x:c>
      <x:c r="L205" s="169" t="n">
        <x:v>92</x:v>
      </x:c>
      <x:c r="M205" s="169" t="n">
        <x:v>213</x:v>
      </x:c>
      <x:c r="N205" s="169" t="n">
        <x:v>600</x:v>
      </x:c>
      <x:c r="O205" s="269" t="n">
        <x:v>0.28134556574923547</x:v>
      </x:c>
      <x:c r="P205" s="269" t="n">
        <x:v>0.21978021978021978</x:v>
      </x:c>
      <x:c r="Q205" s="269" t="n">
        <x:v>0.7556270096463023</x:v>
      </x:c>
      <x:c r="R205" s="269" t="n">
        <x:v>0.8147662734818698</x:v>
      </x:c>
    </x:row>
    <x:row r="206">
      <x:c r="A206" s="167" t="str">
        <x:v>Gaussian</x:v>
      </x:c>
      <x:c r="B206" s="167" t="str">
        <x:v>simulated</x:v>
      </x:c>
      <x:c r="C206" s="167" t="str">
        <x:v>l2</x:v>
      </x:c>
      <x:c r="D206" s="167" t="str">
        <x:v>m2</x:v>
      </x:c>
      <x:c r="E206" s="167" t="str">
        <x:v>S=D</x:v>
      </x:c>
      <x:c r="F206" s="167" t="str">
        <x:v>signed_logml_error</x:v>
      </x:c>
      <x:c r="G206" s="167" t="str">
        <x:v>raw NPE-analytical central 90% interval [q5, q95]</x:v>
      </x:c>
      <x:c r="H206" s="168" t="n">
        <x:v>-0.0222575017747828</x:v>
      </x:c>
      <x:c r="I206" s="168" t="n">
        <x:v>0.0203234425976631</x:v>
      </x:c>
      <x:c r="J206" s="169" t="n">
        <x:v>483</x:v>
      </x:c>
      <x:c r="K206" s="169" t="n">
        <x:v>17</x:v>
      </x:c>
      <x:c r="L206" s="169" t="n">
        <x:v>56</x:v>
      </x:c>
      <x:c r="M206" s="169" t="n">
        <x:v>44</x:v>
      </x:c>
      <x:c r="N206" s="169" t="n">
        <x:v>600</x:v>
      </x:c>
      <x:c r="O206" s="269" t="n">
        <x:v>0.1038961038961039</x:v>
      </x:c>
      <x:c r="P206" s="269" t="n">
        <x:v>0.2786885245901639</x:v>
      </x:c>
      <x:c r="Q206" s="269" t="n">
        <x:v>0.9297401347449471</x:v>
      </x:c>
      <x:c r="R206" s="269" t="n">
        <x:v>0.9131968733842271</x:v>
      </x:c>
    </x:row>
    <x:row r="207">
      <x:c r="A207" s="167" t="str">
        <x:v>Gaussian</x:v>
      </x:c>
      <x:c r="B207" s="167" t="str">
        <x:v>simulated</x:v>
      </x:c>
      <x:c r="C207" s="167" t="str">
        <x:v>linf</x:v>
      </x:c>
      <x:c r="D207" s="167" t="str">
        <x:v>m2</x:v>
      </x:c>
      <x:c r="E207" s="167" t="str">
        <x:v>S=D</x:v>
      </x:c>
      <x:c r="F207" s="167" t="str">
        <x:v>signed_logml_error</x:v>
      </x:c>
      <x:c r="G207" s="167" t="str">
        <x:v>raw NPE-analytical central 90% interval [q5, q95]</x:v>
      </x:c>
      <x:c r="H207" s="168" t="n">
        <x:v>-0.0222575017747828</x:v>
      </x:c>
      <x:c r="I207" s="168" t="n">
        <x:v>0.0203234425976631</x:v>
      </x:c>
      <x:c r="J207" s="169" t="n">
        <x:v>446</x:v>
      </x:c>
      <x:c r="K207" s="169" t="n">
        <x:v>20</x:v>
      </x:c>
      <x:c r="L207" s="169" t="n">
        <x:v>91</x:v>
      </x:c>
      <x:c r="M207" s="169" t="n">
        <x:v>43</x:v>
      </x:c>
      <x:c r="N207" s="169" t="n">
        <x:v>600</x:v>
      </x:c>
      <x:c r="O207" s="269" t="n">
        <x:v>0.16945996275605213</x:v>
      </x:c>
      <x:c r="P207" s="269" t="n">
        <x:v>0.31746031746031744</x:v>
      </x:c>
      <x:c r="Q207" s="269" t="n">
        <x:v>0.8893320039880359</x:v>
      </x:c>
      <x:c r="R207" s="269" t="n">
        <x:v>0.8432502734178712</x:v>
      </x:c>
    </x:row>
    <x:row r="208">
      <x:c r="A208" s="167" t="str">
        <x:v>Gaussian</x:v>
      </x:c>
      <x:c r="B208" s="167" t="str">
        <x:v>simulated</x:v>
      </x:c>
      <x:c r="C208" s="167" t="str">
        <x:v>density</x:v>
      </x:c>
      <x:c r="D208" s="167" t="str">
        <x:v>m2</x:v>
      </x:c>
      <x:c r="E208" s="167" t="str">
        <x:v>S=D</x:v>
      </x:c>
      <x:c r="F208" s="167" t="str">
        <x:v>signed_logml_error</x:v>
      </x:c>
      <x:c r="G208" s="167" t="str">
        <x:v>raw NPE-analytical central 90% interval [q5, q95]</x:v>
      </x:c>
      <x:c r="H208" s="168" t="n">
        <x:v>-0.0222575017747828</x:v>
      </x:c>
      <x:c r="I208" s="168" t="n">
        <x:v>0.0203234425976631</x:v>
      </x:c>
      <x:c r="J208" s="169" t="n">
        <x:v>440</x:v>
      </x:c>
      <x:c r="K208" s="169" t="n">
        <x:v>12</x:v>
      </x:c>
      <x:c r="L208" s="169" t="n">
        <x:v>99</x:v>
      </x:c>
      <x:c r="M208" s="169" t="n">
        <x:v>49</x:v>
      </x:c>
      <x:c r="N208" s="169" t="n">
        <x:v>600</x:v>
      </x:c>
      <x:c r="O208" s="269" t="n">
        <x:v>0.1836734693877551</x:v>
      </x:c>
      <x:c r="P208" s="219" t="n">
        <x:v>0.19672131147540983</x:v>
      </x:c>
      <x:c r="Q208" s="269" t="n">
        <x:v>0.887991927346115</x:v>
      </x:c>
      <x:c r="R208" s="269" t="n">
        <x:v>0.853797256607561</x:v>
      </x:c>
    </x:row>
    <x:row r="209">
      <x:c r="A209" s="167" t="str">
        <x:v>Gaussian</x:v>
      </x:c>
      <x:c r="B209" s="167" t="str">
        <x:v>simulated</x:v>
      </x:c>
      <x:c r="C209" s="167" t="str">
        <x:v>mmd</x:v>
      </x:c>
      <x:c r="D209" s="167" t="str">
        <x:v>m2</x:v>
      </x:c>
      <x:c r="E209" s="167" t="str">
        <x:v>S=D</x:v>
      </x:c>
      <x:c r="F209" s="167" t="str">
        <x:v>signed_logml_error</x:v>
      </x:c>
      <x:c r="G209" s="167" t="str">
        <x:v>raw NPE-analytical central 90% interval [q5, q95]</x:v>
      </x:c>
      <x:c r="H209" s="168" t="n">
        <x:v>-0.0222575017747828</x:v>
      </x:c>
      <x:c r="I209" s="168" t="n">
        <x:v>0.0203234425976631</x:v>
      </x:c>
      <x:c r="J209" s="169" t="n">
        <x:v>485</x:v>
      </x:c>
      <x:c r="K209" s="169" t="n">
        <x:v>17</x:v>
      </x:c>
      <x:c r="L209" s="169" t="n">
        <x:v>54</x:v>
      </x:c>
      <x:c r="M209" s="169" t="n">
        <x:v>44</x:v>
      </x:c>
      <x:c r="N209" s="169" t="n">
        <x:v>600</x:v>
      </x:c>
      <x:c r="O209" s="219" t="n">
        <x:v>0.10018552875695733</x:v>
      </x:c>
      <x:c r="P209" s="269" t="n">
        <x:v>0.2786885245901639</x:v>
      </x:c>
      <x:c r="Q209" s="219" t="n">
        <x:v>0.9317963496637848</x:v>
      </x:c>
      <x:c r="R209" s="219" t="n">
        <x:v>0.9138659934912863</x:v>
      </x:c>
    </x:row>
    <x:row r="210">
      <x:c r="A210" s="167" t="str">
        <x:v>Gaussian</x:v>
      </x:c>
      <x:c r="B210" s="167" t="str">
        <x:v>simulated</x:v>
      </x:c>
      <x:c r="C210" s="167" t="str">
        <x:v>l2</x:v>
      </x:c>
      <x:c r="D210" s="167" t="str">
        <x:v>m2</x:v>
      </x:c>
      <x:c r="E210" s="167" t="str">
        <x:v>S=2D</x:v>
      </x:c>
      <x:c r="F210" s="167" t="str">
        <x:v>signed_logml_error</x:v>
      </x:c>
      <x:c r="G210" s="167" t="str">
        <x:v>raw NPE-analytical central 90% interval [q5, q95]</x:v>
      </x:c>
      <x:c r="H210" s="168" t="n">
        <x:v>-0.0175375160608581</x:v>
      </x:c>
      <x:c r="I210" s="168" t="n">
        <x:v>0.0111427640047679</x:v>
      </x:c>
      <x:c r="J210" s="169" t="n">
        <x:v>538</x:v>
      </x:c>
      <x:c r="K210" s="169" t="n">
        <x:v>15</x:v>
      </x:c>
      <x:c r="L210" s="169" t="n">
        <x:v>17</x:v>
      </x:c>
      <x:c r="M210" s="169" t="n">
        <x:v>30</x:v>
      </x:c>
      <x:c r="N210" s="169" t="n">
        <x:v>600</x:v>
      </x:c>
      <x:c r="O210" s="269" t="n">
        <x:v>0.03063063063063063</x:v>
      </x:c>
      <x:c r="P210" s="269" t="n">
        <x:v>0.3333333333333333</x:v>
      </x:c>
      <x:c r="Q210" s="269" t="n">
        <x:v>0.9711191335740073</x:v>
      </x:c>
      <x:c r="R210" s="219" t="n">
        <x:v>0.9687687687687687</x:v>
      </x:c>
    </x:row>
    <x:row r="211">
      <x:c r="A211" s="167" t="str">
        <x:v>Gaussian</x:v>
      </x:c>
      <x:c r="B211" s="167" t="str">
        <x:v>simulated</x:v>
      </x:c>
      <x:c r="C211" s="167" t="str">
        <x:v>linf</x:v>
      </x:c>
      <x:c r="D211" s="167" t="str">
        <x:v>m2</x:v>
      </x:c>
      <x:c r="E211" s="167" t="str">
        <x:v>S=2D</x:v>
      </x:c>
      <x:c r="F211" s="167" t="str">
        <x:v>signed_logml_error</x:v>
      </x:c>
      <x:c r="G211" s="167" t="str">
        <x:v>raw NPE-analytical central 90% interval [q5, q95]</x:v>
      </x:c>
      <x:c r="H211" s="168" t="n">
        <x:v>-0.0175375160608581</x:v>
      </x:c>
      <x:c r="I211" s="168" t="n">
        <x:v>0.0111427640047679</x:v>
      </x:c>
      <x:c r="J211" s="169" t="n">
        <x:v>522</x:v>
      </x:c>
      <x:c r="K211" s="169" t="n">
        <x:v>12</x:v>
      </x:c>
      <x:c r="L211" s="169" t="n">
        <x:v>23</x:v>
      </x:c>
      <x:c r="M211" s="169" t="n">
        <x:v>43</x:v>
      </x:c>
      <x:c r="N211" s="169" t="n">
        <x:v>600</x:v>
      </x:c>
      <x:c r="O211" s="269" t="n">
        <x:v>0.04220183486238532</x:v>
      </x:c>
      <x:c r="P211" s="219" t="n">
        <x:v>0.21818181818181817</x:v>
      </x:c>
      <x:c r="Q211" s="269" t="n">
        <x:v>0.9675625579240037</x:v>
      </x:c>
      <x:c r="R211" s="269" t="n">
        <x:v>0.9617014178482068</x:v>
      </x:c>
    </x:row>
    <x:row r="212">
      <x:c r="A212" s="167" t="str">
        <x:v>Gaussian</x:v>
      </x:c>
      <x:c r="B212" s="167" t="str">
        <x:v>simulated</x:v>
      </x:c>
      <x:c r="C212" s="167" t="str">
        <x:v>density</x:v>
      </x:c>
      <x:c r="D212" s="167" t="str">
        <x:v>m2</x:v>
      </x:c>
      <x:c r="E212" s="167" t="str">
        <x:v>S=2D</x:v>
      </x:c>
      <x:c r="F212" s="167" t="str">
        <x:v>signed_logml_error</x:v>
      </x:c>
      <x:c r="G212" s="167" t="str">
        <x:v>raw NPE-analytical central 90% interval [q5, q95]</x:v>
      </x:c>
      <x:c r="H212" s="168" t="n">
        <x:v>-0.0175375160608581</x:v>
      </x:c>
      <x:c r="I212" s="168" t="n">
        <x:v>0.0111427640047679</x:v>
      </x:c>
      <x:c r="J212" s="169" t="n">
        <x:v>538</x:v>
      </x:c>
      <x:c r="K212" s="169" t="n">
        <x:v>13</x:v>
      </x:c>
      <x:c r="L212" s="169" t="n">
        <x:v>17</x:v>
      </x:c>
      <x:c r="M212" s="169" t="n">
        <x:v>32</x:v>
      </x:c>
      <x:c r="N212" s="169" t="n">
        <x:v>600</x:v>
      </x:c>
      <x:c r="O212" s="219" t="n">
        <x:v>0.03063063063063063</x:v>
      </x:c>
      <x:c r="P212" s="269" t="n">
        <x:v>0.28888888888888886</x:v>
      </x:c>
      <x:c r="Q212" s="219" t="n">
        <x:v>0.972875226039783</x:v>
      </x:c>
      <x:c r="R212" s="269" t="n">
        <x:v>0.9678478478478478</x:v>
      </x:c>
    </x:row>
    <x:row r="213">
      <x:c r="A213" s="167" t="str">
        <x:v>Gaussian</x:v>
      </x:c>
      <x:c r="B213" s="167" t="str">
        <x:v>simulated</x:v>
      </x:c>
      <x:c r="C213" s="167" t="str">
        <x:v>mmd</x:v>
      </x:c>
      <x:c r="D213" s="167" t="str">
        <x:v>m2</x:v>
      </x:c>
      <x:c r="E213" s="167" t="str">
        <x:v>S=2D</x:v>
      </x:c>
      <x:c r="F213" s="167" t="str">
        <x:v>signed_logml_error</x:v>
      </x:c>
      <x:c r="G213" s="167" t="str">
        <x:v>raw NPE-analytical central 90% interval [q5, q95]</x:v>
      </x:c>
      <x:c r="H213" s="168" t="n">
        <x:v>-0.0175375160608581</x:v>
      </x:c>
      <x:c r="I213" s="168" t="n">
        <x:v>0.0111427640047679</x:v>
      </x:c>
      <x:c r="J213" s="169" t="n">
        <x:v>518</x:v>
      </x:c>
      <x:c r="K213" s="169" t="n">
        <x:v>15</x:v>
      </x:c>
      <x:c r="L213" s="169" t="n">
        <x:v>37</x:v>
      </x:c>
      <x:c r="M213" s="169" t="n">
        <x:v>30</x:v>
      </x:c>
      <x:c r="N213" s="169" t="n">
        <x:v>600</x:v>
      </x:c>
      <x:c r="O213" s="269" t="n">
        <x:v>0.06666666666666667</x:v>
      </x:c>
      <x:c r="P213" s="269" t="n">
        <x:v>0.3333333333333333</x:v>
      </x:c>
      <x:c r="Q213" s="269" t="n">
        <x:v>0.9522058823529411</x:v>
      </x:c>
      <x:c r="R213" s="269" t="n">
        <x:v>0.9297297297297298</x:v>
      </x:c>
    </x:row>
    <x:row r="214">
      <x:c r="A214" s="167" t="str">
        <x:v>Gaussian</x:v>
      </x:c>
      <x:c r="B214" s="167" t="str">
        <x:v>simulated</x:v>
      </x:c>
      <x:c r="C214" s="167" t="str">
        <x:v>l2</x:v>
      </x:c>
      <x:c r="D214" s="167" t="str">
        <x:v>m2</x:v>
      </x:c>
      <x:c r="E214" s="167" t="str">
        <x:v>S=4D</x:v>
      </x:c>
      <x:c r="F214" s="167" t="str">
        <x:v>signed_logml_error</x:v>
      </x:c>
      <x:c r="G214" s="167" t="str">
        <x:v>raw NPE-analytical central 90% interval [q5, q95]</x:v>
      </x:c>
      <x:c r="H214" s="168" t="n">
        <x:v>-0.0194508207613466</x:v>
      </x:c>
      <x:c r="I214" s="168" t="n">
        <x:v>0.0184108763848512</x:v>
      </x:c>
      <x:c r="J214" s="169" t="n">
        <x:v>544</x:v>
      </x:c>
      <x:c r="K214" s="169" t="n">
        <x:v>7</x:v>
      </x:c>
      <x:c r="L214" s="169" t="n">
        <x:v>8</x:v>
      </x:c>
      <x:c r="M214" s="169" t="n">
        <x:v>41</x:v>
      </x:c>
      <x:c r="N214" s="169" t="n">
        <x:v>600</x:v>
      </x:c>
      <x:c r="O214" s="219" t="n">
        <x:v>0.014492753623188406</x:v>
      </x:c>
      <x:c r="P214" s="269" t="n">
        <x:v>0.14583333333333334</x:v>
      </x:c>
      <x:c r="Q214" s="219" t="n">
        <x:v>0.986400725294651</x:v>
      </x:c>
      <x:c r="R214" s="269" t="n">
        <x:v>0.9904891304347826</x:v>
      </x:c>
    </x:row>
    <x:row r="215">
      <x:c r="A215" s="167" t="str">
        <x:v>Gaussian</x:v>
      </x:c>
      <x:c r="B215" s="167" t="str">
        <x:v>simulated</x:v>
      </x:c>
      <x:c r="C215" s="167" t="str">
        <x:v>linf</x:v>
      </x:c>
      <x:c r="D215" s="167" t="str">
        <x:v>m2</x:v>
      </x:c>
      <x:c r="E215" s="167" t="str">
        <x:v>S=4D</x:v>
      </x:c>
      <x:c r="F215" s="167" t="str">
        <x:v>signed_logml_error</x:v>
      </x:c>
      <x:c r="G215" s="167" t="str">
        <x:v>raw NPE-analytical central 90% interval [q5, q95]</x:v>
      </x:c>
      <x:c r="H215" s="168" t="n">
        <x:v>-0.0194508207613466</x:v>
      </x:c>
      <x:c r="I215" s="168" t="n">
        <x:v>0.0184108763848512</x:v>
      </x:c>
      <x:c r="J215" s="169" t="n">
        <x:v>520</x:v>
      </x:c>
      <x:c r="K215" s="169" t="n">
        <x:v>5</x:v>
      </x:c>
      <x:c r="L215" s="169" t="n">
        <x:v>29</x:v>
      </x:c>
      <x:c r="M215" s="169" t="n">
        <x:v>46</x:v>
      </x:c>
      <x:c r="N215" s="169" t="n">
        <x:v>600</x:v>
      </x:c>
      <x:c r="O215" s="269" t="n">
        <x:v>0.052823315118397086</x:v>
      </x:c>
      <x:c r="P215" s="219" t="n">
        <x:v>0.09803921568627451</x:v>
      </x:c>
      <x:c r="Q215" s="269" t="n">
        <x:v>0.9683426443202979</x:v>
      </x:c>
      <x:c r="R215" s="269" t="n">
        <x:v>0.9805707346690953</x:v>
      </x:c>
    </x:row>
    <x:row r="216">
      <x:c r="A216" s="167" t="str">
        <x:v>Gaussian</x:v>
      </x:c>
      <x:c r="B216" s="167" t="str">
        <x:v>simulated</x:v>
      </x:c>
      <x:c r="C216" s="167" t="str">
        <x:v>density</x:v>
      </x:c>
      <x:c r="D216" s="167" t="str">
        <x:v>m2</x:v>
      </x:c>
      <x:c r="E216" s="167" t="str">
        <x:v>S=4D</x:v>
      </x:c>
      <x:c r="F216" s="167" t="str">
        <x:v>signed_logml_error</x:v>
      </x:c>
      <x:c r="G216" s="167" t="str">
        <x:v>raw NPE-analytical central 90% interval [q5, q95]</x:v>
      </x:c>
      <x:c r="H216" s="168" t="n">
        <x:v>-0.0194508207613466</x:v>
      </x:c>
      <x:c r="I216" s="168" t="n">
        <x:v>0.0184108763848512</x:v>
      </x:c>
      <x:c r="J216" s="169" t="n">
        <x:v>544</x:v>
      </x:c>
      <x:c r="K216" s="169" t="n">
        <x:v>9</x:v>
      </x:c>
      <x:c r="L216" s="169" t="n">
        <x:v>8</x:v>
      </x:c>
      <x:c r="M216" s="169" t="n">
        <x:v>39</x:v>
      </x:c>
      <x:c r="N216" s="169" t="n">
        <x:v>600</x:v>
      </x:c>
      <x:c r="O216" s="219" t="n">
        <x:v>0.014492753623188406</x:v>
      </x:c>
      <x:c r="P216" s="269" t="n">
        <x:v>0.1875</x:v>
      </x:c>
      <x:c r="Q216" s="269" t="n">
        <x:v>0.9846153846153847</x:v>
      </x:c>
      <x:c r="R216" s="219" t="n">
        <x:v>0.9907910628019324</x:v>
      </x:c>
    </x:row>
    <x:row r="217">
      <x:c r="A217" s="167" t="str">
        <x:v>Gaussian</x:v>
      </x:c>
      <x:c r="B217" s="167" t="str">
        <x:v>simulated</x:v>
      </x:c>
      <x:c r="C217" s="167" t="str">
        <x:v>mmd</x:v>
      </x:c>
      <x:c r="D217" s="167" t="str">
        <x:v>m2</x:v>
      </x:c>
      <x:c r="E217" s="167" t="str">
        <x:v>S=4D</x:v>
      </x:c>
      <x:c r="F217" s="167" t="str">
        <x:v>signed_logml_error</x:v>
      </x:c>
      <x:c r="G217" s="167" t="str">
        <x:v>raw NPE-analytical central 90% interval [q5, q95]</x:v>
      </x:c>
      <x:c r="H217" s="168" t="n">
        <x:v>-0.0194508207613466</x:v>
      </x:c>
      <x:c r="I217" s="168" t="n">
        <x:v>0.0184108763848512</x:v>
      </x:c>
      <x:c r="J217" s="169" t="n">
        <x:v>536</x:v>
      </x:c>
      <x:c r="K217" s="169" t="n">
        <x:v>7</x:v>
      </x:c>
      <x:c r="L217" s="169" t="n">
        <x:v>16</x:v>
      </x:c>
      <x:c r="M217" s="169" t="n">
        <x:v>41</x:v>
      </x:c>
      <x:c r="N217" s="169" t="n">
        <x:v>600</x:v>
      </x:c>
      <x:c r="O217" s="269" t="n">
        <x:v>0.028985507246376812</x:v>
      </x:c>
      <x:c r="P217" s="269" t="n">
        <x:v>0.14583333333333334</x:v>
      </x:c>
      <x:c r="Q217" s="269" t="n">
        <x:v>0.9789954337899544</x:v>
      </x:c>
      <x:c r="R217" s="269" t="n">
        <x:v>0.9766379830917874</x:v>
      </x:c>
    </x:row>
    <x:row r="218">
      <x:c r="A218" s="167" t="str">
        <x:v>Gaussian</x:v>
      </x:c>
      <x:c r="B218" s="167" t="str">
        <x:v>simulated</x:v>
      </x:c>
      <x:c r="C218" s="167" t="str">
        <x:v>l2</x:v>
      </x:c>
      <x:c r="D218" s="167" t="str">
        <x:v>m3</x:v>
      </x:c>
      <x:c r="E218" s="167" t="str">
        <x:v>S=D</x:v>
      </x:c>
      <x:c r="F218" s="167" t="str">
        <x:v>signed_logml_error</x:v>
      </x:c>
      <x:c r="G218" s="167" t="str">
        <x:v>raw NPE-analytical central 90% interval [q5, q95]</x:v>
      </x:c>
      <x:c r="H218" s="168" t="n">
        <x:v>-0.0334388610696208</x:v>
      </x:c>
      <x:c r="I218" s="168" t="n">
        <x:v>0.0683516459181758</x:v>
      </x:c>
      <x:c r="J218" s="169" t="n">
        <x:v>336</x:v>
      </x:c>
      <x:c r="K218" s="169" t="n">
        <x:v>55</x:v>
      </x:c>
      <x:c r="L218" s="169" t="n">
        <x:v>122</x:v>
      </x:c>
      <x:c r="M218" s="169" t="n">
        <x:v>87</x:v>
      </x:c>
      <x:c r="N218" s="169" t="n">
        <x:v>600</x:v>
      </x:c>
      <x:c r="O218" s="219" t="n">
        <x:v>0.2663755458515284</x:v>
      </x:c>
      <x:c r="P218" s="269" t="n">
        <x:v>0.3873239436619718</x:v>
      </x:c>
      <x:c r="Q218" s="219" t="n">
        <x:v>0.7915194346289752</x:v>
      </x:c>
      <x:c r="R218" s="269" t="n">
        <x:v>0.6548988252660065</x:v>
      </x:c>
    </x:row>
    <x:row r="219">
      <x:c r="A219" s="167" t="str">
        <x:v>Gaussian</x:v>
      </x:c>
      <x:c r="B219" s="167" t="str">
        <x:v>simulated</x:v>
      </x:c>
      <x:c r="C219" s="167" t="str">
        <x:v>linf</x:v>
      </x:c>
      <x:c r="D219" s="167" t="str">
        <x:v>m3</x:v>
      </x:c>
      <x:c r="E219" s="167" t="str">
        <x:v>S=D</x:v>
      </x:c>
      <x:c r="F219" s="167" t="str">
        <x:v>signed_logml_error</x:v>
      </x:c>
      <x:c r="G219" s="167" t="str">
        <x:v>raw NPE-analytical central 90% interval [q5, q95]</x:v>
      </x:c>
      <x:c r="H219" s="168" t="n">
        <x:v>-0.0334388610696208</x:v>
      </x:c>
      <x:c r="I219" s="168" t="n">
        <x:v>0.0683516459181758</x:v>
      </x:c>
      <x:c r="J219" s="169" t="n">
        <x:v>308</x:v>
      </x:c>
      <x:c r="K219" s="169" t="n">
        <x:v>40</x:v>
      </x:c>
      <x:c r="L219" s="169" t="n">
        <x:v>152</x:v>
      </x:c>
      <x:c r="M219" s="169" t="n">
        <x:v>100</x:v>
      </x:c>
      <x:c r="N219" s="169" t="n">
        <x:v>600</x:v>
      </x:c>
      <x:c r="O219" s="269" t="n">
        <x:v>0.33043478260869563</x:v>
      </x:c>
      <x:c r="P219" s="219" t="n">
        <x:v>0.2857142857142857</x:v>
      </x:c>
      <x:c r="Q219" s="269" t="n">
        <x:v>0.7623762376237624</x:v>
      </x:c>
      <x:c r="R219" s="219" t="n">
        <x:v>0.711444099378882</x:v>
      </x:c>
    </x:row>
    <x:row r="220">
      <x:c r="A220" s="167" t="str">
        <x:v>Gaussian</x:v>
      </x:c>
      <x:c r="B220" s="167" t="str">
        <x:v>simulated</x:v>
      </x:c>
      <x:c r="C220" s="167" t="str">
        <x:v>density</x:v>
      </x:c>
      <x:c r="D220" s="167" t="str">
        <x:v>m3</x:v>
      </x:c>
      <x:c r="E220" s="167" t="str">
        <x:v>S=D</x:v>
      </x:c>
      <x:c r="F220" s="167" t="str">
        <x:v>signed_logml_error</x:v>
      </x:c>
      <x:c r="G220" s="167" t="str">
        <x:v>raw NPE-analytical central 90% interval [q5, q95]</x:v>
      </x:c>
      <x:c r="H220" s="168" t="n">
        <x:v>-0.0334388610696208</x:v>
      </x:c>
      <x:c r="I220" s="168" t="n">
        <x:v>0.0683516459181758</x:v>
      </x:c>
      <x:c r="J220" s="169" t="n">
        <x:v>242</x:v>
      </x:c>
      <x:c r="K220" s="169" t="n">
        <x:v>43</x:v>
      </x:c>
      <x:c r="L220" s="169" t="n">
        <x:v>216</x:v>
      </x:c>
      <x:c r="M220" s="169" t="n">
        <x:v>99</x:v>
      </x:c>
      <x:c r="N220" s="169" t="n">
        <x:v>600</x:v>
      </x:c>
      <x:c r="O220" s="269" t="n">
        <x:v>0.47161572052401746</x:v>
      </x:c>
      <x:c r="P220" s="269" t="n">
        <x:v>0.3028169014084507</x:v>
      </x:c>
      <x:c r="Q220" s="269" t="n">
        <x:v>0.6514131897711979</x:v>
      </x:c>
      <x:c r="R220" s="269" t="n">
        <x:v>0.650485884740759</x:v>
      </x:c>
    </x:row>
    <x:row r="221">
      <x:c r="A221" s="167" t="str">
        <x:v>Gaussian</x:v>
      </x:c>
      <x:c r="B221" s="167" t="str">
        <x:v>simulated</x:v>
      </x:c>
      <x:c r="C221" s="167" t="str">
        <x:v>mmd</x:v>
      </x:c>
      <x:c r="D221" s="167" t="str">
        <x:v>m3</x:v>
      </x:c>
      <x:c r="E221" s="167" t="str">
        <x:v>S=D</x:v>
      </x:c>
      <x:c r="F221" s="167" t="str">
        <x:v>signed_logml_error</x:v>
      </x:c>
      <x:c r="G221" s="167" t="str">
        <x:v>raw NPE-analytical central 90% interval [q5, q95]</x:v>
      </x:c>
      <x:c r="H221" s="168" t="n">
        <x:v>-0.0334388610696208</x:v>
      </x:c>
      <x:c r="I221" s="168" t="n">
        <x:v>0.0683516459181758</x:v>
      </x:c>
      <x:c r="J221" s="169" t="n">
        <x:v>335</x:v>
      </x:c>
      <x:c r="K221" s="169" t="n">
        <x:v>55</x:v>
      </x:c>
      <x:c r="L221" s="169" t="n">
        <x:v>123</x:v>
      </x:c>
      <x:c r="M221" s="169" t="n">
        <x:v>87</x:v>
      </x:c>
      <x:c r="N221" s="169" t="n">
        <x:v>600</x:v>
      </x:c>
      <x:c r="O221" s="269" t="n">
        <x:v>0.2685589519650655</x:v>
      </x:c>
      <x:c r="P221" s="269" t="n">
        <x:v>0.3873239436619718</x:v>
      </x:c>
      <x:c r="Q221" s="269" t="n">
        <x:v>0.7900943396226415</x:v>
      </x:c>
      <x:c r="R221" s="269" t="n">
        <x:v>0.6557752629312996</x:v>
      </x:c>
    </x:row>
    <x:row r="222">
      <x:c r="A222" s="167" t="str">
        <x:v>Gaussian</x:v>
      </x:c>
      <x:c r="B222" s="167" t="str">
        <x:v>simulated</x:v>
      </x:c>
      <x:c r="C222" s="167" t="str">
        <x:v>l2</x:v>
      </x:c>
      <x:c r="D222" s="167" t="str">
        <x:v>m3</x:v>
      </x:c>
      <x:c r="E222" s="167" t="str">
        <x:v>S=2D</x:v>
      </x:c>
      <x:c r="F222" s="167" t="str">
        <x:v>signed_logml_error</x:v>
      </x:c>
      <x:c r="G222" s="167" t="str">
        <x:v>raw NPE-analytical central 90% interval [q5, q95]</x:v>
      </x:c>
      <x:c r="H222" s="168" t="n">
        <x:v>-0.021758959402021</x:v>
      </x:c>
      <x:c r="I222" s="168" t="n">
        <x:v>0.0219967901644849</x:v>
      </x:c>
      <x:c r="J222" s="169" t="n">
        <x:v>365</x:v>
      </x:c>
      <x:c r="K222" s="169" t="n">
        <x:v>43</x:v>
      </x:c>
      <x:c r="L222" s="169" t="n">
        <x:v>133</x:v>
      </x:c>
      <x:c r="M222" s="169" t="n">
        <x:v>59</x:v>
      </x:c>
      <x:c r="N222" s="169" t="n">
        <x:v>600</x:v>
      </x:c>
      <x:c r="O222" s="269" t="n">
        <x:v>0.26706827309236947</x:v>
      </x:c>
      <x:c r="P222" s="269" t="n">
        <x:v>0.4215686274509804</x:v>
      </x:c>
      <x:c r="Q222" s="269" t="n">
        <x:v>0.8057395143487859</x:v>
      </x:c>
      <x:c r="R222" s="269" t="n">
        <x:v>0.6212693912906528</x:v>
      </x:c>
    </x:row>
    <x:row r="223">
      <x:c r="A223" s="167" t="str">
        <x:v>Gaussian</x:v>
      </x:c>
      <x:c r="B223" s="167" t="str">
        <x:v>simulated</x:v>
      </x:c>
      <x:c r="C223" s="167" t="str">
        <x:v>linf</x:v>
      </x:c>
      <x:c r="D223" s="167" t="str">
        <x:v>m3</x:v>
      </x:c>
      <x:c r="E223" s="167" t="str">
        <x:v>S=2D</x:v>
      </x:c>
      <x:c r="F223" s="167" t="str">
        <x:v>signed_logml_error</x:v>
      </x:c>
      <x:c r="G223" s="167" t="str">
        <x:v>raw NPE-analytical central 90% interval [q5, q95]</x:v>
      </x:c>
      <x:c r="H223" s="168" t="n">
        <x:v>-0.021758959402021</x:v>
      </x:c>
      <x:c r="I223" s="168" t="n">
        <x:v>0.0219967901644849</x:v>
      </x:c>
      <x:c r="J223" s="169" t="n">
        <x:v>333</x:v>
      </x:c>
      <x:c r="K223" s="169" t="n">
        <x:v>34</x:v>
      </x:c>
      <x:c r="L223" s="169" t="n">
        <x:v>161</x:v>
      </x:c>
      <x:c r="M223" s="169" t="n">
        <x:v>72</x:v>
      </x:c>
      <x:c r="N223" s="169" t="n">
        <x:v>600</x:v>
      </x:c>
      <x:c r="O223" s="269" t="n">
        <x:v>0.3259109311740891</x:v>
      </x:c>
      <x:c r="P223" s="219" t="n">
        <x:v>0.32075471698113206</x:v>
      </x:c>
      <x:c r="Q223" s="269" t="n">
        <x:v>0.7735191637630662</x:v>
      </x:c>
      <x:c r="R223" s="269" t="n">
        <x:v>0.6474295317393629</x:v>
      </x:c>
    </x:row>
    <x:row r="224">
      <x:c r="A224" s="167" t="str">
        <x:v>Gaussian</x:v>
      </x:c>
      <x:c r="B224" s="167" t="str">
        <x:v>simulated</x:v>
      </x:c>
      <x:c r="C224" s="167" t="str">
        <x:v>density</x:v>
      </x:c>
      <x:c r="D224" s="167" t="str">
        <x:v>m3</x:v>
      </x:c>
      <x:c r="E224" s="167" t="str">
        <x:v>S=2D</x:v>
      </x:c>
      <x:c r="F224" s="167" t="str">
        <x:v>signed_logml_error</x:v>
      </x:c>
      <x:c r="G224" s="167" t="str">
        <x:v>raw NPE-analytical central 90% interval [q5, q95]</x:v>
      </x:c>
      <x:c r="H224" s="168" t="n">
        <x:v>-0.021758959402021</x:v>
      </x:c>
      <x:c r="I224" s="168" t="n">
        <x:v>0.0219967901644849</x:v>
      </x:c>
      <x:c r="J224" s="169" t="n">
        <x:v>462</x:v>
      </x:c>
      <x:c r="K224" s="169" t="n">
        <x:v>54</x:v>
      </x:c>
      <x:c r="L224" s="169" t="n">
        <x:v>36</x:v>
      </x:c>
      <x:c r="M224" s="169" t="n">
        <x:v>48</x:v>
      </x:c>
      <x:c r="N224" s="169" t="n">
        <x:v>600</x:v>
      </x:c>
      <x:c r="O224" s="219" t="n">
        <x:v>0.07228915662650602</x:v>
      </x:c>
      <x:c r="P224" s="269" t="n">
        <x:v>0.5294117647058824</x:v>
      </x:c>
      <x:c r="Q224" s="219" t="n">
        <x:v>0.9112426035502958</x:v>
      </x:c>
      <x:c r="R224" s="219" t="n">
        <x:v>0.6948184896448539</x:v>
      </x:c>
    </x:row>
    <x:row r="225">
      <x:c r="A225" s="167" t="str">
        <x:v>Gaussian</x:v>
      </x:c>
      <x:c r="B225" s="167" t="str">
        <x:v>simulated</x:v>
      </x:c>
      <x:c r="C225" s="167" t="str">
        <x:v>mmd</x:v>
      </x:c>
      <x:c r="D225" s="167" t="str">
        <x:v>m3</x:v>
      </x:c>
      <x:c r="E225" s="167" t="str">
        <x:v>S=2D</x:v>
      </x:c>
      <x:c r="F225" s="167" t="str">
        <x:v>signed_logml_error</x:v>
      </x:c>
      <x:c r="G225" s="167" t="str">
        <x:v>raw NPE-analytical central 90% interval [q5, q95]</x:v>
      </x:c>
      <x:c r="H225" s="168" t="n">
        <x:v>-0.021758959402021</x:v>
      </x:c>
      <x:c r="I225" s="168" t="n">
        <x:v>0.0219967901644849</x:v>
      </x:c>
      <x:c r="J225" s="169" t="n">
        <x:v>356</x:v>
      </x:c>
      <x:c r="K225" s="169" t="n">
        <x:v>43</x:v>
      </x:c>
      <x:c r="L225" s="169" t="n">
        <x:v>142</x:v>
      </x:c>
      <x:c r="M225" s="169" t="n">
        <x:v>59</x:v>
      </x:c>
      <x:c r="N225" s="169" t="n">
        <x:v>600</x:v>
      </x:c>
      <x:c r="O225" s="269" t="n">
        <x:v>0.285140562248996</x:v>
      </x:c>
      <x:c r="P225" s="269" t="n">
        <x:v>0.4215686274509804</x:v>
      </x:c>
      <x:c r="Q225" s="269" t="n">
        <x:v>0.7937569676700111</x:v>
      </x:c>
      <x:c r="R225" s="269" t="n">
        <x:v>0.6005984723206552</x:v>
      </x:c>
    </x:row>
    <x:row r="226">
      <x:c r="A226" s="167" t="str">
        <x:v>Gaussian</x:v>
      </x:c>
      <x:c r="B226" s="167" t="str">
        <x:v>simulated</x:v>
      </x:c>
      <x:c r="C226" s="167" t="str">
        <x:v>l2</x:v>
      </x:c>
      <x:c r="D226" s="167" t="str">
        <x:v>m3</x:v>
      </x:c>
      <x:c r="E226" s="167" t="str">
        <x:v>S=4D</x:v>
      </x:c>
      <x:c r="F226" s="167" t="str">
        <x:v>signed_logml_error</x:v>
      </x:c>
      <x:c r="G226" s="167" t="str">
        <x:v>raw NPE-analytical central 90% interval [q5, q95]</x:v>
      </x:c>
      <x:c r="H226" s="168" t="n">
        <x:v>-0.0193266687464358</x:v>
      </x:c>
      <x:c r="I226" s="168" t="n">
        <x:v>0.0157749137322013</x:v>
      </x:c>
      <x:c r="J226" s="169" t="n">
        <x:v>481</x:v>
      </x:c>
      <x:c r="K226" s="169" t="n">
        <x:v>60</x:v>
      </x:c>
      <x:c r="L226" s="169" t="n">
        <x:v>18</x:v>
      </x:c>
      <x:c r="M226" s="169" t="n">
        <x:v>41</x:v>
      </x:c>
      <x:c r="N226" s="169" t="n">
        <x:v>600</x:v>
      </x:c>
      <x:c r="O226" s="269" t="n">
        <x:v>0.036072144288577156</x:v>
      </x:c>
      <x:c r="P226" s="269" t="n">
        <x:v>0.594059405940594</x:v>
      </x:c>
      <x:c r="Q226" s="269" t="n">
        <x:v>0.925</x:v>
      </x:c>
      <x:c r="R226" s="219" t="n">
        <x:v>0.7256294767753328</x:v>
      </x:c>
    </x:row>
    <x:row r="227">
      <x:c r="A227" s="167" t="str">
        <x:v>Gaussian</x:v>
      </x:c>
      <x:c r="B227" s="167" t="str">
        <x:v>simulated</x:v>
      </x:c>
      <x:c r="C227" s="167" t="str">
        <x:v>linf</x:v>
      </x:c>
      <x:c r="D227" s="167" t="str">
        <x:v>m3</x:v>
      </x:c>
      <x:c r="E227" s="167" t="str">
        <x:v>S=4D</x:v>
      </x:c>
      <x:c r="F227" s="167" t="str">
        <x:v>signed_logml_error</x:v>
      </x:c>
      <x:c r="G227" s="167" t="str">
        <x:v>raw NPE-analytical central 90% interval [q5, q95]</x:v>
      </x:c>
      <x:c r="H227" s="168" t="n">
        <x:v>-0.0193266687464358</x:v>
      </x:c>
      <x:c r="I227" s="168" t="n">
        <x:v>0.0157749137322013</x:v>
      </x:c>
      <x:c r="J227" s="169" t="n">
        <x:v>392</x:v>
      </x:c>
      <x:c r="K227" s="169" t="n">
        <x:v>48</x:v>
      </x:c>
      <x:c r="L227" s="169" t="n">
        <x:v>111</x:v>
      </x:c>
      <x:c r="M227" s="169" t="n">
        <x:v>49</x:v>
      </x:c>
      <x:c r="N227" s="169" t="n">
        <x:v>600</x:v>
      </x:c>
      <x:c r="O227" s="269" t="n">
        <x:v>0.220675944333996</x:v>
      </x:c>
      <x:c r="P227" s="269" t="n">
        <x:v>0.4948453608247423</x:v>
      </x:c>
      <x:c r="Q227" s="269" t="n">
        <x:v>0.8313891834570519</x:v>
      </x:c>
      <x:c r="R227" s="269" t="n">
        <x:v>0.6814576458773134</x:v>
      </x:c>
    </x:row>
    <x:row r="228">
      <x:c r="A228" s="167" t="str">
        <x:v>Gaussian</x:v>
      </x:c>
      <x:c r="B228" s="167" t="str">
        <x:v>simulated</x:v>
      </x:c>
      <x:c r="C228" s="167" t="str">
        <x:v>density</x:v>
      </x:c>
      <x:c r="D228" s="167" t="str">
        <x:v>m3</x:v>
      </x:c>
      <x:c r="E228" s="167" t="str">
        <x:v>S=4D</x:v>
      </x:c>
      <x:c r="F228" s="167" t="str">
        <x:v>signed_logml_error</x:v>
      </x:c>
      <x:c r="G228" s="167" t="str">
        <x:v>raw NPE-analytical central 90% interval [q5, q95]</x:v>
      </x:c>
      <x:c r="H228" s="168" t="n">
        <x:v>-0.0193266687464358</x:v>
      </x:c>
      <x:c r="I228" s="168" t="n">
        <x:v>0.0157749137322013</x:v>
      </x:c>
      <x:c r="J228" s="169" t="n">
        <x:v>493</x:v>
      </x:c>
      <x:c r="K228" s="169" t="n">
        <x:v>60</x:v>
      </x:c>
      <x:c r="L228" s="169" t="n">
        <x:v>6</x:v>
      </x:c>
      <x:c r="M228" s="169" t="n">
        <x:v>41</x:v>
      </x:c>
      <x:c r="N228" s="169" t="n">
        <x:v>600</x:v>
      </x:c>
      <x:c r="O228" s="219" t="n">
        <x:v>0.012024048096192385</x:v>
      </x:c>
      <x:c r="P228" s="269" t="n">
        <x:v>0.594059405940594</x:v>
      </x:c>
      <x:c r="Q228" s="219" t="n">
        <x:v>0.9372623574144486</x:v>
      </x:c>
      <x:c r="R228" s="269" t="n">
        <x:v>0.726800134923312</x:v>
      </x:c>
    </x:row>
    <x:row r="229">
      <x:c r="A229" s="167" t="str">
        <x:v>Gaussian</x:v>
      </x:c>
      <x:c r="B229" s="167" t="str">
        <x:v>simulated</x:v>
      </x:c>
      <x:c r="C229" s="167" t="str">
        <x:v>mmd</x:v>
      </x:c>
      <x:c r="D229" s="167" t="str">
        <x:v>m3</x:v>
      </x:c>
      <x:c r="E229" s="167" t="str">
        <x:v>S=4D</x:v>
      </x:c>
      <x:c r="F229" s="167" t="str">
        <x:v>signed_logml_error</x:v>
      </x:c>
      <x:c r="G229" s="167" t="str">
        <x:v>raw NPE-analytical central 90% interval [q5, q95]</x:v>
      </x:c>
      <x:c r="H229" s="168" t="n">
        <x:v>-0.0193266687464358</x:v>
      </x:c>
      <x:c r="I229" s="168" t="n">
        <x:v>0.0157749137322013</x:v>
      </x:c>
      <x:c r="J229" s="169" t="n">
        <x:v>364</x:v>
      </x:c>
      <x:c r="K229" s="169" t="n">
        <x:v>34</x:v>
      </x:c>
      <x:c r="L229" s="169" t="n">
        <x:v>135</x:v>
      </x:c>
      <x:c r="M229" s="169" t="n">
        <x:v>67</x:v>
      </x:c>
      <x:c r="N229" s="169" t="n">
        <x:v>600</x:v>
      </x:c>
      <x:c r="O229" s="269" t="n">
        <x:v>0.27054108216432865</x:v>
      </x:c>
      <x:c r="P229" s="219" t="n">
        <x:v>0.33663366336633666</x:v>
      </x:c>
      <x:c r="Q229" s="269" t="n">
        <x:v>0.8115942028985508</x:v>
      </x:c>
      <x:c r="R229" s="269" t="n">
        <x:v>0.6657274945931467</x:v>
      </x:c>
    </x:row>
    <x:row r="230">
      <x:c r="A230" s="167" t="str">
        <x:v>Gaussian</x:v>
      </x:c>
      <x:c r="B230" s="167" t="str">
        <x:v>simulated</x:v>
      </x:c>
      <x:c r="C230" s="167" t="str">
        <x:v>l2</x:v>
      </x:c>
      <x:c r="D230" s="167" t="str">
        <x:v>m4</x:v>
      </x:c>
      <x:c r="E230" s="167" t="str">
        <x:v>S=D</x:v>
      </x:c>
      <x:c r="F230" s="167" t="str">
        <x:v>signed_logml_error</x:v>
      </x:c>
      <x:c r="G230" s="167" t="str">
        <x:v>raw NPE-analytical central 90% interval [q5, q95]</x:v>
      </x:c>
      <x:c r="H230" s="168" t="n">
        <x:v>-0.0206814107090308</x:v>
      </x:c>
      <x:c r="I230" s="168" t="n">
        <x:v>0.0188031959123718</x:v>
      </x:c>
      <x:c r="J230" s="169" t="n">
        <x:v>181</x:v>
      </x:c>
      <x:c r="K230" s="169" t="n">
        <x:v>27</x:v>
      </x:c>
      <x:c r="L230" s="169" t="n">
        <x:v>154</x:v>
      </x:c>
      <x:c r="M230" s="169" t="n">
        <x:v>238</x:v>
      </x:c>
      <x:c r="N230" s="169" t="n">
        <x:v>600</x:v>
      </x:c>
      <x:c r="O230" s="269" t="n">
        <x:v>0.4597014925373134</x:v>
      </x:c>
      <x:c r="P230" s="269" t="n">
        <x:v>0.1018867924528302</x:v>
      </x:c>
      <x:c r="Q230" s="269" t="n">
        <x:v>0.6666666666666666</x:v>
      </x:c>
      <x:c r="R230" s="219" t="n">
        <x:v>0.8320698394818361</x:v>
      </x:c>
    </x:row>
    <x:row r="231">
      <x:c r="A231" s="167" t="str">
        <x:v>Gaussian</x:v>
      </x:c>
      <x:c r="B231" s="167" t="str">
        <x:v>simulated</x:v>
      </x:c>
      <x:c r="C231" s="167" t="str">
        <x:v>linf</x:v>
      </x:c>
      <x:c r="D231" s="167" t="str">
        <x:v>m4</x:v>
      </x:c>
      <x:c r="E231" s="167" t="str">
        <x:v>S=D</x:v>
      </x:c>
      <x:c r="F231" s="167" t="str">
        <x:v>signed_logml_error</x:v>
      </x:c>
      <x:c r="G231" s="167" t="str">
        <x:v>raw NPE-analytical central 90% interval [q5, q95]</x:v>
      </x:c>
      <x:c r="H231" s="168" t="n">
        <x:v>-0.0206814107090308</x:v>
      </x:c>
      <x:c r="I231" s="168" t="n">
        <x:v>0.0188031959123718</x:v>
      </x:c>
      <x:c r="J231" s="169" t="n">
        <x:v>189</x:v>
      </x:c>
      <x:c r="K231" s="169" t="n">
        <x:v>18</x:v>
      </x:c>
      <x:c r="L231" s="169" t="n">
        <x:v>156</x:v>
      </x:c>
      <x:c r="M231" s="169" t="n">
        <x:v>237</x:v>
      </x:c>
      <x:c r="N231" s="169" t="n">
        <x:v>600</x:v>
      </x:c>
      <x:c r="O231" s="219" t="n">
        <x:v>0.45217391304347826</x:v>
      </x:c>
      <x:c r="P231" s="219" t="n">
        <x:v>0.07058823529411765</x:v>
      </x:c>
      <x:c r="Q231" s="219" t="n">
        <x:v>0.6847826086956522</x:v>
      </x:c>
      <x:c r="R231" s="269" t="n">
        <x:v>0.8321682296106848</x:v>
      </x:c>
    </x:row>
    <x:row r="232">
      <x:c r="A232" s="167" t="str">
        <x:v>Gaussian</x:v>
      </x:c>
      <x:c r="B232" s="167" t="str">
        <x:v>simulated</x:v>
      </x:c>
      <x:c r="C232" s="167" t="str">
        <x:v>density</x:v>
      </x:c>
      <x:c r="D232" s="167" t="str">
        <x:v>m4</x:v>
      </x:c>
      <x:c r="E232" s="167" t="str">
        <x:v>S=D</x:v>
      </x:c>
      <x:c r="F232" s="167" t="str">
        <x:v>signed_logml_error</x:v>
      </x:c>
      <x:c r="G232" s="167" t="str">
        <x:v>raw NPE-analytical central 90% interval [q5, q95]</x:v>
      </x:c>
      <x:c r="H232" s="168" t="n">
        <x:v>-0.0206814107090308</x:v>
      </x:c>
      <x:c r="I232" s="168" t="n">
        <x:v>0.0188031959123718</x:v>
      </x:c>
      <x:c r="J232" s="169" t="n">
        <x:v>177</x:v>
      </x:c>
      <x:c r="K232" s="169" t="n">
        <x:v>27</x:v>
      </x:c>
      <x:c r="L232" s="169" t="n">
        <x:v>158</x:v>
      </x:c>
      <x:c r="M232" s="169" t="n">
        <x:v>238</x:v>
      </x:c>
      <x:c r="N232" s="169" t="n">
        <x:v>600</x:v>
      </x:c>
      <x:c r="O232" s="269" t="n">
        <x:v>0.4716417910447761</x:v>
      </x:c>
      <x:c r="P232" s="269" t="n">
        <x:v>0.1018867924528302</x:v>
      </x:c>
      <x:c r="Q232" s="269" t="n">
        <x:v>0.6567717996289425</x:v>
      </x:c>
      <x:c r="R232" s="269" t="n">
        <x:v>0.8302900591382709</x:v>
      </x:c>
    </x:row>
    <x:row r="233">
      <x:c r="A233" s="167" t="str">
        <x:v>Gaussian</x:v>
      </x:c>
      <x:c r="B233" s="167" t="str">
        <x:v>simulated</x:v>
      </x:c>
      <x:c r="C233" s="167" t="str">
        <x:v>mmd</x:v>
      </x:c>
      <x:c r="D233" s="167" t="str">
        <x:v>m4</x:v>
      </x:c>
      <x:c r="E233" s="167" t="str">
        <x:v>S=D</x:v>
      </x:c>
      <x:c r="F233" s="167" t="str">
        <x:v>signed_logml_error</x:v>
      </x:c>
      <x:c r="G233" s="167" t="str">
        <x:v>raw NPE-analytical central 90% interval [q5, q95]</x:v>
      </x:c>
      <x:c r="H233" s="168" t="n">
        <x:v>-0.0206814107090308</x:v>
      </x:c>
      <x:c r="I233" s="168" t="n">
        <x:v>0.0188031959123718</x:v>
      </x:c>
      <x:c r="J233" s="169" t="n">
        <x:v>182</x:v>
      </x:c>
      <x:c r="K233" s="169" t="n">
        <x:v>29</x:v>
      </x:c>
      <x:c r="L233" s="169" t="n">
        <x:v>153</x:v>
      </x:c>
      <x:c r="M233" s="169" t="n">
        <x:v>236</x:v>
      </x:c>
      <x:c r="N233" s="169" t="n">
        <x:v>600</x:v>
      </x:c>
      <x:c r="O233" s="269" t="n">
        <x:v>0.45671641791044776</x:v>
      </x:c>
      <x:c r="P233" s="269" t="n">
        <x:v>0.10943396226415095</x:v>
      </x:c>
      <x:c r="Q233" s="269" t="n">
        <x:v>0.6666666666666666</x:v>
      </x:c>
      <x:c r="R233" s="269" t="n">
        <x:v>0.8313038580681498</x:v>
      </x:c>
    </x:row>
    <x:row r="234">
      <x:c r="A234" s="167" t="str">
        <x:v>Gaussian</x:v>
      </x:c>
      <x:c r="B234" s="167" t="str">
        <x:v>simulated</x:v>
      </x:c>
      <x:c r="C234" s="167" t="str">
        <x:v>l2</x:v>
      </x:c>
      <x:c r="D234" s="167" t="str">
        <x:v>m4</x:v>
      </x:c>
      <x:c r="E234" s="167" t="str">
        <x:v>S=2D</x:v>
      </x:c>
      <x:c r="F234" s="167" t="str">
        <x:v>signed_logml_error</x:v>
      </x:c>
      <x:c r="G234" s="167" t="str">
        <x:v>raw NPE-analytical central 90% interval [q5, q95]</x:v>
      </x:c>
      <x:c r="H234" s="168" t="n">
        <x:v>-0.0281942947613657</x:v>
      </x:c>
      <x:c r="I234" s="168" t="n">
        <x:v>0.0213844755432545</x:v>
      </x:c>
      <x:c r="J234" s="169" t="n">
        <x:v>291</x:v>
      </x:c>
      <x:c r="K234" s="169" t="n">
        <x:v>87</x:v>
      </x:c>
      <x:c r="L234" s="169" t="n">
        <x:v>10</x:v>
      </x:c>
      <x:c r="M234" s="169" t="n">
        <x:v>212</x:v>
      </x:c>
      <x:c r="N234" s="169" t="n">
        <x:v>600</x:v>
      </x:c>
      <x:c r="O234" s="269" t="n">
        <x:v>0.03322259136212625</x:v>
      </x:c>
      <x:c r="P234" s="269" t="n">
        <x:v>0.2909698996655518</x:v>
      </x:c>
      <x:c r="Q234" s="269" t="n">
        <x:v>0.8571428571428571</x:v>
      </x:c>
      <x:c r="R234" s="219" t="n">
        <x:v>0.9693663262925144</x:v>
      </x:c>
    </x:row>
    <x:row r="235">
      <x:c r="A235" s="167" t="str">
        <x:v>Gaussian</x:v>
      </x:c>
      <x:c r="B235" s="167" t="str">
        <x:v>simulated</x:v>
      </x:c>
      <x:c r="C235" s="167" t="str">
        <x:v>linf</x:v>
      </x:c>
      <x:c r="D235" s="167" t="str">
        <x:v>m4</x:v>
      </x:c>
      <x:c r="E235" s="167" t="str">
        <x:v>S=2D</x:v>
      </x:c>
      <x:c r="F235" s="167" t="str">
        <x:v>signed_logml_error</x:v>
      </x:c>
      <x:c r="G235" s="167" t="str">
        <x:v>raw NPE-analytical central 90% interval [q5, q95]</x:v>
      </x:c>
      <x:c r="H235" s="168" t="n">
        <x:v>-0.0281942947613657</x:v>
      </x:c>
      <x:c r="I235" s="168" t="n">
        <x:v>0.0213844755432545</x:v>
      </x:c>
      <x:c r="J235" s="169" t="n">
        <x:v>258</x:v>
      </x:c>
      <x:c r="K235" s="169" t="n">
        <x:v>20</x:v>
      </x:c>
      <x:c r="L235" s="169" t="n">
        <x:v>58</x:v>
      </x:c>
      <x:c r="M235" s="169" t="n">
        <x:v>264</x:v>
      </x:c>
      <x:c r="N235" s="169" t="n">
        <x:v>600</x:v>
      </x:c>
      <x:c r="O235" s="269" t="n">
        <x:v>0.18354430379746836</x:v>
      </x:c>
      <x:c r="P235" s="219" t="n">
        <x:v>0.07042253521126761</x:v>
      </x:c>
      <x:c r="Q235" s="219" t="n">
        <x:v>0.8686868686868687</x:v>
      </x:c>
      <x:c r="R235" s="269" t="n">
        <x:v>0.9450436798003209</x:v>
      </x:c>
    </x:row>
    <x:row r="236">
      <x:c r="A236" s="167" t="str">
        <x:v>Gaussian</x:v>
      </x:c>
      <x:c r="B236" s="167" t="str">
        <x:v>simulated</x:v>
      </x:c>
      <x:c r="C236" s="167" t="str">
        <x:v>density</x:v>
      </x:c>
      <x:c r="D236" s="167" t="str">
        <x:v>m4</x:v>
      </x:c>
      <x:c r="E236" s="167" t="str">
        <x:v>S=2D</x:v>
      </x:c>
      <x:c r="F236" s="167" t="str">
        <x:v>signed_logml_error</x:v>
      </x:c>
      <x:c r="G236" s="167" t="str">
        <x:v>raw NPE-analytical central 90% interval [q5, q95]</x:v>
      </x:c>
      <x:c r="H236" s="168" t="n">
        <x:v>-0.0281942947613657</x:v>
      </x:c>
      <x:c r="I236" s="168" t="n">
        <x:v>0.0213844755432545</x:v>
      </x:c>
      <x:c r="J236" s="169" t="n">
        <x:v>296</x:v>
      </x:c>
      <x:c r="K236" s="169" t="n">
        <x:v>109</x:v>
      </x:c>
      <x:c r="L236" s="169" t="n">
        <x:v>5</x:v>
      </x:c>
      <x:c r="M236" s="169" t="n">
        <x:v>190</x:v>
      </x:c>
      <x:c r="N236" s="169" t="n">
        <x:v>600</x:v>
      </x:c>
      <x:c r="O236" s="219" t="n">
        <x:v>0.016611295681063124</x:v>
      </x:c>
      <x:c r="P236" s="269" t="n">
        <x:v>0.36454849498327757</x:v>
      </x:c>
      <x:c r="Q236" s="269" t="n">
        <x:v>0.8385269121813032</x:v>
      </x:c>
      <x:c r="R236" s="269" t="n">
        <x:v>0.9127656973966377</x:v>
      </x:c>
    </x:row>
    <x:row r="237">
      <x:c r="A237" s="167" t="str">
        <x:v>Gaussian</x:v>
      </x:c>
      <x:c r="B237" s="167" t="str">
        <x:v>simulated</x:v>
      </x:c>
      <x:c r="C237" s="167" t="str">
        <x:v>mmd</x:v>
      </x:c>
      <x:c r="D237" s="167" t="str">
        <x:v>m4</x:v>
      </x:c>
      <x:c r="E237" s="167" t="str">
        <x:v>S=2D</x:v>
      </x:c>
      <x:c r="F237" s="167" t="str">
        <x:v>signed_logml_error</x:v>
      </x:c>
      <x:c r="G237" s="167" t="str">
        <x:v>raw NPE-analytical central 90% interval [q5, q95]</x:v>
      </x:c>
      <x:c r="H237" s="168" t="n">
        <x:v>-0.0281942947613657</x:v>
      </x:c>
      <x:c r="I237" s="168" t="n">
        <x:v>0.0213844755432545</x:v>
      </x:c>
      <x:c r="J237" s="169" t="n">
        <x:v>192</x:v>
      </x:c>
      <x:c r="K237" s="169" t="n">
        <x:v>64</x:v>
      </x:c>
      <x:c r="L237" s="169" t="n">
        <x:v>109</x:v>
      </x:c>
      <x:c r="M237" s="169" t="n">
        <x:v>235</x:v>
      </x:c>
      <x:c r="N237" s="169" t="n">
        <x:v>600</x:v>
      </x:c>
      <x:c r="O237" s="269" t="n">
        <x:v>0.36212624584717606</x:v>
      </x:c>
      <x:c r="P237" s="269" t="n">
        <x:v>0.2140468227424749</x:v>
      </x:c>
      <x:c r="Q237" s="269" t="n">
        <x:v>0.6894075403949731</x:v>
      </x:c>
      <x:c r="R237" s="269" t="n">
        <x:v>0.7694974388604318</x:v>
      </x:c>
    </x:row>
    <x:row r="238">
      <x:c r="A238" s="167" t="str">
        <x:v>Gaussian</x:v>
      </x:c>
      <x:c r="B238" s="167" t="str">
        <x:v>simulated</x:v>
      </x:c>
      <x:c r="C238" s="167" t="str">
        <x:v>l2</x:v>
      </x:c>
      <x:c r="D238" s="167" t="str">
        <x:v>m4</x:v>
      </x:c>
      <x:c r="E238" s="167" t="str">
        <x:v>S=4D</x:v>
      </x:c>
      <x:c r="F238" s="167" t="str">
        <x:v>signed_logml_error</x:v>
      </x:c>
      <x:c r="G238" s="167" t="str">
        <x:v>raw NPE-analytical central 90% interval [q5, q95]</x:v>
      </x:c>
      <x:c r="H238" s="168" t="n">
        <x:v>-0.0148660464684979</x:v>
      </x:c>
      <x:c r="I238" s="168" t="n">
        <x:v>0.0205547684844247</x:v>
      </x:c>
      <x:c r="J238" s="169" t="n">
        <x:v>328</x:v>
      </x:c>
      <x:c r="K238" s="169" t="n">
        <x:v>68</x:v>
      </x:c>
      <x:c r="L238" s="169" t="n">
        <x:v>29</x:v>
      </x:c>
      <x:c r="M238" s="169" t="n">
        <x:v>175</x:v>
      </x:c>
      <x:c r="N238" s="169" t="n">
        <x:v>600</x:v>
      </x:c>
      <x:c r="O238" s="269" t="n">
        <x:v>0.08123249299719888</x:v>
      </x:c>
      <x:c r="P238" s="269" t="n">
        <x:v>0.27983539094650206</x:v>
      </x:c>
      <x:c r="Q238" s="269" t="n">
        <x:v>0.8711819389110226</x:v>
      </x:c>
      <x:c r="R238" s="219" t="n">
        <x:v>0.9301448974651589</x:v>
      </x:c>
    </x:row>
    <x:row r="239">
      <x:c r="A239" s="167" t="str">
        <x:v>Gaussian</x:v>
      </x:c>
      <x:c r="B239" s="167" t="str">
        <x:v>simulated</x:v>
      </x:c>
      <x:c r="C239" s="167" t="str">
        <x:v>linf</x:v>
      </x:c>
      <x:c r="D239" s="167" t="str">
        <x:v>m4</x:v>
      </x:c>
      <x:c r="E239" s="167" t="str">
        <x:v>S=4D</x:v>
      </x:c>
      <x:c r="F239" s="167" t="str">
        <x:v>signed_logml_error</x:v>
      </x:c>
      <x:c r="G239" s="167" t="str">
        <x:v>raw NPE-analytical central 90% interval [q5, q95]</x:v>
      </x:c>
      <x:c r="H239" s="168" t="n">
        <x:v>-0.0148660464684979</x:v>
      </x:c>
      <x:c r="I239" s="168" t="n">
        <x:v>0.0205547684844247</x:v>
      </x:c>
      <x:c r="J239" s="169" t="n">
        <x:v>286</x:v>
      </x:c>
      <x:c r="K239" s="169" t="n">
        <x:v>17</x:v>
      </x:c>
      <x:c r="L239" s="169" t="n">
        <x:v>85</x:v>
      </x:c>
      <x:c r="M239" s="169" t="n">
        <x:v>212</x:v>
      </x:c>
      <x:c r="N239" s="169" t="n">
        <x:v>600</x:v>
      </x:c>
      <x:c r="O239" s="269" t="n">
        <x:v>0.22911051212938005</x:v>
      </x:c>
      <x:c r="P239" s="219" t="n">
        <x:v>0.07423580786026202</x:v>
      </x:c>
      <x:c r="Q239" s="219" t="n">
        <x:v>0.8486646884272997</x:v>
      </x:c>
      <x:c r="R239" s="269" t="n">
        <x:v>0.9213149872291341</x:v>
      </x:c>
    </x:row>
    <x:row r="240">
      <x:c r="A240" s="167" t="str">
        <x:v>Gaussian</x:v>
      </x:c>
      <x:c r="B240" s="167" t="str">
        <x:v>simulated</x:v>
      </x:c>
      <x:c r="C240" s="167" t="str">
        <x:v>density</x:v>
      </x:c>
      <x:c r="D240" s="167" t="str">
        <x:v>m4</x:v>
      </x:c>
      <x:c r="E240" s="167" t="str">
        <x:v>S=4D</x:v>
      </x:c>
      <x:c r="F240" s="167" t="str">
        <x:v>signed_logml_error</x:v>
      </x:c>
      <x:c r="G240" s="167" t="str">
        <x:v>raw NPE-analytical central 90% interval [q5, q95]</x:v>
      </x:c>
      <x:c r="H240" s="168" t="n">
        <x:v>-0.0148660464684979</x:v>
      </x:c>
      <x:c r="I240" s="168" t="n">
        <x:v>0.0205547684844247</x:v>
      </x:c>
      <x:c r="J240" s="169" t="n">
        <x:v>330</x:v>
      </x:c>
      <x:c r="K240" s="169" t="n">
        <x:v>80</x:v>
      </x:c>
      <x:c r="L240" s="169" t="n">
        <x:v>27</x:v>
      </x:c>
      <x:c r="M240" s="169" t="n">
        <x:v>163</x:v>
      </x:c>
      <x:c r="N240" s="169" t="n">
        <x:v>600</x:v>
      </x:c>
      <x:c r="O240" s="219" t="n">
        <x:v>0.07563025210084033</x:v>
      </x:c>
      <x:c r="P240" s="269" t="n">
        <x:v>0.3292181069958848</x:v>
      </x:c>
      <x:c r="Q240" s="269" t="n">
        <x:v>0.8604954367666232</x:v>
      </x:c>
      <x:c r="R240" s="269" t="n">
        <x:v>0.9007388963815979</x:v>
      </x:c>
    </x:row>
    <x:row r="241">
      <x:c r="A241" s="167" t="str">
        <x:v>Gaussian</x:v>
      </x:c>
      <x:c r="B241" s="167" t="str">
        <x:v>simulated</x:v>
      </x:c>
      <x:c r="C241" s="167" t="str">
        <x:v>mmd</x:v>
      </x:c>
      <x:c r="D241" s="167" t="str">
        <x:v>m4</x:v>
      </x:c>
      <x:c r="E241" s="167" t="str">
        <x:v>S=4D</x:v>
      </x:c>
      <x:c r="F241" s="167" t="str">
        <x:v>signed_logml_error</x:v>
      </x:c>
      <x:c r="G241" s="167" t="str">
        <x:v>raw NPE-analytical central 90% interval [q5, q95]</x:v>
      </x:c>
      <x:c r="H241" s="168" t="n">
        <x:v>-0.0148660464684979</x:v>
      </x:c>
      <x:c r="I241" s="168" t="n">
        <x:v>0.0205547684844247</x:v>
      </x:c>
      <x:c r="J241" s="169" t="n">
        <x:v>220</x:v>
      </x:c>
      <x:c r="K241" s="169" t="n">
        <x:v>44</x:v>
      </x:c>
      <x:c r="L241" s="169" t="n">
        <x:v>137</x:v>
      </x:c>
      <x:c r="M241" s="169" t="n">
        <x:v>199</x:v>
      </x:c>
      <x:c r="N241" s="169" t="n">
        <x:v>600</x:v>
      </x:c>
      <x:c r="O241" s="269" t="n">
        <x:v>0.38375350140056025</x:v>
      </x:c>
      <x:c r="P241" s="269" t="n">
        <x:v>0.18106995884773663</x:v>
      </x:c>
      <x:c r="Q241" s="269" t="n">
        <x:v>0.7085346215780999</x:v>
      </x:c>
      <x:c r="R241" s="269" t="n">
        <x:v>0.77668268953672</x:v>
      </x:c>
    </x:row>
    <x:row r="242">
      <x:c r="A242" s="167" t="str">
        <x:v>Gaussian</x:v>
      </x:c>
      <x:c r="B242" s="167" t="str">
        <x:v>simulated</x:v>
      </x:c>
      <x:c r="C242" s="167" t="str">
        <x:v>l2</x:v>
      </x:c>
      <x:c r="D242" s="167" t="str">
        <x:v>m1</x:v>
      </x:c>
      <x:c r="E242" s="167" t="str">
        <x:v>S=D</x:v>
      </x:c>
      <x:c r="F242" s="167" t="str">
        <x:v>pmp_error</x:v>
      </x:c>
      <x:c r="G242" s="167" t="str">
        <x:v>raw NPE-analytical central 90% interval [q5, q95]</x:v>
      </x:c>
      <x:c r="H242" s="168" t="n">
        <x:v>-0.004569932563871</x:v>
      </x:c>
      <x:c r="I242" s="168" t="n">
        <x:v>0.004569932563871</x:v>
      </x:c>
      <x:c r="J242" s="169" t="n">
        <x:v>75</x:v>
      </x:c>
      <x:c r="K242" s="169" t="n">
        <x:v>136</x:v>
      </x:c>
      <x:c r="L242" s="169" t="n">
        <x:v>105</x:v>
      </x:c>
      <x:c r="M242" s="169" t="n">
        <x:v>284</x:v>
      </x:c>
      <x:c r="N242" s="169" t="n">
        <x:v>600</x:v>
      </x:c>
      <x:c r="O242" s="219" t="n">
        <x:v>0.5833333333333334</x:v>
      </x:c>
      <x:c r="P242" s="269" t="n">
        <x:v>0.3238095238095238</x:v>
      </x:c>
      <x:c r="Q242" s="219" t="n">
        <x:v>0.3836317135549872</x:v>
      </x:c>
      <x:c r="R242" s="269" t="n">
        <x:v>0.5100661375661376</x:v>
      </x:c>
    </x:row>
    <x:row r="243">
      <x:c r="A243" s="167" t="str">
        <x:v>Gaussian</x:v>
      </x:c>
      <x:c r="B243" s="167" t="str">
        <x:v>simulated</x:v>
      </x:c>
      <x:c r="C243" s="167" t="str">
        <x:v>linf</x:v>
      </x:c>
      <x:c r="D243" s="167" t="str">
        <x:v>m1</x:v>
      </x:c>
      <x:c r="E243" s="167" t="str">
        <x:v>S=D</x:v>
      </x:c>
      <x:c r="F243" s="167" t="str">
        <x:v>pmp_error</x:v>
      </x:c>
      <x:c r="G243" s="167" t="str">
        <x:v>raw NPE-analytical central 90% interval [q5, q95]</x:v>
      </x:c>
      <x:c r="H243" s="168" t="n">
        <x:v>-0.004569932563871</x:v>
      </x:c>
      <x:c r="I243" s="168" t="n">
        <x:v>0.004569932563871</x:v>
      </x:c>
      <x:c r="J243" s="169" t="n">
        <x:v>75</x:v>
      </x:c>
      <x:c r="K243" s="169" t="n">
        <x:v>132</x:v>
      </x:c>
      <x:c r="L243" s="169" t="n">
        <x:v>123</x:v>
      </x:c>
      <x:c r="M243" s="169" t="n">
        <x:v>270</x:v>
      </x:c>
      <x:c r="N243" s="169" t="n">
        <x:v>600</x:v>
      </x:c>
      <x:c r="O243" s="269" t="n">
        <x:v>0.6212121212121212</x:v>
      </x:c>
      <x:c r="P243" s="269" t="n">
        <x:v>0.3283582089552239</x:v>
      </x:c>
      <x:c r="Q243" s="269" t="n">
        <x:v>0.37037037037037035</x:v>
      </x:c>
      <x:c r="R243" s="269" t="n">
        <x:v>0.5377280265339967</x:v>
      </x:c>
    </x:row>
    <x:row r="244">
      <x:c r="A244" s="167" t="str">
        <x:v>Gaussian</x:v>
      </x:c>
      <x:c r="B244" s="167" t="str">
        <x:v>simulated</x:v>
      </x:c>
      <x:c r="C244" s="167" t="str">
        <x:v>density</x:v>
      </x:c>
      <x:c r="D244" s="167" t="str">
        <x:v>m1</x:v>
      </x:c>
      <x:c r="E244" s="167" t="str">
        <x:v>S=D</x:v>
      </x:c>
      <x:c r="F244" s="167" t="str">
        <x:v>pmp_error</x:v>
      </x:c>
      <x:c r="G244" s="167" t="str">
        <x:v>raw NPE-analytical central 90% interval [q5, q95]</x:v>
      </x:c>
      <x:c r="H244" s="168" t="n">
        <x:v>-0.004569932563871</x:v>
      </x:c>
      <x:c r="I244" s="168" t="n">
        <x:v>0.004569932563871</x:v>
      </x:c>
      <x:c r="J244" s="169" t="n">
        <x:v>56</x:v>
      </x:c>
      <x:c r="K244" s="169" t="n">
        <x:v>125</x:v>
      </x:c>
      <x:c r="L244" s="169" t="n">
        <x:v>124</x:v>
      </x:c>
      <x:c r="M244" s="169" t="n">
        <x:v>295</x:v>
      </x:c>
      <x:c r="N244" s="169" t="n">
        <x:v>600</x:v>
      </x:c>
      <x:c r="O244" s="269" t="n">
        <x:v>0.6888888888888889</x:v>
      </x:c>
      <x:c r="P244" s="219" t="n">
        <x:v>0.2976190476190476</x:v>
      </x:c>
      <x:c r="Q244" s="269" t="n">
        <x:v>0.31024930747922436</x:v>
      </x:c>
      <x:c r="R244" s="219" t="n">
        <x:v>0.5311375661375661</x:v>
      </x:c>
    </x:row>
    <x:row r="245">
      <x:c r="A245" s="167" t="str">
        <x:v>Gaussian</x:v>
      </x:c>
      <x:c r="B245" s="167" t="str">
        <x:v>simulated</x:v>
      </x:c>
      <x:c r="C245" s="167" t="str">
        <x:v>mmd</x:v>
      </x:c>
      <x:c r="D245" s="167" t="str">
        <x:v>m1</x:v>
      </x:c>
      <x:c r="E245" s="167" t="str">
        <x:v>S=D</x:v>
      </x:c>
      <x:c r="F245" s="167" t="str">
        <x:v>pmp_error</x:v>
      </x:c>
      <x:c r="G245" s="167" t="str">
        <x:v>raw NPE-analytical central 90% interval [q5, q95]</x:v>
      </x:c>
      <x:c r="H245" s="168" t="n">
        <x:v>-0.004569932563871</x:v>
      </x:c>
      <x:c r="I245" s="168" t="n">
        <x:v>0.004569932563871</x:v>
      </x:c>
      <x:c r="J245" s="169" t="n">
        <x:v>75</x:v>
      </x:c>
      <x:c r="K245" s="169" t="n">
        <x:v>138</x:v>
      </x:c>
      <x:c r="L245" s="169" t="n">
        <x:v>105</x:v>
      </x:c>
      <x:c r="M245" s="169" t="n">
        <x:v>282</x:v>
      </x:c>
      <x:c r="N245" s="169" t="n">
        <x:v>600</x:v>
      </x:c>
      <x:c r="O245" s="219" t="n">
        <x:v>0.5833333333333334</x:v>
      </x:c>
      <x:c r="P245" s="269" t="n">
        <x:v>0.32857142857142857</x:v>
      </x:c>
      <x:c r="Q245" s="269" t="n">
        <x:v>0.3816793893129771</x:v>
      </x:c>
      <x:c r="R245" s="269" t="n">
        <x:v>0.5149206349206349</x:v>
      </x:c>
    </x:row>
    <x:row r="246">
      <x:c r="A246" s="167" t="str">
        <x:v>Gaussian</x:v>
      </x:c>
      <x:c r="B246" s="167" t="str">
        <x:v>simulated</x:v>
      </x:c>
      <x:c r="C246" s="167" t="str">
        <x:v>l2</x:v>
      </x:c>
      <x:c r="D246" s="167" t="str">
        <x:v>m1</x:v>
      </x:c>
      <x:c r="E246" s="167" t="str">
        <x:v>S=2D</x:v>
      </x:c>
      <x:c r="F246" s="167" t="str">
        <x:v>pmp_error</x:v>
      </x:c>
      <x:c r="G246" s="167" t="str">
        <x:v>raw NPE-analytical central 90% interval [q5, q95]</x:v>
      </x:c>
      <x:c r="H246" s="168" t="n">
        <x:v>-0.0054570647335636</x:v>
      </x:c>
      <x:c r="I246" s="168" t="n">
        <x:v>0.0054570647335636</x:v>
      </x:c>
      <x:c r="J246" s="169" t="n">
        <x:v>84</x:v>
      </x:c>
      <x:c r="K246" s="169" t="n">
        <x:v>266</x:v>
      </x:c>
      <x:c r="L246" s="169" t="n">
        <x:v>45</x:v>
      </x:c>
      <x:c r="M246" s="169" t="n">
        <x:v>205</x:v>
      </x:c>
      <x:c r="N246" s="169" t="n">
        <x:v>600</x:v>
      </x:c>
      <x:c r="O246" s="269" t="n">
        <x:v>0.3488372093023256</x:v>
      </x:c>
      <x:c r="P246" s="269" t="n">
        <x:v>0.564755838641189</x:v>
      </x:c>
      <x:c r="Q246" s="269" t="n">
        <x:v>0.35073068893528186</x:v>
      </x:c>
      <x:c r="R246" s="269" t="n">
        <x:v>0.49883967807238433</x:v>
      </x:c>
    </x:row>
    <x:row r="247">
      <x:c r="A247" s="167" t="str">
        <x:v>Gaussian</x:v>
      </x:c>
      <x:c r="B247" s="167" t="str">
        <x:v>simulated</x:v>
      </x:c>
      <x:c r="C247" s="167" t="str">
        <x:v>linf</x:v>
      </x:c>
      <x:c r="D247" s="167" t="str">
        <x:v>m1</x:v>
      </x:c>
      <x:c r="E247" s="167" t="str">
        <x:v>S=2D</x:v>
      </x:c>
      <x:c r="F247" s="167" t="str">
        <x:v>pmp_error</x:v>
      </x:c>
      <x:c r="G247" s="167" t="str">
        <x:v>raw NPE-analytical central 90% interval [q5, q95]</x:v>
      </x:c>
      <x:c r="H247" s="168" t="n">
        <x:v>-0.0054570647335636</x:v>
      </x:c>
      <x:c r="I247" s="168" t="n">
        <x:v>0.0054570647335636</x:v>
      </x:c>
      <x:c r="J247" s="169" t="n">
        <x:v>57</x:v>
      </x:c>
      <x:c r="K247" s="169" t="n">
        <x:v>221</x:v>
      </x:c>
      <x:c r="L247" s="169" t="n">
        <x:v>77</x:v>
      </x:c>
      <x:c r="M247" s="169" t="n">
        <x:v>245</x:v>
      </x:c>
      <x:c r="N247" s="169" t="n">
        <x:v>600</x:v>
      </x:c>
      <x:c r="O247" s="269" t="n">
        <x:v>0.5746268656716418</x:v>
      </x:c>
      <x:c r="P247" s="269" t="n">
        <x:v>0.4742489270386266</x:v>
      </x:c>
      <x:c r="Q247" s="269" t="n">
        <x:v>0.2766990291262136</x:v>
      </x:c>
      <x:c r="R247" s="269" t="n">
        <x:v>0.4774517968099417</x:v>
      </x:c>
    </x:row>
    <x:row r="248">
      <x:c r="A248" s="167" t="str">
        <x:v>Gaussian</x:v>
      </x:c>
      <x:c r="B248" s="167" t="str">
        <x:v>simulated</x:v>
      </x:c>
      <x:c r="C248" s="167" t="str">
        <x:v>density</x:v>
      </x:c>
      <x:c r="D248" s="167" t="str">
        <x:v>m1</x:v>
      </x:c>
      <x:c r="E248" s="167" t="str">
        <x:v>S=2D</x:v>
      </x:c>
      <x:c r="F248" s="167" t="str">
        <x:v>pmp_error</x:v>
      </x:c>
      <x:c r="G248" s="167" t="str">
        <x:v>raw NPE-analytical central 90% interval [q5, q95]</x:v>
      </x:c>
      <x:c r="H248" s="168" t="n">
        <x:v>-0.0054570647335636</x:v>
      </x:c>
      <x:c r="I248" s="168" t="n">
        <x:v>0.0054570647335636</x:v>
      </x:c>
      <x:c r="J248" s="169" t="n">
        <x:v>94</x:v>
      </x:c>
      <x:c r="K248" s="169" t="n">
        <x:v>309</x:v>
      </x:c>
      <x:c r="L248" s="169" t="n">
        <x:v>35</x:v>
      </x:c>
      <x:c r="M248" s="169" t="n">
        <x:v>162</x:v>
      </x:c>
      <x:c r="N248" s="169" t="n">
        <x:v>600</x:v>
      </x:c>
      <x:c r="O248" s="219" t="n">
        <x:v>0.2713178294573643</x:v>
      </x:c>
      <x:c r="P248" s="269" t="n">
        <x:v>0.6560509554140127</x:v>
      </x:c>
      <x:c r="Q248" s="269" t="n">
        <x:v>0.3533834586466165</x:v>
      </x:c>
      <x:c r="R248" s="269" t="n">
        <x:v>0.437852828387564</x:v>
      </x:c>
    </x:row>
    <x:row r="249">
      <x:c r="A249" s="167" t="str">
        <x:v>Gaussian</x:v>
      </x:c>
      <x:c r="B249" s="167" t="str">
        <x:v>simulated</x:v>
      </x:c>
      <x:c r="C249" s="167" t="str">
        <x:v>mmd</x:v>
      </x:c>
      <x:c r="D249" s="167" t="str">
        <x:v>m1</x:v>
      </x:c>
      <x:c r="E249" s="167" t="str">
        <x:v>S=2D</x:v>
      </x:c>
      <x:c r="F249" s="167" t="str">
        <x:v>pmp_error</x:v>
      </x:c>
      <x:c r="G249" s="167" t="str">
        <x:v>raw NPE-analytical central 90% interval [q5, q95]</x:v>
      </x:c>
      <x:c r="H249" s="168" t="n">
        <x:v>-0.0054570647335636</x:v>
      </x:c>
      <x:c r="I249" s="168" t="n">
        <x:v>0.0054570647335636</x:v>
      </x:c>
      <x:c r="J249" s="169" t="n">
        <x:v>80</x:v>
      </x:c>
      <x:c r="K249" s="169" t="n">
        <x:v>158</x:v>
      </x:c>
      <x:c r="L249" s="169" t="n">
        <x:v>49</x:v>
      </x:c>
      <x:c r="M249" s="169" t="n">
        <x:v>313</x:v>
      </x:c>
      <x:c r="N249" s="169" t="n">
        <x:v>600</x:v>
      </x:c>
      <x:c r="O249" s="269" t="n">
        <x:v>0.3798449612403101</x:v>
      </x:c>
      <x:c r="P249" s="219" t="n">
        <x:v>0.3354564755838641</x:v>
      </x:c>
      <x:c r="Q249" s="219" t="n">
        <x:v>0.4359673024523161</x:v>
      </x:c>
      <x:c r="R249" s="219" t="n">
        <x:v>0.65445448410935</x:v>
      </x:c>
    </x:row>
    <x:row r="250">
      <x:c r="A250" s="167" t="str">
        <x:v>Gaussian</x:v>
      </x:c>
      <x:c r="B250" s="167" t="str">
        <x:v>simulated</x:v>
      </x:c>
      <x:c r="C250" s="167" t="str">
        <x:v>l2</x:v>
      </x:c>
      <x:c r="D250" s="167" t="str">
        <x:v>m1</x:v>
      </x:c>
      <x:c r="E250" s="167" t="str">
        <x:v>S=4D</x:v>
      </x:c>
      <x:c r="F250" s="167" t="str">
        <x:v>pmp_error</x:v>
      </x:c>
      <x:c r="G250" s="167" t="str">
        <x:v>raw NPE-analytical central 90% interval [q5, q95]</x:v>
      </x:c>
      <x:c r="H250" s="168" t="n">
        <x:v>-0.0059633992708206</x:v>
      </x:c>
      <x:c r="I250" s="168" t="n">
        <x:v>0.0059633992708205</x:v>
      </x:c>
      <x:c r="J250" s="169" t="n">
        <x:v>105</x:v>
      </x:c>
      <x:c r="K250" s="169" t="n">
        <x:v>293</x:v>
      </x:c>
      <x:c r="L250" s="169" t="n">
        <x:v>28</x:v>
      </x:c>
      <x:c r="M250" s="169" t="n">
        <x:v>174</x:v>
      </x:c>
      <x:c r="N250" s="169" t="n">
        <x:v>600</x:v>
      </x:c>
      <x:c r="O250" s="269" t="n">
        <x:v>0.21052631578947367</x:v>
      </x:c>
      <x:c r="P250" s="269" t="n">
        <x:v>0.6274089935760171</x:v>
      </x:c>
      <x:c r="Q250" s="269" t="n">
        <x:v>0.3954802259887006</x:v>
      </x:c>
      <x:c r="R250" s="269" t="n">
        <x:v>0.486773679380464</x:v>
      </x:c>
    </x:row>
    <x:row r="251">
      <x:c r="A251" s="167" t="str">
        <x:v>Gaussian</x:v>
      </x:c>
      <x:c r="B251" s="167" t="str">
        <x:v>simulated</x:v>
      </x:c>
      <x:c r="C251" s="167" t="str">
        <x:v>linf</x:v>
      </x:c>
      <x:c r="D251" s="167" t="str">
        <x:v>m1</x:v>
      </x:c>
      <x:c r="E251" s="167" t="str">
        <x:v>S=4D</x:v>
      </x:c>
      <x:c r="F251" s="167" t="str">
        <x:v>pmp_error</x:v>
      </x:c>
      <x:c r="G251" s="167" t="str">
        <x:v>raw NPE-analytical central 90% interval [q5, q95]</x:v>
      </x:c>
      <x:c r="H251" s="168" t="n">
        <x:v>-0.0059633992708206</x:v>
      </x:c>
      <x:c r="I251" s="168" t="n">
        <x:v>0.0059633992708205</x:v>
      </x:c>
      <x:c r="J251" s="169" t="n">
        <x:v>84</x:v>
      </x:c>
      <x:c r="K251" s="169" t="n">
        <x:v>250</x:v>
      </x:c>
      <x:c r="L251" s="169" t="n">
        <x:v>53</x:v>
      </x:c>
      <x:c r="M251" s="169" t="n">
        <x:v>213</x:v>
      </x:c>
      <x:c r="N251" s="169" t="n">
        <x:v>600</x:v>
      </x:c>
      <x:c r="O251" s="269" t="n">
        <x:v>0.38686131386861317</x:v>
      </x:c>
      <x:c r="P251" s="269" t="n">
        <x:v>0.5399568034557235</x:v>
      </x:c>
      <x:c r="Q251" s="269" t="n">
        <x:v>0.35668789808917195</x:v>
      </x:c>
      <x:c r="R251" s="269" t="n">
        <x:v>0.49210953634658133</x:v>
      </x:c>
    </x:row>
    <x:row r="252">
      <x:c r="A252" s="167" t="str">
        <x:v>Gaussian</x:v>
      </x:c>
      <x:c r="B252" s="167" t="str">
        <x:v>simulated</x:v>
      </x:c>
      <x:c r="C252" s="167" t="str">
        <x:v>density</x:v>
      </x:c>
      <x:c r="D252" s="167" t="str">
        <x:v>m1</x:v>
      </x:c>
      <x:c r="E252" s="167" t="str">
        <x:v>S=4D</x:v>
      </x:c>
      <x:c r="F252" s="167" t="str">
        <x:v>pmp_error</x:v>
      </x:c>
      <x:c r="G252" s="167" t="str">
        <x:v>raw NPE-analytical central 90% interval [q5, q95]</x:v>
      </x:c>
      <x:c r="H252" s="168" t="n">
        <x:v>-0.0059633992708206</x:v>
      </x:c>
      <x:c r="I252" s="168" t="n">
        <x:v>0.0059633992708205</x:v>
      </x:c>
      <x:c r="J252" s="169" t="n">
        <x:v>112</x:v>
      </x:c>
      <x:c r="K252" s="169" t="n">
        <x:v>321</x:v>
      </x:c>
      <x:c r="L252" s="169" t="n">
        <x:v>21</x:v>
      </x:c>
      <x:c r="M252" s="169" t="n">
        <x:v>146</x:v>
      </x:c>
      <x:c r="N252" s="169" t="n">
        <x:v>600</x:v>
      </x:c>
      <x:c r="O252" s="219" t="n">
        <x:v>0.15789473684210525</x:v>
      </x:c>
      <x:c r="P252" s="269" t="n">
        <x:v>0.6873661670235546</x:v>
      </x:c>
      <x:c r="Q252" s="269" t="n">
        <x:v>0.3957597173144876</x:v>
      </x:c>
      <x:c r="R252" s="269" t="n">
        <x:v>0.4622691632722062</x:v>
      </x:c>
    </x:row>
    <x:row r="253">
      <x:c r="A253" s="167" t="str">
        <x:v>Gaussian</x:v>
      </x:c>
      <x:c r="B253" s="167" t="str">
        <x:v>simulated</x:v>
      </x:c>
      <x:c r="C253" s="167" t="str">
        <x:v>mmd</x:v>
      </x:c>
      <x:c r="D253" s="167" t="str">
        <x:v>m1</x:v>
      </x:c>
      <x:c r="E253" s="167" t="str">
        <x:v>S=4D</x:v>
      </x:c>
      <x:c r="F253" s="167" t="str">
        <x:v>pmp_error</x:v>
      </x:c>
      <x:c r="G253" s="167" t="str">
        <x:v>raw NPE-analytical central 90% interval [q5, q95]</x:v>
      </x:c>
      <x:c r="H253" s="168" t="n">
        <x:v>-0.0059633992708206</x:v>
      </x:c>
      <x:c r="I253" s="168" t="n">
        <x:v>0.0059633992708205</x:v>
      </x:c>
      <x:c r="J253" s="169" t="n">
        <x:v>92</x:v>
      </x:c>
      <x:c r="K253" s="169" t="n">
        <x:v>203</x:v>
      </x:c>
      <x:c r="L253" s="169" t="n">
        <x:v>41</x:v>
      </x:c>
      <x:c r="M253" s="169" t="n">
        <x:v>264</x:v>
      </x:c>
      <x:c r="N253" s="169" t="n">
        <x:v>600</x:v>
      </x:c>
      <x:c r="O253" s="269" t="n">
        <x:v>0.3082706766917293</x:v>
      </x:c>
      <x:c r="P253" s="219" t="n">
        <x:v>0.4346895074946467</x:v>
      </x:c>
      <x:c r="Q253" s="219" t="n">
        <x:v>0.42990654205607476</x:v>
      </x:c>
      <x:c r="R253" s="219" t="n">
        <x:v>0.6002962438215453</x:v>
      </x:c>
    </x:row>
    <x:row r="254">
      <x:c r="A254" s="167" t="str">
        <x:v>Gaussian</x:v>
      </x:c>
      <x:c r="B254" s="167" t="str">
        <x:v>simulated</x:v>
      </x:c>
      <x:c r="C254" s="167" t="str">
        <x:v>l2</x:v>
      </x:c>
      <x:c r="D254" s="167" t="str">
        <x:v>m2</x:v>
      </x:c>
      <x:c r="E254" s="167" t="str">
        <x:v>S=D</x:v>
      </x:c>
      <x:c r="F254" s="167" t="str">
        <x:v>pmp_error</x:v>
      </x:c>
      <x:c r="G254" s="167" t="str">
        <x:v>raw NPE-analytical central 90% interval [q5, q95]</x:v>
      </x:c>
      <x:c r="H254" s="168" t="n">
        <x:v>-2.9138837748732326e-28</x:v>
      </x:c>
      <x:c r="I254" s="168" t="n">
        <x:v>8.141664440837222e-73</x:v>
      </x:c>
      <x:c r="J254" s="169" t="n">
        <x:v>77</x:v>
      </x:c>
      <x:c r="K254" s="169" t="n">
        <x:v>423</x:v>
      </x:c>
      <x:c r="L254" s="169" t="n">
        <x:v>1</x:v>
      </x:c>
      <x:c r="M254" s="169" t="n">
        <x:v>99</x:v>
      </x:c>
      <x:c r="N254" s="169" t="n">
        <x:v>600</x:v>
      </x:c>
      <x:c r="O254" s="219" t="n">
        <x:v>0.01282051282051282</x:v>
      </x:c>
      <x:c r="P254" s="269" t="n">
        <x:v>0.8103448275862069</x:v>
      </x:c>
      <x:c r="Q254" s="269" t="n">
        <x:v>0.2664359861591695</x:v>
      </x:c>
      <x:c r="R254" s="269" t="n">
        <x:v>0.4106739365360055</x:v>
      </x:c>
    </x:row>
    <x:row r="255">
      <x:c r="A255" s="167" t="str">
        <x:v>Gaussian</x:v>
      </x:c>
      <x:c r="B255" s="167" t="str">
        <x:v>simulated</x:v>
      </x:c>
      <x:c r="C255" s="167" t="str">
        <x:v>linf</x:v>
      </x:c>
      <x:c r="D255" s="167" t="str">
        <x:v>m2</x:v>
      </x:c>
      <x:c r="E255" s="167" t="str">
        <x:v>S=D</x:v>
      </x:c>
      <x:c r="F255" s="167" t="str">
        <x:v>pmp_error</x:v>
      </x:c>
      <x:c r="G255" s="167" t="str">
        <x:v>raw NPE-analytical central 90% interval [q5, q95]</x:v>
      </x:c>
      <x:c r="H255" s="168" t="n">
        <x:v>-2.9138837748732326e-28</x:v>
      </x:c>
      <x:c r="I255" s="168" t="n">
        <x:v>8.141664440837222e-73</x:v>
      </x:c>
      <x:c r="J255" s="169" t="n">
        <x:v>74</x:v>
      </x:c>
      <x:c r="K255" s="169" t="n">
        <x:v>392</x:v>
      </x:c>
      <x:c r="L255" s="169" t="n">
        <x:v>4</x:v>
      </x:c>
      <x:c r="M255" s="169" t="n">
        <x:v>130</x:v>
      </x:c>
      <x:c r="N255" s="169" t="n">
        <x:v>600</x:v>
      </x:c>
      <x:c r="O255" s="269" t="n">
        <x:v>0.05128205128205128</x:v>
      </x:c>
      <x:c r="P255" s="269" t="n">
        <x:v>0.7509578544061303</x:v>
      </x:c>
      <x:c r="Q255" s="219" t="n">
        <x:v>0.27205882352941174</x:v>
      </x:c>
      <x:c r="R255" s="269" t="n">
        <x:v>0.5494400235779546</x:v>
      </x:c>
    </x:row>
    <x:row r="256">
      <x:c r="A256" s="167" t="str">
        <x:v>Gaussian</x:v>
      </x:c>
      <x:c r="B256" s="167" t="str">
        <x:v>simulated</x:v>
      </x:c>
      <x:c r="C256" s="167" t="str">
        <x:v>density</x:v>
      </x:c>
      <x:c r="D256" s="167" t="str">
        <x:v>m2</x:v>
      </x:c>
      <x:c r="E256" s="167" t="str">
        <x:v>S=D</x:v>
      </x:c>
      <x:c r="F256" s="167" t="str">
        <x:v>pmp_error</x:v>
      </x:c>
      <x:c r="G256" s="167" t="str">
        <x:v>raw NPE-analytical central 90% interval [q5, q95]</x:v>
      </x:c>
      <x:c r="H256" s="168" t="n">
        <x:v>-2.9138837748732326e-28</x:v>
      </x:c>
      <x:c r="I256" s="168" t="n">
        <x:v>8.141664440837222e-73</x:v>
      </x:c>
      <x:c r="J256" s="169" t="n">
        <x:v>67</x:v>
      </x:c>
      <x:c r="K256" s="169" t="n">
        <x:v>385</x:v>
      </x:c>
      <x:c r="L256" s="169" t="n">
        <x:v>11</x:v>
      </x:c>
      <x:c r="M256" s="169" t="n">
        <x:v>137</x:v>
      </x:c>
      <x:c r="N256" s="169" t="n">
        <x:v>600</x:v>
      </x:c>
      <x:c r="O256" s="269" t="n">
        <x:v>0.14102564102564102</x:v>
      </x:c>
      <x:c r="P256" s="219" t="n">
        <x:v>0.7375478927203065</x:v>
      </x:c>
      <x:c r="Q256" s="269" t="n">
        <x:v>0.2528301886792453</x:v>
      </x:c>
      <x:c r="R256" s="219" t="n">
        <x:v>0.5836526181353767</x:v>
      </x:c>
    </x:row>
    <x:row r="257">
      <x:c r="A257" s="167" t="str">
        <x:v>Gaussian</x:v>
      </x:c>
      <x:c r="B257" s="167" t="str">
        <x:v>simulated</x:v>
      </x:c>
      <x:c r="C257" s="167" t="str">
        <x:v>mmd</x:v>
      </x:c>
      <x:c r="D257" s="167" t="str">
        <x:v>m2</x:v>
      </x:c>
      <x:c r="E257" s="167" t="str">
        <x:v>S=D</x:v>
      </x:c>
      <x:c r="F257" s="167" t="str">
        <x:v>pmp_error</x:v>
      </x:c>
      <x:c r="G257" s="167" t="str">
        <x:v>raw NPE-analytical central 90% interval [q5, q95]</x:v>
      </x:c>
      <x:c r="H257" s="168" t="n">
        <x:v>-2.9138837748732326e-28</x:v>
      </x:c>
      <x:c r="I257" s="168" t="n">
        <x:v>8.141664440837222e-73</x:v>
      </x:c>
      <x:c r="J257" s="169" t="n">
        <x:v>77</x:v>
      </x:c>
      <x:c r="K257" s="169" t="n">
        <x:v>425</x:v>
      </x:c>
      <x:c r="L257" s="169" t="n">
        <x:v>1</x:v>
      </x:c>
      <x:c r="M257" s="169" t="n">
        <x:v>97</x:v>
      </x:c>
      <x:c r="N257" s="169" t="n">
        <x:v>600</x:v>
      </x:c>
      <x:c r="O257" s="219" t="n">
        <x:v>0.01282051282051282</x:v>
      </x:c>
      <x:c r="P257" s="269" t="n">
        <x:v>0.814176245210728</x:v>
      </x:c>
      <x:c r="Q257" s="269" t="n">
        <x:v>0.2655172413793103</x:v>
      </x:c>
      <x:c r="R257" s="269" t="n">
        <x:v>0.4082424599665979</x:v>
      </x:c>
    </x:row>
    <x:row r="258">
      <x:c r="A258" s="167" t="str">
        <x:v>Gaussian</x:v>
      </x:c>
      <x:c r="B258" s="167" t="str">
        <x:v>simulated</x:v>
      </x:c>
      <x:c r="C258" s="167" t="str">
        <x:v>l2</x:v>
      </x:c>
      <x:c r="D258" s="167" t="str">
        <x:v>m2</x:v>
      </x:c>
      <x:c r="E258" s="167" t="str">
        <x:v>S=2D</x:v>
      </x:c>
      <x:c r="F258" s="167" t="str">
        <x:v>pmp_error</x:v>
      </x:c>
      <x:c r="G258" s="167" t="str">
        <x:v>raw NPE-analytical central 90% interval [q5, q95]</x:v>
      </x:c>
      <x:c r="H258" s="168" t="n">
        <x:v>-2.8595972388414844e-28</x:v>
      </x:c>
      <x:c r="I258" s="168" t="n">
        <x:v>1.9855339020051438e-72</x:v>
      </x:c>
      <x:c r="J258" s="169" t="n">
        <x:v>88</x:v>
      </x:c>
      <x:c r="K258" s="169" t="n">
        <x:v>465</x:v>
      </x:c>
      <x:c r="L258" s="169" t="n">
        <x:v>0</x:v>
      </x:c>
      <x:c r="M258" s="169" t="n">
        <x:v>47</x:v>
      </x:c>
      <x:c r="N258" s="169" t="n">
        <x:v>600</x:v>
      </x:c>
      <x:c r="O258" s="219" t="n">
        <x:v>0</x:v>
      </x:c>
      <x:c r="P258" s="269" t="n">
        <x:v>0.908203125</x:v>
      </x:c>
      <x:c r="Q258" s="269" t="n">
        <x:v>0.2745709828393136</x:v>
      </x:c>
      <x:c r="R258" s="269" t="n">
        <x:v>0.27940784801136365</x:v>
      </x:c>
    </x:row>
    <x:row r="259">
      <x:c r="A259" s="167" t="str">
        <x:v>Gaussian</x:v>
      </x:c>
      <x:c r="B259" s="167" t="str">
        <x:v>simulated</x:v>
      </x:c>
      <x:c r="C259" s="167" t="str">
        <x:v>linf</x:v>
      </x:c>
      <x:c r="D259" s="167" t="str">
        <x:v>m2</x:v>
      </x:c>
      <x:c r="E259" s="167" t="str">
        <x:v>S=2D</x:v>
      </x:c>
      <x:c r="F259" s="167" t="str">
        <x:v>pmp_error</x:v>
      </x:c>
      <x:c r="G259" s="167" t="str">
        <x:v>raw NPE-analytical central 90% interval [q5, q95]</x:v>
      </x:c>
      <x:c r="H259" s="168" t="n">
        <x:v>-2.8595972388414844e-28</x:v>
      </x:c>
      <x:c r="I259" s="168" t="n">
        <x:v>1.9855339020051438e-72</x:v>
      </x:c>
      <x:c r="J259" s="169" t="n">
        <x:v>80</x:v>
      </x:c>
      <x:c r="K259" s="169" t="n">
        <x:v>454</x:v>
      </x:c>
      <x:c r="L259" s="169" t="n">
        <x:v>9</x:v>
      </x:c>
      <x:c r="M259" s="169" t="n">
        <x:v>57</x:v>
      </x:c>
      <x:c r="N259" s="169" t="n">
        <x:v>600</x:v>
      </x:c>
      <x:c r="O259" s="269" t="n">
        <x:v>0.10112359550561797</x:v>
      </x:c>
      <x:c r="P259" s="269" t="n">
        <x:v>0.8884540117416829</x:v>
      </x:c>
      <x:c r="Q259" s="269" t="n">
        <x:v>0.2568218298555377</x:v>
      </x:c>
      <x:c r="R259" s="269" t="n">
        <x:v>0.28778117372853407</x:v>
      </x:c>
    </x:row>
    <x:row r="260">
      <x:c r="A260" s="167" t="str">
        <x:v>Gaussian</x:v>
      </x:c>
      <x:c r="B260" s="167" t="str">
        <x:v>simulated</x:v>
      </x:c>
      <x:c r="C260" s="167" t="str">
        <x:v>density</x:v>
      </x:c>
      <x:c r="D260" s="167" t="str">
        <x:v>m2</x:v>
      </x:c>
      <x:c r="E260" s="167" t="str">
        <x:v>S=2D</x:v>
      </x:c>
      <x:c r="F260" s="167" t="str">
        <x:v>pmp_error</x:v>
      </x:c>
      <x:c r="G260" s="167" t="str">
        <x:v>raw NPE-analytical central 90% interval [q5, q95]</x:v>
      </x:c>
      <x:c r="H260" s="168" t="n">
        <x:v>-2.8595972388414844e-28</x:v>
      </x:c>
      <x:c r="I260" s="168" t="n">
        <x:v>1.9855339020051438e-72</x:v>
      </x:c>
      <x:c r="J260" s="169" t="n">
        <x:v>86</x:v>
      </x:c>
      <x:c r="K260" s="169" t="n">
        <x:v>465</x:v>
      </x:c>
      <x:c r="L260" s="169" t="n">
        <x:v>2</x:v>
      </x:c>
      <x:c r="M260" s="169" t="n">
        <x:v>47</x:v>
      </x:c>
      <x:c r="N260" s="169" t="n">
        <x:v>600</x:v>
      </x:c>
      <x:c r="O260" s="269" t="n">
        <x:v>0.022727272727272728</x:v>
      </x:c>
      <x:c r="P260" s="269" t="n">
        <x:v>0.908203125</x:v>
      </x:c>
      <x:c r="Q260" s="269" t="n">
        <x:v>0.26917057902973396</x:v>
      </x:c>
      <x:c r="R260" s="269" t="n">
        <x:v>0.2922141335227273</x:v>
      </x:c>
    </x:row>
    <x:row r="261">
      <x:c r="A261" s="167" t="str">
        <x:v>Gaussian</x:v>
      </x:c>
      <x:c r="B261" s="167" t="str">
        <x:v>simulated</x:v>
      </x:c>
      <x:c r="C261" s="167" t="str">
        <x:v>mmd</x:v>
      </x:c>
      <x:c r="D261" s="167" t="str">
        <x:v>m2</x:v>
      </x:c>
      <x:c r="E261" s="167" t="str">
        <x:v>S=2D</x:v>
      </x:c>
      <x:c r="F261" s="167" t="str">
        <x:v>pmp_error</x:v>
      </x:c>
      <x:c r="G261" s="167" t="str">
        <x:v>raw NPE-analytical central 90% interval [q5, q95]</x:v>
      </x:c>
      <x:c r="H261" s="168" t="n">
        <x:v>-2.8595972388414844e-28</x:v>
      </x:c>
      <x:c r="I261" s="168" t="n">
        <x:v>1.9855339020051438e-72</x:v>
      </x:c>
      <x:c r="J261" s="169" t="n">
        <x:v>88</x:v>
      </x:c>
      <x:c r="K261" s="169" t="n">
        <x:v>445</x:v>
      </x:c>
      <x:c r="L261" s="169" t="n">
        <x:v>0</x:v>
      </x:c>
      <x:c r="M261" s="169" t="n">
        <x:v>67</x:v>
      </x:c>
      <x:c r="N261" s="169" t="n">
        <x:v>600</x:v>
      </x:c>
      <x:c r="O261" s="219" t="n">
        <x:v>0</x:v>
      </x:c>
      <x:c r="P261" s="219" t="n">
        <x:v>0.869140625</x:v>
      </x:c>
      <x:c r="Q261" s="219" t="n">
        <x:v>0.2834138486312399</x:v>
      </x:c>
      <x:c r="R261" s="219" t="n">
        <x:v>0.46253551136363635</x:v>
      </x:c>
    </x:row>
    <x:row r="262">
      <x:c r="A262" s="167" t="str">
        <x:v>Gaussian</x:v>
      </x:c>
      <x:c r="B262" s="167" t="str">
        <x:v>simulated</x:v>
      </x:c>
      <x:c r="C262" s="167" t="str">
        <x:v>l2</x:v>
      </x:c>
      <x:c r="D262" s="167" t="str">
        <x:v>m2</x:v>
      </x:c>
      <x:c r="E262" s="167" t="str">
        <x:v>S=4D</x:v>
      </x:c>
      <x:c r="F262" s="167" t="str">
        <x:v>pmp_error</x:v>
      </x:c>
      <x:c r="G262" s="167" t="str">
        <x:v>raw NPE-analytical central 90% interval [q5, q95]</x:v>
      </x:c>
      <x:c r="H262" s="168" t="n">
        <x:v>-2.9138673856603455e-28</x:v>
      </x:c>
      <x:c r="I262" s="168" t="n">
        <x:v>6.536336537370696e-72</x:v>
      </x:c>
      <x:c r="J262" s="169" t="n">
        <x:v>77</x:v>
      </x:c>
      <x:c r="K262" s="169" t="n">
        <x:v>474</x:v>
      </x:c>
      <x:c r="L262" s="169" t="n">
        <x:v>1</x:v>
      </x:c>
      <x:c r="M262" s="169" t="n">
        <x:v>48</x:v>
      </x:c>
      <x:c r="N262" s="169" t="n">
        <x:v>600</x:v>
      </x:c>
      <x:c r="O262" s="269" t="n">
        <x:v>0.01282051282051282</x:v>
      </x:c>
      <x:c r="P262" s="269" t="n">
        <x:v>0.9080459770114943</x:v>
      </x:c>
      <x:c r="Q262" s="269" t="n">
        <x:v>0.24483306836248012</x:v>
      </x:c>
      <x:c r="R262" s="269" t="n">
        <x:v>0.2928332842125946</x:v>
      </x:c>
    </x:row>
    <x:row r="263">
      <x:c r="A263" s="167" t="str">
        <x:v>Gaussian</x:v>
      </x:c>
      <x:c r="B263" s="167" t="str">
        <x:v>simulated</x:v>
      </x:c>
      <x:c r="C263" s="167" t="str">
        <x:v>linf</x:v>
      </x:c>
      <x:c r="D263" s="167" t="str">
        <x:v>m2</x:v>
      </x:c>
      <x:c r="E263" s="167" t="str">
        <x:v>S=4D</x:v>
      </x:c>
      <x:c r="F263" s="167" t="str">
        <x:v>pmp_error</x:v>
      </x:c>
      <x:c r="G263" s="167" t="str">
        <x:v>raw NPE-analytical central 90% interval [q5, q95]</x:v>
      </x:c>
      <x:c r="H263" s="168" t="n">
        <x:v>-2.9138673856603455e-28</x:v>
      </x:c>
      <x:c r="I263" s="168" t="n">
        <x:v>6.536336537370696e-72</x:v>
      </x:c>
      <x:c r="J263" s="169" t="n">
        <x:v>52</x:v>
      </x:c>
      <x:c r="K263" s="169" t="n">
        <x:v>473</x:v>
      </x:c>
      <x:c r="L263" s="169" t="n">
        <x:v>26</x:v>
      </x:c>
      <x:c r="M263" s="169" t="n">
        <x:v>49</x:v>
      </x:c>
      <x:c r="N263" s="169" t="n">
        <x:v>600</x:v>
      </x:c>
      <x:c r="O263" s="269" t="n">
        <x:v>0.3333333333333333</x:v>
      </x:c>
      <x:c r="P263" s="269" t="n">
        <x:v>0.9061302681992337</x:v>
      </x:c>
      <x:c r="Q263" s="269" t="n">
        <x:v>0.1724709784411277</x:v>
      </x:c>
      <x:c r="R263" s="269" t="n">
        <x:v>0.30936241281068866</x:v>
      </x:c>
    </x:row>
    <x:row r="264">
      <x:c r="A264" s="167" t="str">
        <x:v>Gaussian</x:v>
      </x:c>
      <x:c r="B264" s="167" t="str">
        <x:v>simulated</x:v>
      </x:c>
      <x:c r="C264" s="167" t="str">
        <x:v>density</x:v>
      </x:c>
      <x:c r="D264" s="167" t="str">
        <x:v>m2</x:v>
      </x:c>
      <x:c r="E264" s="167" t="str">
        <x:v>S=4D</x:v>
      </x:c>
      <x:c r="F264" s="167" t="str">
        <x:v>pmp_error</x:v>
      </x:c>
      <x:c r="G264" s="167" t="str">
        <x:v>raw NPE-analytical central 90% interval [q5, q95]</x:v>
      </x:c>
      <x:c r="H264" s="168" t="n">
        <x:v>-2.9138673856603455e-28</x:v>
      </x:c>
      <x:c r="I264" s="168" t="n">
        <x:v>6.536336537370696e-72</x:v>
      </x:c>
      <x:c r="J264" s="169" t="n">
        <x:v>77</x:v>
      </x:c>
      <x:c r="K264" s="169" t="n">
        <x:v>476</x:v>
      </x:c>
      <x:c r="L264" s="169" t="n">
        <x:v>1</x:v>
      </x:c>
      <x:c r="M264" s="169" t="n">
        <x:v>46</x:v>
      </x:c>
      <x:c r="N264" s="169" t="n">
        <x:v>600</x:v>
      </x:c>
      <x:c r="O264" s="269" t="n">
        <x:v>0.01282051282051282</x:v>
      </x:c>
      <x:c r="P264" s="269" t="n">
        <x:v>0.9118773946360154</x:v>
      </x:c>
      <x:c r="Q264" s="269" t="n">
        <x:v>0.24405705229793978</x:v>
      </x:c>
      <x:c r="R264" s="269" t="n">
        <x:v>0.2710727969348659</x:v>
      </x:c>
    </x:row>
    <x:row r="265">
      <x:c r="A265" s="167" t="str">
        <x:v>Gaussian</x:v>
      </x:c>
      <x:c r="B265" s="167" t="str">
        <x:v>simulated</x:v>
      </x:c>
      <x:c r="C265" s="167" t="str">
        <x:v>mmd</x:v>
      </x:c>
      <x:c r="D265" s="167" t="str">
        <x:v>m2</x:v>
      </x:c>
      <x:c r="E265" s="167" t="str">
        <x:v>S=4D</x:v>
      </x:c>
      <x:c r="F265" s="167" t="str">
        <x:v>pmp_error</x:v>
      </x:c>
      <x:c r="G265" s="167" t="str">
        <x:v>raw NPE-analytical central 90% interval [q5, q95]</x:v>
      </x:c>
      <x:c r="H265" s="168" t="n">
        <x:v>-2.9138673856603455e-28</x:v>
      </x:c>
      <x:c r="I265" s="168" t="n">
        <x:v>6.536336537370696e-72</x:v>
      </x:c>
      <x:c r="J265" s="169" t="n">
        <x:v>78</x:v>
      </x:c>
      <x:c r="K265" s="169" t="n">
        <x:v>465</x:v>
      </x:c>
      <x:c r="L265" s="169" t="n">
        <x:v>0</x:v>
      </x:c>
      <x:c r="M265" s="169" t="n">
        <x:v>57</x:v>
      </x:c>
      <x:c r="N265" s="169" t="n">
        <x:v>600</x:v>
      </x:c>
      <x:c r="O265" s="219" t="n">
        <x:v>0</x:v>
      </x:c>
      <x:c r="P265" s="219" t="n">
        <x:v>0.8908045977011494</x:v>
      </x:c>
      <x:c r="Q265" s="219" t="n">
        <x:v>0.25120772946859904</x:v>
      </x:c>
      <x:c r="R265" s="219" t="n">
        <x:v>0.35111504077021316</x:v>
      </x:c>
    </x:row>
    <x:row r="266">
      <x:c r="A266" s="167" t="str">
        <x:v>Gaussian</x:v>
      </x:c>
      <x:c r="B266" s="167" t="str">
        <x:v>simulated</x:v>
      </x:c>
      <x:c r="C266" s="167" t="str">
        <x:v>l2</x:v>
      </x:c>
      <x:c r="D266" s="167" t="str">
        <x:v>m3</x:v>
      </x:c>
      <x:c r="E266" s="167" t="str">
        <x:v>S=D</x:v>
      </x:c>
      <x:c r="F266" s="167" t="str">
        <x:v>pmp_error</x:v>
      </x:c>
      <x:c r="G266" s="167" t="str">
        <x:v>raw NPE-analytical central 90% interval [q5, q95]</x:v>
      </x:c>
      <x:c r="H266" s="168" t="n">
        <x:v>-1.9617597365664848e-188</x:v>
      </x:c>
      <x:c r="I266" s="168" t="n">
        <x:v>7.351936730404623e-225</x:v>
      </x:c>
      <x:c r="J266" s="169" t="n">
        <x:v>385</x:v>
      </x:c>
      <x:c r="K266" s="169" t="n">
        <x:v>6</x:v>
      </x:c>
      <x:c r="L266" s="169" t="n">
        <x:v>115</x:v>
      </x:c>
      <x:c r="M266" s="169" t="n">
        <x:v>94</x:v>
      </x:c>
      <x:c r="N266" s="169" t="n">
        <x:v>600</x:v>
      </x:c>
      <x:c r="O266" s="219" t="n">
        <x:v>0.23</x:v>
      </x:c>
      <x:c r="P266" s="269" t="n">
        <x:v>0.06</x:v>
      </x:c>
      <x:c r="Q266" s="219" t="n">
        <x:v>0.8641975308641975</x:v>
      </x:c>
      <x:c r="R266" s="269" t="n">
        <x:v>0.7965</x:v>
      </x:c>
    </x:row>
    <x:row r="267">
      <x:c r="A267" s="167" t="str">
        <x:v>Gaussian</x:v>
      </x:c>
      <x:c r="B267" s="167" t="str">
        <x:v>simulated</x:v>
      </x:c>
      <x:c r="C267" s="167" t="str">
        <x:v>linf</x:v>
      </x:c>
      <x:c r="D267" s="167" t="str">
        <x:v>m3</x:v>
      </x:c>
      <x:c r="E267" s="167" t="str">
        <x:v>S=D</x:v>
      </x:c>
      <x:c r="F267" s="167" t="str">
        <x:v>pmp_error</x:v>
      </x:c>
      <x:c r="G267" s="167" t="str">
        <x:v>raw NPE-analytical central 90% interval [q5, q95]</x:v>
      </x:c>
      <x:c r="H267" s="168" t="n">
        <x:v>-1.9617597365664848e-188</x:v>
      </x:c>
      <x:c r="I267" s="168" t="n">
        <x:v>7.351936730404623e-225</x:v>
      </x:c>
      <x:c r="J267" s="169" t="n">
        <x:v>342</x:v>
      </x:c>
      <x:c r="K267" s="169" t="n">
        <x:v>6</x:v>
      </x:c>
      <x:c r="L267" s="169" t="n">
        <x:v>158</x:v>
      </x:c>
      <x:c r="M267" s="169" t="n">
        <x:v>94</x:v>
      </x:c>
      <x:c r="N267" s="169" t="n">
        <x:v>600</x:v>
      </x:c>
      <x:c r="O267" s="269" t="n">
        <x:v>0.316</x:v>
      </x:c>
      <x:c r="P267" s="269" t="n">
        <x:v>0.06</x:v>
      </x:c>
      <x:c r="Q267" s="269" t="n">
        <x:v>0.8066037735849056</x:v>
      </x:c>
      <x:c r="R267" s="269" t="n">
        <x:v>0.77788</x:v>
      </x:c>
    </x:row>
    <x:row r="268">
      <x:c r="A268" s="167" t="str">
        <x:v>Gaussian</x:v>
      </x:c>
      <x:c r="B268" s="167" t="str">
        <x:v>simulated</x:v>
      </x:c>
      <x:c r="C268" s="167" t="str">
        <x:v>density</x:v>
      </x:c>
      <x:c r="D268" s="167" t="str">
        <x:v>m3</x:v>
      </x:c>
      <x:c r="E268" s="167" t="str">
        <x:v>S=D</x:v>
      </x:c>
      <x:c r="F268" s="167" t="str">
        <x:v>pmp_error</x:v>
      </x:c>
      <x:c r="G268" s="167" t="str">
        <x:v>raw NPE-analytical central 90% interval [q5, q95]</x:v>
      </x:c>
      <x:c r="H268" s="168" t="n">
        <x:v>-1.9617597365664848e-188</x:v>
      </x:c>
      <x:c r="I268" s="168" t="n">
        <x:v>7.351936730404623e-225</x:v>
      </x:c>
      <x:c r="J268" s="169" t="n">
        <x:v>283</x:v>
      </x:c>
      <x:c r="K268" s="169" t="n">
        <x:v>2</x:v>
      </x:c>
      <x:c r="L268" s="169" t="n">
        <x:v>217</x:v>
      </x:c>
      <x:c r="M268" s="169" t="n">
        <x:v>98</x:v>
      </x:c>
      <x:c r="N268" s="169" t="n">
        <x:v>600</x:v>
      </x:c>
      <x:c r="O268" s="269" t="n">
        <x:v>0.434</x:v>
      </x:c>
      <x:c r="P268" s="219" t="n">
        <x:v>0.02</x:v>
      </x:c>
      <x:c r="Q268" s="269" t="n">
        <x:v>0.7210191082802547</x:v>
      </x:c>
      <x:c r="R268" s="219" t="n">
        <x:v>0.83326</x:v>
      </x:c>
    </x:row>
    <x:row r="269">
      <x:c r="A269" s="167" t="str">
        <x:v>Gaussian</x:v>
      </x:c>
      <x:c r="B269" s="167" t="str">
        <x:v>simulated</x:v>
      </x:c>
      <x:c r="C269" s="167" t="str">
        <x:v>mmd</x:v>
      </x:c>
      <x:c r="D269" s="167" t="str">
        <x:v>m3</x:v>
      </x:c>
      <x:c r="E269" s="167" t="str">
        <x:v>S=D</x:v>
      </x:c>
      <x:c r="F269" s="167" t="str">
        <x:v>pmp_error</x:v>
      </x:c>
      <x:c r="G269" s="167" t="str">
        <x:v>raw NPE-analytical central 90% interval [q5, q95]</x:v>
      </x:c>
      <x:c r="H269" s="168" t="n">
        <x:v>-1.9617597365664848e-188</x:v>
      </x:c>
      <x:c r="I269" s="168" t="n">
        <x:v>7.351936730404623e-225</x:v>
      </x:c>
      <x:c r="J269" s="169" t="n">
        <x:v>384</x:v>
      </x:c>
      <x:c r="K269" s="169" t="n">
        <x:v>6</x:v>
      </x:c>
      <x:c r="L269" s="169" t="n">
        <x:v>116</x:v>
      </x:c>
      <x:c r="M269" s="169" t="n">
        <x:v>94</x:v>
      </x:c>
      <x:c r="N269" s="169" t="n">
        <x:v>600</x:v>
      </x:c>
      <x:c r="O269" s="269" t="n">
        <x:v>0.232</x:v>
      </x:c>
      <x:c r="P269" s="269" t="n">
        <x:v>0.06</x:v>
      </x:c>
      <x:c r="Q269" s="269" t="n">
        <x:v>0.8629213483146068</x:v>
      </x:c>
      <x:c r="R269" s="269" t="n">
        <x:v>0.7963</x:v>
      </x:c>
    </x:row>
    <x:row r="270">
      <x:c r="A270" s="167" t="str">
        <x:v>Gaussian</x:v>
      </x:c>
      <x:c r="B270" s="167" t="str">
        <x:v>simulated</x:v>
      </x:c>
      <x:c r="C270" s="167" t="str">
        <x:v>l2</x:v>
      </x:c>
      <x:c r="D270" s="167" t="str">
        <x:v>m3</x:v>
      </x:c>
      <x:c r="E270" s="167" t="str">
        <x:v>S=2D</x:v>
      </x:c>
      <x:c r="F270" s="167" t="str">
        <x:v>pmp_error</x:v>
      </x:c>
      <x:c r="G270" s="167" t="str">
        <x:v>raw NPE-analytical central 90% interval [q5, q95]</x:v>
      </x:c>
      <x:c r="H270" s="168" t="n">
        <x:v>-1.5407732106703077e-184</x:v>
      </x:c>
      <x:c r="I270" s="168" t="n">
        <x:v>0</x:v>
      </x:c>
      <x:c r="J270" s="169" t="n">
        <x:v>396</x:v>
      </x:c>
      <x:c r="K270" s="169" t="n">
        <x:v>12</x:v>
      </x:c>
      <x:c r="L270" s="169" t="n">
        <x:v>104</x:v>
      </x:c>
      <x:c r="M270" s="169" t="n">
        <x:v>88</x:v>
      </x:c>
      <x:c r="N270" s="169" t="n">
        <x:v>600</x:v>
      </x:c>
      <x:c r="O270" s="269" t="n">
        <x:v>0.208</x:v>
      </x:c>
      <x:c r="P270" s="269" t="n">
        <x:v>0.12</x:v>
      </x:c>
      <x:c r="Q270" s="269" t="n">
        <x:v>0.8722466960352423</x:v>
      </x:c>
      <x:c r="R270" s="269" t="n">
        <x:v>0.825</x:v>
      </x:c>
    </x:row>
    <x:row r="271">
      <x:c r="A271" s="167" t="str">
        <x:v>Gaussian</x:v>
      </x:c>
      <x:c r="B271" s="167" t="str">
        <x:v>simulated</x:v>
      </x:c>
      <x:c r="C271" s="167" t="str">
        <x:v>linf</x:v>
      </x:c>
      <x:c r="D271" s="167" t="str">
        <x:v>m3</x:v>
      </x:c>
      <x:c r="E271" s="167" t="str">
        <x:v>S=2D</x:v>
      </x:c>
      <x:c r="F271" s="167" t="str">
        <x:v>pmp_error</x:v>
      </x:c>
      <x:c r="G271" s="167" t="str">
        <x:v>raw NPE-analytical central 90% interval [q5, q95]</x:v>
      </x:c>
      <x:c r="H271" s="168" t="n">
        <x:v>-1.5407732106703077e-184</x:v>
      </x:c>
      <x:c r="I271" s="168" t="n">
        <x:v>0</x:v>
      </x:c>
      <x:c r="J271" s="169" t="n">
        <x:v>361</x:v>
      </x:c>
      <x:c r="K271" s="169" t="n">
        <x:v>6</x:v>
      </x:c>
      <x:c r="L271" s="169" t="n">
        <x:v>139</x:v>
      </x:c>
      <x:c r="M271" s="169" t="n">
        <x:v>94</x:v>
      </x:c>
      <x:c r="N271" s="169" t="n">
        <x:v>600</x:v>
      </x:c>
      <x:c r="O271" s="269" t="n">
        <x:v>0.278</x:v>
      </x:c>
      <x:c r="P271" s="269" t="n">
        <x:v>0.06</x:v>
      </x:c>
      <x:c r="Q271" s="269" t="n">
        <x:v>0.8327566320645905</x:v>
      </x:c>
      <x:c r="R271" s="269" t="n">
        <x:v>0.8097</x:v>
      </x:c>
    </x:row>
    <x:row r="272">
      <x:c r="A272" s="167" t="str">
        <x:v>Gaussian</x:v>
      </x:c>
      <x:c r="B272" s="167" t="str">
        <x:v>simulated</x:v>
      </x:c>
      <x:c r="C272" s="167" t="str">
        <x:v>density</x:v>
      </x:c>
      <x:c r="D272" s="167" t="str">
        <x:v>m3</x:v>
      </x:c>
      <x:c r="E272" s="167" t="str">
        <x:v>S=2D</x:v>
      </x:c>
      <x:c r="F272" s="167" t="str">
        <x:v>pmp_error</x:v>
      </x:c>
      <x:c r="G272" s="167" t="str">
        <x:v>raw NPE-analytical central 90% interval [q5, q95]</x:v>
      </x:c>
      <x:c r="H272" s="168" t="n">
        <x:v>-1.5407732106703077e-184</x:v>
      </x:c>
      <x:c r="I272" s="168" t="n">
        <x:v>0</x:v>
      </x:c>
      <x:c r="J272" s="169" t="n">
        <x:v>468</x:v>
      </x:c>
      <x:c r="K272" s="169" t="n">
        <x:v>48</x:v>
      </x:c>
      <x:c r="L272" s="169" t="n">
        <x:v>32</x:v>
      </x:c>
      <x:c r="M272" s="169" t="n">
        <x:v>52</x:v>
      </x:c>
      <x:c r="N272" s="169" t="n">
        <x:v>600</x:v>
      </x:c>
      <x:c r="O272" s="219" t="n">
        <x:v>0.064</x:v>
      </x:c>
      <x:c r="P272" s="269" t="n">
        <x:v>0.48</x:v>
      </x:c>
      <x:c r="Q272" s="219" t="n">
        <x:v>0.9212598425196851</x:v>
      </x:c>
      <x:c r="R272" s="219" t="n">
        <x:v>0.89388</x:v>
      </x:c>
    </x:row>
    <x:row r="273">
      <x:c r="A273" s="167" t="str">
        <x:v>Gaussian</x:v>
      </x:c>
      <x:c r="B273" s="167" t="str">
        <x:v>simulated</x:v>
      </x:c>
      <x:c r="C273" s="167" t="str">
        <x:v>mmd</x:v>
      </x:c>
      <x:c r="D273" s="167" t="str">
        <x:v>m3</x:v>
      </x:c>
      <x:c r="E273" s="167" t="str">
        <x:v>S=2D</x:v>
      </x:c>
      <x:c r="F273" s="167" t="str">
        <x:v>pmp_error</x:v>
      </x:c>
      <x:c r="G273" s="167" t="str">
        <x:v>raw NPE-analytical central 90% interval [q5, q95]</x:v>
      </x:c>
      <x:c r="H273" s="168" t="n">
        <x:v>-1.5407732106703077e-184</x:v>
      </x:c>
      <x:c r="I273" s="168" t="n">
        <x:v>0</x:v>
      </x:c>
      <x:c r="J273" s="169" t="n">
        <x:v>396</x:v>
      </x:c>
      <x:c r="K273" s="169" t="n">
        <x:v>3</x:v>
      </x:c>
      <x:c r="L273" s="169" t="n">
        <x:v>104</x:v>
      </x:c>
      <x:c r="M273" s="169" t="n">
        <x:v>97</x:v>
      </x:c>
      <x:c r="N273" s="169" t="n">
        <x:v>600</x:v>
      </x:c>
      <x:c r="O273" s="269" t="n">
        <x:v>0.208</x:v>
      </x:c>
      <x:c r="P273" s="219" t="n">
        <x:v>0.03</x:v>
      </x:c>
      <x:c r="Q273" s="269" t="n">
        <x:v>0.8809788654060067</x:v>
      </x:c>
      <x:c r="R273" s="269" t="n">
        <x:v>0.8042</x:v>
      </x:c>
    </x:row>
    <x:row r="274">
      <x:c r="A274" s="167" t="str">
        <x:v>Gaussian</x:v>
      </x:c>
      <x:c r="B274" s="167" t="str">
        <x:v>simulated</x:v>
      </x:c>
      <x:c r="C274" s="167" t="str">
        <x:v>l2</x:v>
      </x:c>
      <x:c r="D274" s="167" t="str">
        <x:v>m3</x:v>
      </x:c>
      <x:c r="E274" s="167" t="str">
        <x:v>S=4D</x:v>
      </x:c>
      <x:c r="F274" s="167" t="str">
        <x:v>pmp_error</x:v>
      </x:c>
      <x:c r="G274" s="167" t="str">
        <x:v>raw NPE-analytical central 90% interval [q5, q95]</x:v>
      </x:c>
      <x:c r="H274" s="168" t="n">
        <x:v>-1.1314339546963093e-188</x:v>
      </x:c>
      <x:c r="I274" s="168" t="n">
        <x:v>3.1301622766349348e-224</x:v>
      </x:c>
      <x:c r="J274" s="169" t="n">
        <x:v>498</x:v>
      </x:c>
      <x:c r="K274" s="169" t="n">
        <x:v>43</x:v>
      </x:c>
      <x:c r="L274" s="169" t="n">
        <x:v>2</x:v>
      </x:c>
      <x:c r="M274" s="169" t="n">
        <x:v>57</x:v>
      </x:c>
      <x:c r="N274" s="169" t="n">
        <x:v>600</x:v>
      </x:c>
      <x:c r="O274" s="269" t="n">
        <x:v>0.004</x:v>
      </x:c>
      <x:c r="P274" s="269" t="n">
        <x:v>0.43</x:v>
      </x:c>
      <x:c r="Q274" s="219" t="n">
        <x:v>0.9567723342939481</x:v>
      </x:c>
      <x:c r="R274" s="269" t="n">
        <x:v>0.86724</x:v>
      </x:c>
    </x:row>
    <x:row r="275">
      <x:c r="A275" s="167" t="str">
        <x:v>Gaussian</x:v>
      </x:c>
      <x:c r="B275" s="167" t="str">
        <x:v>simulated</x:v>
      </x:c>
      <x:c r="C275" s="167" t="str">
        <x:v>linf</x:v>
      </x:c>
      <x:c r="D275" s="167" t="str">
        <x:v>m3</x:v>
      </x:c>
      <x:c r="E275" s="167" t="str">
        <x:v>S=4D</x:v>
      </x:c>
      <x:c r="F275" s="167" t="str">
        <x:v>pmp_error</x:v>
      </x:c>
      <x:c r="G275" s="167" t="str">
        <x:v>raw NPE-analytical central 90% interval [q5, q95]</x:v>
      </x:c>
      <x:c r="H275" s="168" t="n">
        <x:v>-1.1314339546963093e-188</x:v>
      </x:c>
      <x:c r="I275" s="168" t="n">
        <x:v>3.1301622766349348e-224</x:v>
      </x:c>
      <x:c r="J275" s="169" t="n">
        <x:v>407</x:v>
      </x:c>
      <x:c r="K275" s="169" t="n">
        <x:v>33</x:v>
      </x:c>
      <x:c r="L275" s="169" t="n">
        <x:v>93</x:v>
      </x:c>
      <x:c r="M275" s="169" t="n">
        <x:v>67</x:v>
      </x:c>
      <x:c r="N275" s="169" t="n">
        <x:v>600</x:v>
      </x:c>
      <x:c r="O275" s="269" t="n">
        <x:v>0.186</x:v>
      </x:c>
      <x:c r="P275" s="269" t="n">
        <x:v>0.33</x:v>
      </x:c>
      <x:c r="Q275" s="269" t="n">
        <x:v>0.8659574468085106</x:v>
      </x:c>
      <x:c r="R275" s="269" t="n">
        <x:v>0.83518</x:v>
      </x:c>
    </x:row>
    <x:row r="276">
      <x:c r="A276" s="167" t="str">
        <x:v>Gaussian</x:v>
      </x:c>
      <x:c r="B276" s="167" t="str">
        <x:v>simulated</x:v>
      </x:c>
      <x:c r="C276" s="167" t="str">
        <x:v>density</x:v>
      </x:c>
      <x:c r="D276" s="167" t="str">
        <x:v>m3</x:v>
      </x:c>
      <x:c r="E276" s="167" t="str">
        <x:v>S=4D</x:v>
      </x:c>
      <x:c r="F276" s="167" t="str">
        <x:v>pmp_error</x:v>
      </x:c>
      <x:c r="G276" s="167" t="str">
        <x:v>raw NPE-analytical central 90% interval [q5, q95]</x:v>
      </x:c>
      <x:c r="H276" s="168" t="n">
        <x:v>-1.1314339546963093e-188</x:v>
      </x:c>
      <x:c r="I276" s="168" t="n">
        <x:v>3.1301622766349348e-224</x:v>
      </x:c>
      <x:c r="J276" s="169" t="n">
        <x:v>500</x:v>
      </x:c>
      <x:c r="K276" s="169" t="n">
        <x:v>53</x:v>
      </x:c>
      <x:c r="L276" s="169" t="n">
        <x:v>0</x:v>
      </x:c>
      <x:c r="M276" s="169" t="n">
        <x:v>47</x:v>
      </x:c>
      <x:c r="N276" s="169" t="n">
        <x:v>600</x:v>
      </x:c>
      <x:c r="O276" s="219" t="n">
        <x:v>0</x:v>
      </x:c>
      <x:c r="P276" s="269" t="n">
        <x:v>0.53</x:v>
      </x:c>
      <x:c r="Q276" s="269" t="n">
        <x:v>0.949667616334283</x:v>
      </x:c>
      <x:c r="R276" s="219" t="n">
        <x:v>0.96114</x:v>
      </x:c>
    </x:row>
    <x:row r="277">
      <x:c r="A277" s="167" t="str">
        <x:v>Gaussian</x:v>
      </x:c>
      <x:c r="B277" s="167" t="str">
        <x:v>simulated</x:v>
      </x:c>
      <x:c r="C277" s="167" t="str">
        <x:v>mmd</x:v>
      </x:c>
      <x:c r="D277" s="167" t="str">
        <x:v>m3</x:v>
      </x:c>
      <x:c r="E277" s="167" t="str">
        <x:v>S=4D</x:v>
      </x:c>
      <x:c r="F277" s="167" t="str">
        <x:v>pmp_error</x:v>
      </x:c>
      <x:c r="G277" s="167" t="str">
        <x:v>raw NPE-analytical central 90% interval [q5, q95]</x:v>
      </x:c>
      <x:c r="H277" s="168" t="n">
        <x:v>-1.1314339546963093e-188</x:v>
      </x:c>
      <x:c r="I277" s="168" t="n">
        <x:v>3.1301622766349348e-224</x:v>
      </x:c>
      <x:c r="J277" s="169" t="n">
        <x:v>394</x:v>
      </x:c>
      <x:c r="K277" s="169" t="n">
        <x:v>4</x:v>
      </x:c>
      <x:c r="L277" s="169" t="n">
        <x:v>106</x:v>
      </x:c>
      <x:c r="M277" s="169" t="n">
        <x:v>96</x:v>
      </x:c>
      <x:c r="N277" s="169" t="n">
        <x:v>600</x:v>
      </x:c>
      <x:c r="O277" s="269" t="n">
        <x:v>0.212</x:v>
      </x:c>
      <x:c r="P277" s="219" t="n">
        <x:v>0.04</x:v>
      </x:c>
      <x:c r="Q277" s="269" t="n">
        <x:v>0.8775055679287305</x:v>
      </x:c>
      <x:c r="R277" s="269" t="n">
        <x:v>0.80868</x:v>
      </x:c>
    </x:row>
    <x:row r="278">
      <x:c r="A278" s="167" t="str">
        <x:v>Gaussian</x:v>
      </x:c>
      <x:c r="B278" s="167" t="str">
        <x:v>simulated</x:v>
      </x:c>
      <x:c r="C278" s="167" t="str">
        <x:v>l2</x:v>
      </x:c>
      <x:c r="D278" s="167" t="str">
        <x:v>m4</x:v>
      </x:c>
      <x:c r="E278" s="167" t="str">
        <x:v>S=D</x:v>
      </x:c>
      <x:c r="F278" s="167" t="str">
        <x:v>pmp_error</x:v>
      </x:c>
      <x:c r="G278" s="167" t="str">
        <x:v>raw NPE-analytical central 90% interval [q5, q95]</x:v>
      </x:c>
      <x:c r="H278" s="168" t="n">
        <x:v>-0.0059259862673143</x:v>
      </x:c>
      <x:c r="I278" s="168" t="n">
        <x:v>0.0059259862673143</x:v>
      </x:c>
      <x:c r="J278" s="169" t="n">
        <x:v>69</x:v>
      </x:c>
      <x:c r="K278" s="169" t="n">
        <x:v>139</x:v>
      </x:c>
      <x:c r="L278" s="169" t="n">
        <x:v>74</x:v>
      </x:c>
      <x:c r="M278" s="169" t="n">
        <x:v>318</x:v>
      </x:c>
      <x:c r="N278" s="169" t="n">
        <x:v>600</x:v>
      </x:c>
      <x:c r="O278" s="269" t="n">
        <x:v>0.5174825174825175</x:v>
      </x:c>
      <x:c r="P278" s="219" t="n">
        <x:v>0.3041575492341357</x:v>
      </x:c>
      <x:c r="Q278" s="269" t="n">
        <x:v>0.39316239316239315</x:v>
      </x:c>
      <x:c r="R278" s="269" t="n">
        <x:v>0.575905494942694</x:v>
      </x:c>
    </x:row>
    <x:row r="279">
      <x:c r="A279" s="167" t="str">
        <x:v>Gaussian</x:v>
      </x:c>
      <x:c r="B279" s="167" t="str">
        <x:v>simulated</x:v>
      </x:c>
      <x:c r="C279" s="167" t="str">
        <x:v>linf</x:v>
      </x:c>
      <x:c r="D279" s="167" t="str">
        <x:v>m4</x:v>
      </x:c>
      <x:c r="E279" s="167" t="str">
        <x:v>S=D</x:v>
      </x:c>
      <x:c r="F279" s="167" t="str">
        <x:v>pmp_error</x:v>
      </x:c>
      <x:c r="G279" s="167" t="str">
        <x:v>raw NPE-analytical central 90% interval [q5, q95]</x:v>
      </x:c>
      <x:c r="H279" s="168" t="n">
        <x:v>-0.0059259862673143</x:v>
      </x:c>
      <x:c r="I279" s="168" t="n">
        <x:v>0.0059259862673143</x:v>
      </x:c>
      <x:c r="J279" s="169" t="n">
        <x:v>73</x:v>
      </x:c>
      <x:c r="K279" s="169" t="n">
        <x:v>134</x:v>
      </x:c>
      <x:c r="L279" s="169" t="n">
        <x:v>86</x:v>
      </x:c>
      <x:c r="M279" s="169" t="n">
        <x:v>307</x:v>
      </x:c>
      <x:c r="N279" s="169" t="n">
        <x:v>600</x:v>
      </x:c>
      <x:c r="O279" s="269" t="n">
        <x:v>0.5408805031446541</x:v>
      </x:c>
      <x:c r="P279" s="269" t="n">
        <x:v>0.30385487528344673</x:v>
      </x:c>
      <x:c r="Q279" s="219" t="n">
        <x:v>0.3989071038251366</x:v>
      </x:c>
      <x:c r="R279" s="269" t="n">
        <x:v>0.5490095409232876</x:v>
      </x:c>
    </x:row>
    <x:row r="280">
      <x:c r="A280" s="167" t="str">
        <x:v>Gaussian</x:v>
      </x:c>
      <x:c r="B280" s="167" t="str">
        <x:v>simulated</x:v>
      </x:c>
      <x:c r="C280" s="167" t="str">
        <x:v>density</x:v>
      </x:c>
      <x:c r="D280" s="167" t="str">
        <x:v>m4</x:v>
      </x:c>
      <x:c r="E280" s="167" t="str">
        <x:v>S=D</x:v>
      </x:c>
      <x:c r="F280" s="167" t="str">
        <x:v>pmp_error</x:v>
      </x:c>
      <x:c r="G280" s="167" t="str">
        <x:v>raw NPE-analytical central 90% interval [q5, q95]</x:v>
      </x:c>
      <x:c r="H280" s="168" t="n">
        <x:v>-0.0059259862673143</x:v>
      </x:c>
      <x:c r="I280" s="168" t="n">
        <x:v>0.0059259862673143</x:v>
      </x:c>
      <x:c r="J280" s="169" t="n">
        <x:v>60</x:v>
      </x:c>
      <x:c r="K280" s="169" t="n">
        <x:v>144</x:v>
      </x:c>
      <x:c r="L280" s="169" t="n">
        <x:v>83</x:v>
      </x:c>
      <x:c r="M280" s="169" t="n">
        <x:v>313</x:v>
      </x:c>
      <x:c r="N280" s="169" t="n">
        <x:v>600</x:v>
      </x:c>
      <x:c r="O280" s="269" t="n">
        <x:v>0.5804195804195804</x:v>
      </x:c>
      <x:c r="P280" s="269" t="n">
        <x:v>0.3150984682713348</x:v>
      </x:c>
      <x:c r="Q280" s="269" t="n">
        <x:v>0.345821325648415</x:v>
      </x:c>
      <x:c r="R280" s="269" t="n">
        <x:v>0.5678413490229682</x:v>
      </x:c>
    </x:row>
    <x:row r="281">
      <x:c r="A281" s="167" t="str">
        <x:v>Gaussian</x:v>
      </x:c>
      <x:c r="B281" s="167" t="str">
        <x:v>simulated</x:v>
      </x:c>
      <x:c r="C281" s="167" t="str">
        <x:v>mmd</x:v>
      </x:c>
      <x:c r="D281" s="167" t="str">
        <x:v>m4</x:v>
      </x:c>
      <x:c r="E281" s="167" t="str">
        <x:v>S=D</x:v>
      </x:c>
      <x:c r="F281" s="167" t="str">
        <x:v>pmp_error</x:v>
      </x:c>
      <x:c r="G281" s="167" t="str">
        <x:v>raw NPE-analytical central 90% interval [q5, q95]</x:v>
      </x:c>
      <x:c r="H281" s="168" t="n">
        <x:v>-0.0059259862673143</x:v>
      </x:c>
      <x:c r="I281" s="168" t="n">
        <x:v>0.0059259862673143</x:v>
      </x:c>
      <x:c r="J281" s="169" t="n">
        <x:v>70</x:v>
      </x:c>
      <x:c r="K281" s="169" t="n">
        <x:v>141</x:v>
      </x:c>
      <x:c r="L281" s="169" t="n">
        <x:v>73</x:v>
      </x:c>
      <x:c r="M281" s="169" t="n">
        <x:v>316</x:v>
      </x:c>
      <x:c r="N281" s="169" t="n">
        <x:v>600</x:v>
      </x:c>
      <x:c r="O281" s="219" t="n">
        <x:v>0.5104895104895105</x:v>
      </x:c>
      <x:c r="P281" s="269" t="n">
        <x:v>0.3085339168490153</x:v>
      </x:c>
      <x:c r="Q281" s="269" t="n">
        <x:v>0.3954802259887006</x:v>
      </x:c>
      <x:c r="R281" s="219" t="n">
        <x:v>0.5767318021147343</x:v>
      </x:c>
    </x:row>
    <x:row r="282">
      <x:c r="A282" s="167" t="str">
        <x:v>Gaussian</x:v>
      </x:c>
      <x:c r="B282" s="167" t="str">
        <x:v>simulated</x:v>
      </x:c>
      <x:c r="C282" s="167" t="str">
        <x:v>l2</x:v>
      </x:c>
      <x:c r="D282" s="167" t="str">
        <x:v>m4</x:v>
      </x:c>
      <x:c r="E282" s="167" t="str">
        <x:v>S=2D</x:v>
      </x:c>
      <x:c r="F282" s="167" t="str">
        <x:v>pmp_error</x:v>
      </x:c>
      <x:c r="G282" s="167" t="str">
        <x:v>raw NPE-analytical central 90% interval [q5, q95]</x:v>
      </x:c>
      <x:c r="H282" s="168" t="n">
        <x:v>-0.0055360811086869</x:v>
      </x:c>
      <x:c r="I282" s="168" t="n">
        <x:v>0.005536081108687</x:v>
      </x:c>
      <x:c r="J282" s="169" t="n">
        <x:v>90</x:v>
      </x:c>
      <x:c r="K282" s="169" t="n">
        <x:v>288</x:v>
      </x:c>
      <x:c r="L282" s="169" t="n">
        <x:v>43</x:v>
      </x:c>
      <x:c r="M282" s="169" t="n">
        <x:v>179</x:v>
      </x:c>
      <x:c r="N282" s="169" t="n">
        <x:v>600</x:v>
      </x:c>
      <x:c r="O282" s="269" t="n">
        <x:v>0.3233082706766917</x:v>
      </x:c>
      <x:c r="P282" s="269" t="n">
        <x:v>0.6167023554603854</x:v>
      </x:c>
      <x:c r="Q282" s="269" t="n">
        <x:v>0.3522504892367906</x:v>
      </x:c>
      <x:c r="R282" s="269" t="n">
        <x:v>0.5201333097196954</x:v>
      </x:c>
    </x:row>
    <x:row r="283">
      <x:c r="A283" s="167" t="str">
        <x:v>Gaussian</x:v>
      </x:c>
      <x:c r="B283" s="167" t="str">
        <x:v>simulated</x:v>
      </x:c>
      <x:c r="C283" s="167" t="str">
        <x:v>linf</x:v>
      </x:c>
      <x:c r="D283" s="167" t="str">
        <x:v>m4</x:v>
      </x:c>
      <x:c r="E283" s="167" t="str">
        <x:v>S=2D</x:v>
      </x:c>
      <x:c r="F283" s="167" t="str">
        <x:v>pmp_error</x:v>
      </x:c>
      <x:c r="G283" s="167" t="str">
        <x:v>raw NPE-analytical central 90% interval [q5, q95]</x:v>
      </x:c>
      <x:c r="H283" s="168" t="n">
        <x:v>-0.0055360811086869</x:v>
      </x:c>
      <x:c r="I283" s="168" t="n">
        <x:v>0.005536081108687</x:v>
      </x:c>
      <x:c r="J283" s="169" t="n">
        <x:v>65</x:v>
      </x:c>
      <x:c r="K283" s="169" t="n">
        <x:v>213</x:v>
      </x:c>
      <x:c r="L283" s="169" t="n">
        <x:v>70</x:v>
      </x:c>
      <x:c r="M283" s="169" t="n">
        <x:v>252</x:v>
      </x:c>
      <x:c r="N283" s="169" t="n">
        <x:v>600</x:v>
      </x:c>
      <x:c r="O283" s="269" t="n">
        <x:v>0.5185185185185185</x:v>
      </x:c>
      <x:c r="P283" s="269" t="n">
        <x:v>0.45806451612903226</x:v>
      </x:c>
      <x:c r="Q283" s="269" t="n">
        <x:v>0.31476997578692495</x:v>
      </x:c>
      <x:c r="R283" s="269" t="n">
        <x:v>0.49209080047789727</x:v>
      </x:c>
    </x:row>
    <x:row r="284">
      <x:c r="A284" s="167" t="str">
        <x:v>Gaussian</x:v>
      </x:c>
      <x:c r="B284" s="167" t="str">
        <x:v>simulated</x:v>
      </x:c>
      <x:c r="C284" s="167" t="str">
        <x:v>density</x:v>
      </x:c>
      <x:c r="D284" s="167" t="str">
        <x:v>m4</x:v>
      </x:c>
      <x:c r="E284" s="167" t="str">
        <x:v>S=2D</x:v>
      </x:c>
      <x:c r="F284" s="167" t="str">
        <x:v>pmp_error</x:v>
      </x:c>
      <x:c r="G284" s="167" t="str">
        <x:v>raw NPE-analytical central 90% interval [q5, q95]</x:v>
      </x:c>
      <x:c r="H284" s="168" t="n">
        <x:v>-0.0055360811086869</x:v>
      </x:c>
      <x:c r="I284" s="168" t="n">
        <x:v>0.005536081108687</x:v>
      </x:c>
      <x:c r="J284" s="169" t="n">
        <x:v>101</x:v>
      </x:c>
      <x:c r="K284" s="169" t="n">
        <x:v>304</x:v>
      </x:c>
      <x:c r="L284" s="169" t="n">
        <x:v>32</x:v>
      </x:c>
      <x:c r="M284" s="169" t="n">
        <x:v>163</x:v>
      </x:c>
      <x:c r="N284" s="169" t="n">
        <x:v>600</x:v>
      </x:c>
      <x:c r="O284" s="219" t="n">
        <x:v>0.24060150375939848</x:v>
      </x:c>
      <x:c r="P284" s="269" t="n">
        <x:v>0.6509635974304069</x:v>
      </x:c>
      <x:c r="Q284" s="269" t="n">
        <x:v>0.3754646840148699</x:v>
      </x:c>
      <x:c r="R284" s="269" t="n">
        <x:v>0.43206517364074</x:v>
      </x:c>
    </x:row>
    <x:row r="285">
      <x:c r="A285" s="167" t="str">
        <x:v>Gaussian</x:v>
      </x:c>
      <x:c r="B285" s="167" t="str">
        <x:v>simulated</x:v>
      </x:c>
      <x:c r="C285" s="167" t="str">
        <x:v>mmd</x:v>
      </x:c>
      <x:c r="D285" s="167" t="str">
        <x:v>m4</x:v>
      </x:c>
      <x:c r="E285" s="167" t="str">
        <x:v>S=2D</x:v>
      </x:c>
      <x:c r="F285" s="167" t="str">
        <x:v>pmp_error</x:v>
      </x:c>
      <x:c r="G285" s="167" t="str">
        <x:v>raw NPE-analytical central 90% interval [q5, q95]</x:v>
      </x:c>
      <x:c r="H285" s="168" t="n">
        <x:v>-0.0055360811086869</x:v>
      </x:c>
      <x:c r="I285" s="168" t="n">
        <x:v>0.005536081108687</x:v>
      </x:c>
      <x:c r="J285" s="169" t="n">
        <x:v>85</x:v>
      </x:c>
      <x:c r="K285" s="169" t="n">
        <x:v>171</x:v>
      </x:c>
      <x:c r="L285" s="169" t="n">
        <x:v>48</x:v>
      </x:c>
      <x:c r="M285" s="169" t="n">
        <x:v>296</x:v>
      </x:c>
      <x:c r="N285" s="169" t="n">
        <x:v>600</x:v>
      </x:c>
      <x:c r="O285" s="269" t="n">
        <x:v>0.3609022556390977</x:v>
      </x:c>
      <x:c r="P285" s="219" t="n">
        <x:v>0.36616702355460384</x:v>
      </x:c>
      <x:c r="Q285" s="219" t="n">
        <x:v>0.4370179948586118</x:v>
      </x:c>
      <x:c r="R285" s="219" t="n">
        <x:v>0.6599314131152292</x:v>
      </x:c>
    </x:row>
    <x:row r="286">
      <x:c r="A286" s="167" t="str">
        <x:v>Gaussian</x:v>
      </x:c>
      <x:c r="B286" s="167" t="str">
        <x:v>simulated</x:v>
      </x:c>
      <x:c r="C286" s="167" t="str">
        <x:v>l2</x:v>
      </x:c>
      <x:c r="D286" s="167" t="str">
        <x:v>m4</x:v>
      </x:c>
      <x:c r="E286" s="167" t="str">
        <x:v>S=4D</x:v>
      </x:c>
      <x:c r="F286" s="167" t="str">
        <x:v>pmp_error</x:v>
      </x:c>
      <x:c r="G286" s="167" t="str">
        <x:v>raw NPE-analytical central 90% interval [q5, q95]</x:v>
      </x:c>
      <x:c r="H286" s="168" t="n">
        <x:v>-0.0066743802582814</x:v>
      </x:c>
      <x:c r="I286" s="168" t="n">
        <x:v>0.0066743802582815</x:v>
      </x:c>
      <x:c r="J286" s="169" t="n">
        <x:v>100</x:v>
      </x:c>
      <x:c r="K286" s="169" t="n">
        <x:v>296</x:v>
      </x:c>
      <x:c r="L286" s="169" t="n">
        <x:v>24</x:v>
      </x:c>
      <x:c r="M286" s="169" t="n">
        <x:v>180</x:v>
      </x:c>
      <x:c r="N286" s="169" t="n">
        <x:v>600</x:v>
      </x:c>
      <x:c r="O286" s="269" t="n">
        <x:v>0.1935483870967742</x:v>
      </x:c>
      <x:c r="P286" s="269" t="n">
        <x:v>0.6218487394957983</x:v>
      </x:c>
      <x:c r="Q286" s="269" t="n">
        <x:v>0.38461538461538464</x:v>
      </x:c>
      <x:c r="R286" s="269" t="n">
        <x:v>0.5296658986175116</x:v>
      </x:c>
    </x:row>
    <x:row r="287">
      <x:c r="A287" s="167" t="str">
        <x:v>Gaussian</x:v>
      </x:c>
      <x:c r="B287" s="167" t="str">
        <x:v>simulated</x:v>
      </x:c>
      <x:c r="C287" s="167" t="str">
        <x:v>linf</x:v>
      </x:c>
      <x:c r="D287" s="167" t="str">
        <x:v>m4</x:v>
      </x:c>
      <x:c r="E287" s="167" t="str">
        <x:v>S=4D</x:v>
      </x:c>
      <x:c r="F287" s="167" t="str">
        <x:v>pmp_error</x:v>
      </x:c>
      <x:c r="G287" s="167" t="str">
        <x:v>raw NPE-analytical central 90% interval [q5, q95]</x:v>
      </x:c>
      <x:c r="H287" s="168" t="n">
        <x:v>-0.0066743802582814</x:v>
      </x:c>
      <x:c r="I287" s="168" t="n">
        <x:v>0.0066743802582815</x:v>
      </x:c>
      <x:c r="J287" s="169" t="n">
        <x:v>67</x:v>
      </x:c>
      <x:c r="K287" s="169" t="n">
        <x:v>236</x:v>
      </x:c>
      <x:c r="L287" s="169" t="n">
        <x:v>48</x:v>
      </x:c>
      <x:c r="M287" s="169" t="n">
        <x:v>249</x:v>
      </x:c>
      <x:c r="N287" s="169" t="n">
        <x:v>600</x:v>
      </x:c>
      <x:c r="O287" s="269" t="n">
        <x:v>0.41739130434782606</x:v>
      </x:c>
      <x:c r="P287" s="269" t="n">
        <x:v>0.4865979381443299</x:v>
      </x:c>
      <x:c r="Q287" s="269" t="n">
        <x:v>0.32057416267942584</x:v>
      </x:c>
      <x:c r="R287" s="269" t="n">
        <x:v>0.543325862841775</x:v>
      </x:c>
    </x:row>
    <x:row r="288">
      <x:c r="A288" s="167" t="str">
        <x:v>Gaussian</x:v>
      </x:c>
      <x:c r="B288" s="167" t="str">
        <x:v>simulated</x:v>
      </x:c>
      <x:c r="C288" s="167" t="str">
        <x:v>density</x:v>
      </x:c>
      <x:c r="D288" s="167" t="str">
        <x:v>m4</x:v>
      </x:c>
      <x:c r="E288" s="167" t="str">
        <x:v>S=4D</x:v>
      </x:c>
      <x:c r="F288" s="167" t="str">
        <x:v>pmp_error</x:v>
      </x:c>
      <x:c r="G288" s="167" t="str">
        <x:v>raw NPE-analytical central 90% interval [q5, q95]</x:v>
      </x:c>
      <x:c r="H288" s="168" t="n">
        <x:v>-0.0066743802582814</x:v>
      </x:c>
      <x:c r="I288" s="168" t="n">
        <x:v>0.0066743802582815</x:v>
      </x:c>
      <x:c r="J288" s="169" t="n">
        <x:v>102</x:v>
      </x:c>
      <x:c r="K288" s="169" t="n">
        <x:v>308</x:v>
      </x:c>
      <x:c r="L288" s="169" t="n">
        <x:v>22</x:v>
      </x:c>
      <x:c r="M288" s="169" t="n">
        <x:v>168</x:v>
      </x:c>
      <x:c r="N288" s="169" t="n">
        <x:v>600</x:v>
      </x:c>
      <x:c r="O288" s="219" t="n">
        <x:v>0.1774193548387097</x:v>
      </x:c>
      <x:c r="P288" s="269" t="n">
        <x:v>0.6470588235294118</x:v>
      </x:c>
      <x:c r="Q288" s="269" t="n">
        <x:v>0.38202247191011235</x:v>
      </x:c>
      <x:c r="R288" s="269" t="n">
        <x:v>0.48749661154784496</x:v>
      </x:c>
    </x:row>
    <x:row r="289">
      <x:c r="A289" s="167" t="str">
        <x:v>Gaussian</x:v>
      </x:c>
      <x:c r="B289" s="167" t="str">
        <x:v>simulated</x:v>
      </x:c>
      <x:c r="C289" s="167" t="str">
        <x:v>mmd</x:v>
      </x:c>
      <x:c r="D289" s="167" t="str">
        <x:v>m4</x:v>
      </x:c>
      <x:c r="E289" s="167" t="str">
        <x:v>S=4D</x:v>
      </x:c>
      <x:c r="F289" s="167" t="str">
        <x:v>pmp_error</x:v>
      </x:c>
      <x:c r="G289" s="167" t="str">
        <x:v>raw NPE-analytical central 90% interval [q5, q95]</x:v>
      </x:c>
      <x:c r="H289" s="168" t="n">
        <x:v>-0.0066743802582814</x:v>
      </x:c>
      <x:c r="I289" s="168" t="n">
        <x:v>0.0066743802582815</x:v>
      </x:c>
      <x:c r="J289" s="169" t="n">
        <x:v>86</x:v>
      </x:c>
      <x:c r="K289" s="169" t="n">
        <x:v>178</x:v>
      </x:c>
      <x:c r="L289" s="169" t="n">
        <x:v>38</x:v>
      </x:c>
      <x:c r="M289" s="169" t="n">
        <x:v>298</x:v>
      </x:c>
      <x:c r="N289" s="169" t="n">
        <x:v>600</x:v>
      </x:c>
      <x:c r="O289" s="269" t="n">
        <x:v>0.3064516129032258</x:v>
      </x:c>
      <x:c r="P289" s="219" t="n">
        <x:v>0.3739495798319328</x:v>
      </x:c>
      <x:c r="Q289" s="219" t="n">
        <x:v>0.44329896907216493</x:v>
      </x:c>
      <x:c r="R289" s="219" t="n">
        <x:v>0.6782325833559231</x:v>
      </x:c>
    </x:row>
    <x:row r="290">
      <x:c r="A290" s="167" t="str">
        <x:v>Gaussian</x:v>
      </x:c>
      <x:c r="B290" s="167" t="str">
        <x:v>simulated</x:v>
      </x:c>
      <x:c r="C290" s="167" t="str">
        <x:v>l2</x:v>
      </x:c>
      <x:c r="D290" s="167" t="str">
        <x:v>m1</x:v>
      </x:c>
      <x:c r="E290" s="167" t="str">
        <x:v>S=D</x:v>
      </x:c>
      <x:c r="F290" s="167" t="str">
        <x:v>posterior_mmd</x:v>
      </x:c>
      <x:c r="G290" s="167" t="str">
        <x:v>raw NPE-analytical [0, q95]</x:v>
      </x:c>
      <x:c r="H290" s="168" t="n">
        <x:v>0</x:v>
      </x:c>
      <x:c r="I290" s="168" t="n">
        <x:v>0.0143011093</x:v>
      </x:c>
      <x:c r="J290" s="169" t="n">
        <x:v>209</x:v>
      </x:c>
      <x:c r="K290" s="169" t="n">
        <x:v>2</x:v>
      </x:c>
      <x:c r="L290" s="169" t="n">
        <x:v>191</x:v>
      </x:c>
      <x:c r="M290" s="169" t="n">
        <x:v>198</x:v>
      </x:c>
      <x:c r="N290" s="169" t="n">
        <x:v>600</x:v>
      </x:c>
      <x:c r="O290" s="219" t="n">
        <x:v>0.4775</x:v>
      </x:c>
      <x:c r="P290" s="269" t="n">
        <x:v>0.01</x:v>
      </x:c>
      <x:c r="Q290" s="219" t="n">
        <x:v>0.6841243862520459</x:v>
      </x:c>
      <x:c r="R290" s="269" t="n">
        <x:v>0.8696625</x:v>
      </x:c>
    </x:row>
    <x:row r="291">
      <x:c r="A291" s="167" t="str">
        <x:v>Gaussian</x:v>
      </x:c>
      <x:c r="B291" s="167" t="str">
        <x:v>simulated</x:v>
      </x:c>
      <x:c r="C291" s="167" t="str">
        <x:v>linf</x:v>
      </x:c>
      <x:c r="D291" s="167" t="str">
        <x:v>m1</x:v>
      </x:c>
      <x:c r="E291" s="167" t="str">
        <x:v>S=D</x:v>
      </x:c>
      <x:c r="F291" s="167" t="str">
        <x:v>posterior_mmd</x:v>
      </x:c>
      <x:c r="G291" s="167" t="str">
        <x:v>raw NPE-analytical [0, q95]</x:v>
      </x:c>
      <x:c r="H291" s="168" t="n">
        <x:v>0</x:v>
      </x:c>
      <x:c r="I291" s="168" t="n">
        <x:v>0.0143011093</x:v>
      </x:c>
      <x:c r="J291" s="169" t="n">
        <x:v>201</x:v>
      </x:c>
      <x:c r="K291" s="169" t="n">
        <x:v>6</x:v>
      </x:c>
      <x:c r="L291" s="169" t="n">
        <x:v>197</x:v>
      </x:c>
      <x:c r="M291" s="169" t="n">
        <x:v>196</x:v>
      </x:c>
      <x:c r="N291" s="169" t="n">
        <x:v>600</x:v>
      </x:c>
      <x:c r="O291" s="269" t="n">
        <x:v>0.4949748743718593</x:v>
      </x:c>
      <x:c r="P291" s="269" t="n">
        <x:v>0.0297029702970297</x:v>
      </x:c>
      <x:c r="Q291" s="269" t="n">
        <x:v>0.6644628099173554</x:v>
      </x:c>
      <x:c r="R291" s="269" t="n">
        <x:v>0.8651922981</x:v>
      </x:c>
    </x:row>
    <x:row r="292">
      <x:c r="A292" s="167" t="str">
        <x:v>Gaussian</x:v>
      </x:c>
      <x:c r="B292" s="167" t="str">
        <x:v>simulated</x:v>
      </x:c>
      <x:c r="C292" s="167" t="str">
        <x:v>density</x:v>
      </x:c>
      <x:c r="D292" s="167" t="str">
        <x:v>m1</x:v>
      </x:c>
      <x:c r="E292" s="167" t="str">
        <x:v>S=D</x:v>
      </x:c>
      <x:c r="F292" s="167" t="str">
        <x:v>posterior_mmd</x:v>
      </x:c>
      <x:c r="G292" s="167" t="str">
        <x:v>raw NPE-analytical [0, q95]</x:v>
      </x:c>
      <x:c r="H292" s="168" t="n">
        <x:v>0</x:v>
      </x:c>
      <x:c r="I292" s="168" t="n">
        <x:v>0.0143011093</x:v>
      </x:c>
      <x:c r="J292" s="169" t="n">
        <x:v>180</x:v>
      </x:c>
      <x:c r="K292" s="169" t="n">
        <x:v>1</x:v>
      </x:c>
      <x:c r="L292" s="169" t="n">
        <x:v>220</x:v>
      </x:c>
      <x:c r="M292" s="169" t="n">
        <x:v>199</x:v>
      </x:c>
      <x:c r="N292" s="169" t="n">
        <x:v>600</x:v>
      </x:c>
      <x:c r="O292" s="269" t="n">
        <x:v>0.55</x:v>
      </x:c>
      <x:c r="P292" s="219" t="n">
        <x:v>0.005</x:v>
      </x:c>
      <x:c r="Q292" s="269" t="n">
        <x:v>0.6196213425129088</x:v>
      </x:c>
      <x:c r="R292" s="219" t="n">
        <x:v>0.9173625</x:v>
      </x:c>
    </x:row>
    <x:row r="293">
      <x:c r="A293" s="167" t="str">
        <x:v>Gaussian</x:v>
      </x:c>
      <x:c r="B293" s="167" t="str">
        <x:v>simulated</x:v>
      </x:c>
      <x:c r="C293" s="167" t="str">
        <x:v>mmd</x:v>
      </x:c>
      <x:c r="D293" s="167" t="str">
        <x:v>m1</x:v>
      </x:c>
      <x:c r="E293" s="167" t="str">
        <x:v>S=D</x:v>
      </x:c>
      <x:c r="F293" s="167" t="str">
        <x:v>posterior_mmd</x:v>
      </x:c>
      <x:c r="G293" s="167" t="str">
        <x:v>raw NPE-analytical [0, q95]</x:v>
      </x:c>
      <x:c r="H293" s="168" t="n">
        <x:v>0</x:v>
      </x:c>
      <x:c r="I293" s="168" t="n">
        <x:v>0.0143011093</x:v>
      </x:c>
      <x:c r="J293" s="169" t="n">
        <x:v>209</x:v>
      </x:c>
      <x:c r="K293" s="169" t="n">
        <x:v>4</x:v>
      </x:c>
      <x:c r="L293" s="169" t="n">
        <x:v>191</x:v>
      </x:c>
      <x:c r="M293" s="169" t="n">
        <x:v>196</x:v>
      </x:c>
      <x:c r="N293" s="169" t="n">
        <x:v>600</x:v>
      </x:c>
      <x:c r="O293" s="219" t="n">
        <x:v>0.4775</x:v>
      </x:c>
      <x:c r="P293" s="269" t="n">
        <x:v>0.02</x:v>
      </x:c>
      <x:c r="Q293" s="269" t="n">
        <x:v>0.6818923327895595</x:v>
      </x:c>
      <x:c r="R293" s="269" t="n">
        <x:v>0.86545</x:v>
      </x:c>
    </x:row>
    <x:row r="294">
      <x:c r="A294" s="167" t="str">
        <x:v>Gaussian</x:v>
      </x:c>
      <x:c r="B294" s="167" t="str">
        <x:v>simulated</x:v>
      </x:c>
      <x:c r="C294" s="167" t="str">
        <x:v>l2</x:v>
      </x:c>
      <x:c r="D294" s="167" t="str">
        <x:v>m1</x:v>
      </x:c>
      <x:c r="E294" s="167" t="str">
        <x:v>S=2D</x:v>
      </x:c>
      <x:c r="F294" s="167" t="str">
        <x:v>posterior_mmd</x:v>
      </x:c>
      <x:c r="G294" s="167" t="str">
        <x:v>raw NPE-analytical [0, q95]</x:v>
      </x:c>
      <x:c r="H294" s="168" t="n">
        <x:v>0</x:v>
      </x:c>
      <x:c r="I294" s="168" t="n">
        <x:v>0.0144659042</x:v>
      </x:c>
      <x:c r="J294" s="169" t="n">
        <x:v>322</x:v>
      </x:c>
      <x:c r="K294" s="169" t="n">
        <x:v>28</x:v>
      </x:c>
      <x:c r="L294" s="169" t="n">
        <x:v>32</x:v>
      </x:c>
      <x:c r="M294" s="169" t="n">
        <x:v>218</x:v>
      </x:c>
      <x:c r="N294" s="169" t="n">
        <x:v>600</x:v>
      </x:c>
      <x:c r="O294" s="269" t="n">
        <x:v>0.0903954802259887</x:v>
      </x:c>
      <x:c r="P294" s="269" t="n">
        <x:v>0.11382113821138211</x:v>
      </x:c>
      <x:c r="Q294" s="269" t="n">
        <x:v>0.9147727272727273</x:v>
      </x:c>
      <x:c r="R294" s="219" t="n">
        <x:v>0.9760461164</x:v>
      </x:c>
    </x:row>
    <x:row r="295">
      <x:c r="A295" s="167" t="str">
        <x:v>Gaussian</x:v>
      </x:c>
      <x:c r="B295" s="167" t="str">
        <x:v>simulated</x:v>
      </x:c>
      <x:c r="C295" s="167" t="str">
        <x:v>linf</x:v>
      </x:c>
      <x:c r="D295" s="167" t="str">
        <x:v>m1</x:v>
      </x:c>
      <x:c r="E295" s="167" t="str">
        <x:v>S=2D</x:v>
      </x:c>
      <x:c r="F295" s="167" t="str">
        <x:v>posterior_mmd</x:v>
      </x:c>
      <x:c r="G295" s="167" t="str">
        <x:v>raw NPE-analytical [0, q95]</x:v>
      </x:c>
      <x:c r="H295" s="168" t="n">
        <x:v>0</x:v>
      </x:c>
      <x:c r="I295" s="168" t="n">
        <x:v>0.0144659042</x:v>
      </x:c>
      <x:c r="J295" s="169" t="n">
        <x:v>264</x:v>
      </x:c>
      <x:c r="K295" s="169" t="n">
        <x:v>14</x:v>
      </x:c>
      <x:c r="L295" s="169" t="n">
        <x:v>87</x:v>
      </x:c>
      <x:c r="M295" s="169" t="n">
        <x:v>235</x:v>
      </x:c>
      <x:c r="N295" s="169" t="n">
        <x:v>600</x:v>
      </x:c>
      <x:c r="O295" s="269" t="n">
        <x:v>0.24786324786324787</x:v>
      </x:c>
      <x:c r="P295" s="219" t="n">
        <x:v>0.05622489959839357</x:v>
      </x:c>
      <x:c r="Q295" s="269" t="n">
        <x:v>0.8394276629570747</x:v>
      </x:c>
      <x:c r="R295" s="269" t="n">
        <x:v>0.94152107</x:v>
      </x:c>
    </x:row>
    <x:row r="296">
      <x:c r="A296" s="167" t="str">
        <x:v>Gaussian</x:v>
      </x:c>
      <x:c r="B296" s="167" t="str">
        <x:v>simulated</x:v>
      </x:c>
      <x:c r="C296" s="167" t="str">
        <x:v>density</x:v>
      </x:c>
      <x:c r="D296" s="167" t="str">
        <x:v>m1</x:v>
      </x:c>
      <x:c r="E296" s="167" t="str">
        <x:v>S=2D</x:v>
      </x:c>
      <x:c r="F296" s="167" t="str">
        <x:v>posterior_mmd</x:v>
      </x:c>
      <x:c r="G296" s="167" t="str">
        <x:v>raw NPE-analytical [0, q95]</x:v>
      </x:c>
      <x:c r="H296" s="168" t="n">
        <x:v>0</x:v>
      </x:c>
      <x:c r="I296" s="168" t="n">
        <x:v>0.0144659042</x:v>
      </x:c>
      <x:c r="J296" s="169" t="n">
        <x:v>348</x:v>
      </x:c>
      <x:c r="K296" s="169" t="n">
        <x:v>55</x:v>
      </x:c>
      <x:c r="L296" s="169" t="n">
        <x:v>5</x:v>
      </x:c>
      <x:c r="M296" s="169" t="n">
        <x:v>192</x:v>
      </x:c>
      <x:c r="N296" s="169" t="n">
        <x:v>600</x:v>
      </x:c>
      <x:c r="O296" s="219" t="n">
        <x:v>0.014164305949008499</x:v>
      </x:c>
      <x:c r="P296" s="269" t="n">
        <x:v>0.22267206477732793</x:v>
      </x:c>
      <x:c r="Q296" s="219" t="n">
        <x:v>0.9206349206349206</x:v>
      </x:c>
      <x:c r="R296" s="269" t="n">
        <x:v>0.9484809212</x:v>
      </x:c>
    </x:row>
    <x:row r="297">
      <x:c r="A297" s="167" t="str">
        <x:v>Gaussian</x:v>
      </x:c>
      <x:c r="B297" s="167" t="str">
        <x:v>simulated</x:v>
      </x:c>
      <x:c r="C297" s="167" t="str">
        <x:v>mmd</x:v>
      </x:c>
      <x:c r="D297" s="167" t="str">
        <x:v>m1</x:v>
      </x:c>
      <x:c r="E297" s="167" t="str">
        <x:v>S=2D</x:v>
      </x:c>
      <x:c r="F297" s="167" t="str">
        <x:v>posterior_mmd</x:v>
      </x:c>
      <x:c r="G297" s="167" t="str">
        <x:v>raw NPE-analytical [0, q95]</x:v>
      </x:c>
      <x:c r="H297" s="168" t="n">
        <x:v>0</x:v>
      </x:c>
      <x:c r="I297" s="168" t="n">
        <x:v>0.0144659042</x:v>
      </x:c>
      <x:c r="J297" s="169" t="n">
        <x:v>219</x:v>
      </x:c>
      <x:c r="K297" s="169" t="n">
        <x:v>19</x:v>
      </x:c>
      <x:c r="L297" s="169" t="n">
        <x:v>134</x:v>
      </x:c>
      <x:c r="M297" s="169" t="n">
        <x:v>228</x:v>
      </x:c>
      <x:c r="N297" s="169" t="n">
        <x:v>600</x:v>
      </x:c>
      <x:c r="O297" s="269" t="n">
        <x:v>0.37960339943342775</x:v>
      </x:c>
      <x:c r="P297" s="269" t="n">
        <x:v>0.07692307692307693</x:v>
      </x:c>
      <x:c r="Q297" s="269" t="n">
        <x:v>0.7411167512690355</x:v>
      </x:c>
      <x:c r="R297" s="269" t="n">
        <x:v>0.8114484293</x:v>
      </x:c>
    </x:row>
    <x:row r="298">
      <x:c r="A298" s="167" t="str">
        <x:v>Gaussian</x:v>
      </x:c>
      <x:c r="B298" s="167" t="str">
        <x:v>simulated</x:v>
      </x:c>
      <x:c r="C298" s="167" t="str">
        <x:v>l2</x:v>
      </x:c>
      <x:c r="D298" s="167" t="str">
        <x:v>m1</x:v>
      </x:c>
      <x:c r="E298" s="167" t="str">
        <x:v>S=4D</x:v>
      </x:c>
      <x:c r="F298" s="167" t="str">
        <x:v>posterior_mmd</x:v>
      </x:c>
      <x:c r="G298" s="167" t="str">
        <x:v>raw NPE-analytical [0, q95]</x:v>
      </x:c>
      <x:c r="H298" s="168" t="n">
        <x:v>0</x:v>
      </x:c>
      <x:c r="I298" s="168" t="n">
        <x:v>0.0142952919</x:v>
      </x:c>
      <x:c r="J298" s="169" t="n">
        <x:v>347</x:v>
      </x:c>
      <x:c r="K298" s="169" t="n">
        <x:v>51</x:v>
      </x:c>
      <x:c r="L298" s="169" t="n">
        <x:v>6</x:v>
      </x:c>
      <x:c r="M298" s="169" t="n">
        <x:v>196</x:v>
      </x:c>
      <x:c r="N298" s="169" t="n">
        <x:v>600</x:v>
      </x:c>
      <x:c r="O298" s="269" t="n">
        <x:v>0.0169971671388102</x:v>
      </x:c>
      <x:c r="P298" s="269" t="n">
        <x:v>0.20647773279352227</x:v>
      </x:c>
      <x:c r="Q298" s="219" t="n">
        <x:v>0.9241011984021305</x:v>
      </x:c>
      <x:c r="R298" s="219" t="n">
        <x:v>0.9781743529</x:v>
      </x:c>
    </x:row>
    <x:row r="299">
      <x:c r="A299" s="167" t="str">
        <x:v>Gaussian</x:v>
      </x:c>
      <x:c r="B299" s="167" t="str">
        <x:v>simulated</x:v>
      </x:c>
      <x:c r="C299" s="167" t="str">
        <x:v>linf</x:v>
      </x:c>
      <x:c r="D299" s="167" t="str">
        <x:v>m1</x:v>
      </x:c>
      <x:c r="E299" s="167" t="str">
        <x:v>S=4D</x:v>
      </x:c>
      <x:c r="F299" s="167" t="str">
        <x:v>posterior_mmd</x:v>
      </x:c>
      <x:c r="G299" s="167" t="str">
        <x:v>raw NPE-analytical [0, q95]</x:v>
      </x:c>
      <x:c r="H299" s="168" t="n">
        <x:v>0</x:v>
      </x:c>
      <x:c r="I299" s="168" t="n">
        <x:v>0.0142952919</x:v>
      </x:c>
      <x:c r="J299" s="169" t="n">
        <x:v>311</x:v>
      </x:c>
      <x:c r="K299" s="169" t="n">
        <x:v>23</x:v>
      </x:c>
      <x:c r="L299" s="169" t="n">
        <x:v>39</x:v>
      </x:c>
      <x:c r="M299" s="169" t="n">
        <x:v>227</x:v>
      </x:c>
      <x:c r="N299" s="169" t="n">
        <x:v>600</x:v>
      </x:c>
      <x:c r="O299" s="269" t="n">
        <x:v>0.11142857142857143</x:v>
      </x:c>
      <x:c r="P299" s="219" t="n">
        <x:v>0.092</x:v>
      </x:c>
      <x:c r="Q299" s="269" t="n">
        <x:v>0.9093567251461988</x:v>
      </x:c>
      <x:c r="R299" s="269" t="n">
        <x:v>0.9641485714</x:v>
      </x:c>
    </x:row>
    <x:row r="300">
      <x:c r="A300" s="167" t="str">
        <x:v>Gaussian</x:v>
      </x:c>
      <x:c r="B300" s="167" t="str">
        <x:v>simulated</x:v>
      </x:c>
      <x:c r="C300" s="167" t="str">
        <x:v>density</x:v>
      </x:c>
      <x:c r="D300" s="167" t="str">
        <x:v>m1</x:v>
      </x:c>
      <x:c r="E300" s="167" t="str">
        <x:v>S=4D</x:v>
      </x:c>
      <x:c r="F300" s="167" t="str">
        <x:v>posterior_mmd</x:v>
      </x:c>
      <x:c r="G300" s="167" t="str">
        <x:v>raw NPE-analytical [0, q95]</x:v>
      </x:c>
      <x:c r="H300" s="168" t="n">
        <x:v>0</x:v>
      </x:c>
      <x:c r="I300" s="168" t="n">
        <x:v>0.0142952919</x:v>
      </x:c>
      <x:c r="J300" s="169" t="n">
        <x:v>348</x:v>
      </x:c>
      <x:c r="K300" s="169" t="n">
        <x:v>85</x:v>
      </x:c>
      <x:c r="L300" s="169" t="n">
        <x:v>5</x:v>
      </x:c>
      <x:c r="M300" s="169" t="n">
        <x:v>162</x:v>
      </x:c>
      <x:c r="N300" s="169" t="n">
        <x:v>600</x:v>
      </x:c>
      <x:c r="O300" s="219" t="n">
        <x:v>0.014164305949008499</x:v>
      </x:c>
      <x:c r="P300" s="269" t="n">
        <x:v>0.3441295546558704</x:v>
      </x:c>
      <x:c r="Q300" s="269" t="n">
        <x:v>0.8854961832061069</x:v>
      </x:c>
      <x:c r="R300" s="269" t="n">
        <x:v>0.928834398</x:v>
      </x:c>
    </x:row>
    <x:row r="301">
      <x:c r="A301" s="167" t="str">
        <x:v>Gaussian</x:v>
      </x:c>
      <x:c r="B301" s="167" t="str">
        <x:v>simulated</x:v>
      </x:c>
      <x:c r="C301" s="167" t="str">
        <x:v>mmd</x:v>
      </x:c>
      <x:c r="D301" s="167" t="str">
        <x:v>m1</x:v>
      </x:c>
      <x:c r="E301" s="167" t="str">
        <x:v>S=4D</x:v>
      </x:c>
      <x:c r="F301" s="167" t="str">
        <x:v>posterior_mmd</x:v>
      </x:c>
      <x:c r="G301" s="167" t="str">
        <x:v>raw NPE-analytical [0, q95]</x:v>
      </x:c>
      <x:c r="H301" s="168" t="n">
        <x:v>0</x:v>
      </x:c>
      <x:c r="I301" s="168" t="n">
        <x:v>0.0142952919</x:v>
      </x:c>
      <x:c r="J301" s="169" t="n">
        <x:v>269</x:v>
      </x:c>
      <x:c r="K301" s="169" t="n">
        <x:v>26</x:v>
      </x:c>
      <x:c r="L301" s="169" t="n">
        <x:v>84</x:v>
      </x:c>
      <x:c r="M301" s="169" t="n">
        <x:v>221</x:v>
      </x:c>
      <x:c r="N301" s="169" t="n">
        <x:v>600</x:v>
      </x:c>
      <x:c r="O301" s="269" t="n">
        <x:v>0.23796033994334279</x:v>
      </x:c>
      <x:c r="P301" s="269" t="n">
        <x:v>0.10526315789473684</x:v>
      </x:c>
      <x:c r="Q301" s="269" t="n">
        <x:v>0.8302469135802469</x:v>
      </x:c>
      <x:c r="R301" s="269" t="n">
        <x:v>0.8766386439</x:v>
      </x:c>
    </x:row>
    <x:row r="302">
      <x:c r="A302" s="167" t="str">
        <x:v>Gaussian</x:v>
      </x:c>
      <x:c r="B302" s="167" t="str">
        <x:v>simulated</x:v>
      </x:c>
      <x:c r="C302" s="167" t="str">
        <x:v>l2</x:v>
      </x:c>
      <x:c r="D302" s="167" t="str">
        <x:v>m2</x:v>
      </x:c>
      <x:c r="E302" s="167" t="str">
        <x:v>S=D</x:v>
      </x:c>
      <x:c r="F302" s="167" t="str">
        <x:v>posterior_mmd</x:v>
      </x:c>
      <x:c r="G302" s="167" t="str">
        <x:v>raw NPE-analytical [0, q95]</x:v>
      </x:c>
      <x:c r="H302" s="168" t="n">
        <x:v>0</x:v>
      </x:c>
      <x:c r="I302" s="168" t="n">
        <x:v>0.0142636299</x:v>
      </x:c>
      <x:c r="J302" s="169" t="n">
        <x:v>498</x:v>
      </x:c>
      <x:c r="K302" s="169" t="n">
        <x:v>2</x:v>
      </x:c>
      <x:c r="L302" s="169" t="n">
        <x:v>55</x:v>
      </x:c>
      <x:c r="M302" s="169" t="n">
        <x:v>45</x:v>
      </x:c>
      <x:c r="N302" s="169" t="n">
        <x:v>600</x:v>
      </x:c>
      <x:c r="O302" s="269" t="n">
        <x:v>0.09945750452079566</x:v>
      </x:c>
      <x:c r="P302" s="269" t="n">
        <x:v>0.0425531914893617</x:v>
      </x:c>
      <x:c r="Q302" s="269" t="n">
        <x:v>0.9458689458689459</x:v>
      </x:c>
      <x:c r="R302" s="269" t="n">
        <x:v>0.9626024393</x:v>
      </x:c>
    </x:row>
    <x:row r="303">
      <x:c r="A303" s="167" t="str">
        <x:v>Gaussian</x:v>
      </x:c>
      <x:c r="B303" s="167" t="str">
        <x:v>simulated</x:v>
      </x:c>
      <x:c r="C303" s="167" t="str">
        <x:v>linf</x:v>
      </x:c>
      <x:c r="D303" s="167" t="str">
        <x:v>m2</x:v>
      </x:c>
      <x:c r="E303" s="167" t="str">
        <x:v>S=D</x:v>
      </x:c>
      <x:c r="F303" s="167" t="str">
        <x:v>posterior_mmd</x:v>
      </x:c>
      <x:c r="G303" s="167" t="str">
        <x:v>raw NPE-analytical [0, q95]</x:v>
      </x:c>
      <x:c r="H303" s="168" t="n">
        <x:v>0</x:v>
      </x:c>
      <x:c r="I303" s="168" t="n">
        <x:v>0.0142636299</x:v>
      </x:c>
      <x:c r="J303" s="169" t="n">
        <x:v>462</x:v>
      </x:c>
      <x:c r="K303" s="169" t="n">
        <x:v>4</x:v>
      </x:c>
      <x:c r="L303" s="169" t="n">
        <x:v>90</x:v>
      </x:c>
      <x:c r="M303" s="169" t="n">
        <x:v>44</x:v>
      </x:c>
      <x:c r="N303" s="169" t="n">
        <x:v>600</x:v>
      </x:c>
      <x:c r="O303" s="269" t="n">
        <x:v>0.16304347826086957</x:v>
      </x:c>
      <x:c r="P303" s="269" t="n">
        <x:v>0.08333333333333333</x:v>
      </x:c>
      <x:c r="Q303" s="269" t="n">
        <x:v>0.9076620825147348</x:v>
      </x:c>
      <x:c r="R303" s="269" t="n">
        <x:v>0.9455766908</x:v>
      </x:c>
    </x:row>
    <x:row r="304">
      <x:c r="A304" s="167" t="str">
        <x:v>Gaussian</x:v>
      </x:c>
      <x:c r="B304" s="167" t="str">
        <x:v>simulated</x:v>
      </x:c>
      <x:c r="C304" s="167" t="str">
        <x:v>density</x:v>
      </x:c>
      <x:c r="D304" s="167" t="str">
        <x:v>m2</x:v>
      </x:c>
      <x:c r="E304" s="167" t="str">
        <x:v>S=D</x:v>
      </x:c>
      <x:c r="F304" s="167" t="str">
        <x:v>posterior_mmd</x:v>
      </x:c>
      <x:c r="G304" s="167" t="str">
        <x:v>raw NPE-analytical [0, q95]</x:v>
      </x:c>
      <x:c r="H304" s="168" t="n">
        <x:v>0</x:v>
      </x:c>
      <x:c r="I304" s="168" t="n">
        <x:v>0.0142636299</x:v>
      </x:c>
      <x:c r="J304" s="169" t="n">
        <x:v>451</x:v>
      </x:c>
      <x:c r="K304" s="169" t="n">
        <x:v>1</x:v>
      </x:c>
      <x:c r="L304" s="169" t="n">
        <x:v>102</x:v>
      </x:c>
      <x:c r="M304" s="169" t="n">
        <x:v>46</x:v>
      </x:c>
      <x:c r="N304" s="169" t="n">
        <x:v>600</x:v>
      </x:c>
      <x:c r="O304" s="269" t="n">
        <x:v>0.1844484629294756</x:v>
      </x:c>
      <x:c r="P304" s="219" t="n">
        <x:v>0.02127659574468085</x:v>
      </x:c>
      <x:c r="Q304" s="269" t="n">
        <x:v>0.8975124378109453</x:v>
      </x:c>
      <x:c r="R304" s="269" t="n">
        <x:v>0.9502135355</x:v>
      </x:c>
    </x:row>
    <x:row r="305">
      <x:c r="A305" s="167" t="str">
        <x:v>Gaussian</x:v>
      </x:c>
      <x:c r="B305" s="167" t="str">
        <x:v>simulated</x:v>
      </x:c>
      <x:c r="C305" s="167" t="str">
        <x:v>mmd</x:v>
      </x:c>
      <x:c r="D305" s="167" t="str">
        <x:v>m2</x:v>
      </x:c>
      <x:c r="E305" s="167" t="str">
        <x:v>S=D</x:v>
      </x:c>
      <x:c r="F305" s="167" t="str">
        <x:v>posterior_mmd</x:v>
      </x:c>
      <x:c r="G305" s="167" t="str">
        <x:v>raw NPE-analytical [0, q95]</x:v>
      </x:c>
      <x:c r="H305" s="168" t="n">
        <x:v>0</x:v>
      </x:c>
      <x:c r="I305" s="168" t="n">
        <x:v>0.0142636299</x:v>
      </x:c>
      <x:c r="J305" s="169" t="n">
        <x:v>500</x:v>
      </x:c>
      <x:c r="K305" s="169" t="n">
        <x:v>2</x:v>
      </x:c>
      <x:c r="L305" s="169" t="n">
        <x:v>53</x:v>
      </x:c>
      <x:c r="M305" s="169" t="n">
        <x:v>45</x:v>
      </x:c>
      <x:c r="N305" s="169" t="n">
        <x:v>600</x:v>
      </x:c>
      <x:c r="O305" s="219" t="n">
        <x:v>0.09584086799276673</x:v>
      </x:c>
      <x:c r="P305" s="269" t="n">
        <x:v>0.0425531914893617</x:v>
      </x:c>
      <x:c r="Q305" s="219" t="n">
        <x:v>0.9478672985781991</x:v>
      </x:c>
      <x:c r="R305" s="219" t="n">
        <x:v>0.962948713</x:v>
      </x:c>
    </x:row>
    <x:row r="306">
      <x:c r="A306" s="167" t="str">
        <x:v>Gaussian</x:v>
      </x:c>
      <x:c r="B306" s="167" t="str">
        <x:v>simulated</x:v>
      </x:c>
      <x:c r="C306" s="167" t="str">
        <x:v>l2</x:v>
      </x:c>
      <x:c r="D306" s="167" t="str">
        <x:v>m2</x:v>
      </x:c>
      <x:c r="E306" s="167" t="str">
        <x:v>S=2D</x:v>
      </x:c>
      <x:c r="F306" s="167" t="str">
        <x:v>posterior_mmd</x:v>
      </x:c>
      <x:c r="G306" s="167" t="str">
        <x:v>raw NPE-analytical [0, q95]</x:v>
      </x:c>
      <x:c r="H306" s="168" t="n">
        <x:v>0</x:v>
      </x:c>
      <x:c r="I306" s="168" t="n">
        <x:v>0.0137629509</x:v>
      </x:c>
      <x:c r="J306" s="169" t="n">
        <x:v>550</x:v>
      </x:c>
      <x:c r="K306" s="169" t="n">
        <x:v>3</x:v>
      </x:c>
      <x:c r="L306" s="169" t="n">
        <x:v>2</x:v>
      </x:c>
      <x:c r="M306" s="169" t="n">
        <x:v>45</x:v>
      </x:c>
      <x:c r="N306" s="169" t="n">
        <x:v>600</x:v>
      </x:c>
      <x:c r="O306" s="219" t="n">
        <x:v>0.0036231884057971015</x:v>
      </x:c>
      <x:c r="P306" s="269" t="n">
        <x:v>0.0625</x:v>
      </x:c>
      <x:c r="Q306" s="219" t="n">
        <x:v>0.995475113122172</x:v>
      </x:c>
      <x:c r="R306" s="219" t="n">
        <x:v>0.9994716184</x:v>
      </x:c>
    </x:row>
    <x:row r="307">
      <x:c r="A307" s="167" t="str">
        <x:v>Gaussian</x:v>
      </x:c>
      <x:c r="B307" s="167" t="str">
        <x:v>simulated</x:v>
      </x:c>
      <x:c r="C307" s="167" t="str">
        <x:v>linf</x:v>
      </x:c>
      <x:c r="D307" s="167" t="str">
        <x:v>m2</x:v>
      </x:c>
      <x:c r="E307" s="167" t="str">
        <x:v>S=2D</x:v>
      </x:c>
      <x:c r="F307" s="167" t="str">
        <x:v>posterior_mmd</x:v>
      </x:c>
      <x:c r="G307" s="167" t="str">
        <x:v>raw NPE-analytical [0, q95]</x:v>
      </x:c>
      <x:c r="H307" s="168" t="n">
        <x:v>0</x:v>
      </x:c>
      <x:c r="I307" s="168" t="n">
        <x:v>0.0137629509</x:v>
      </x:c>
      <x:c r="J307" s="169" t="n">
        <x:v>533</x:v>
      </x:c>
      <x:c r="K307" s="169" t="n">
        <x:v>1</x:v>
      </x:c>
      <x:c r="L307" s="169" t="n">
        <x:v>24</x:v>
      </x:c>
      <x:c r="M307" s="169" t="n">
        <x:v>42</x:v>
      </x:c>
      <x:c r="N307" s="169" t="n">
        <x:v>600</x:v>
      </x:c>
      <x:c r="O307" s="269" t="n">
        <x:v>0.04308797127468582</x:v>
      </x:c>
      <x:c r="P307" s="219" t="n">
        <x:v>0.023255813953488372</x:v>
      </x:c>
      <x:c r="Q307" s="269" t="n">
        <x:v>0.9770852428964253</x:v>
      </x:c>
      <x:c r="R307" s="269" t="n">
        <x:v>0.9904388126</x:v>
      </x:c>
    </x:row>
    <x:row r="308">
      <x:c r="A308" s="167" t="str">
        <x:v>Gaussian</x:v>
      </x:c>
      <x:c r="B308" s="167" t="str">
        <x:v>simulated</x:v>
      </x:c>
      <x:c r="C308" s="167" t="str">
        <x:v>density</x:v>
      </x:c>
      <x:c r="D308" s="167" t="str">
        <x:v>m2</x:v>
      </x:c>
      <x:c r="E308" s="167" t="str">
        <x:v>S=2D</x:v>
      </x:c>
      <x:c r="F308" s="167" t="str">
        <x:v>posterior_mmd</x:v>
      </x:c>
      <x:c r="G308" s="167" t="str">
        <x:v>raw NPE-analytical [0, q95]</x:v>
      </x:c>
      <x:c r="H308" s="168" t="n">
        <x:v>0</x:v>
      </x:c>
      <x:c r="I308" s="168" t="n">
        <x:v>0.0137629509</x:v>
      </x:c>
      <x:c r="J308" s="169" t="n">
        <x:v>548</x:v>
      </x:c>
      <x:c r="K308" s="169" t="n">
        <x:v>3</x:v>
      </x:c>
      <x:c r="L308" s="169" t="n">
        <x:v>4</x:v>
      </x:c>
      <x:c r="M308" s="169" t="n">
        <x:v>45</x:v>
      </x:c>
      <x:c r="N308" s="169" t="n">
        <x:v>600</x:v>
      </x:c>
      <x:c r="O308" s="269" t="n">
        <x:v>0.007246376811594203</x:v>
      </x:c>
      <x:c r="P308" s="269" t="n">
        <x:v>0.0625</x:v>
      </x:c>
      <x:c r="Q308" s="269" t="n">
        <x:v>0.9936536718041704</x:v>
      </x:c>
      <x:c r="R308" s="269" t="n">
        <x:v>0.9984525966</x:v>
      </x:c>
    </x:row>
    <x:row r="309">
      <x:c r="A309" s="167" t="str">
        <x:v>Gaussian</x:v>
      </x:c>
      <x:c r="B309" s="167" t="str">
        <x:v>simulated</x:v>
      </x:c>
      <x:c r="C309" s="167" t="str">
        <x:v>mmd</x:v>
      </x:c>
      <x:c r="D309" s="167" t="str">
        <x:v>m2</x:v>
      </x:c>
      <x:c r="E309" s="167" t="str">
        <x:v>S=2D</x:v>
      </x:c>
      <x:c r="F309" s="167" t="str">
        <x:v>posterior_mmd</x:v>
      </x:c>
      <x:c r="G309" s="167" t="str">
        <x:v>raw NPE-analytical [0, q95]</x:v>
      </x:c>
      <x:c r="H309" s="168" t="n">
        <x:v>0</x:v>
      </x:c>
      <x:c r="I309" s="168" t="n">
        <x:v>0.0137629509</x:v>
      </x:c>
      <x:c r="J309" s="169" t="n">
        <x:v>530</x:v>
      </x:c>
      <x:c r="K309" s="169" t="n">
        <x:v>3</x:v>
      </x:c>
      <x:c r="L309" s="169" t="n">
        <x:v>22</x:v>
      </x:c>
      <x:c r="M309" s="169" t="n">
        <x:v>45</x:v>
      </x:c>
      <x:c r="N309" s="169" t="n">
        <x:v>600</x:v>
      </x:c>
      <x:c r="O309" s="269" t="n">
        <x:v>0.03985507246376811</x:v>
      </x:c>
      <x:c r="P309" s="269" t="n">
        <x:v>0.0625</x:v>
      </x:c>
      <x:c r="Q309" s="269" t="n">
        <x:v>0.9769585253456221</x:v>
      </x:c>
      <x:c r="R309" s="269" t="n">
        <x:v>0.9908665459</x:v>
      </x:c>
    </x:row>
    <x:row r="310">
      <x:c r="A310" s="167" t="str">
        <x:v>Gaussian</x:v>
      </x:c>
      <x:c r="B310" s="167" t="str">
        <x:v>simulated</x:v>
      </x:c>
      <x:c r="C310" s="167" t="str">
        <x:v>l2</x:v>
      </x:c>
      <x:c r="D310" s="167" t="str">
        <x:v>m2</x:v>
      </x:c>
      <x:c r="E310" s="167" t="str">
        <x:v>S=4D</x:v>
      </x:c>
      <x:c r="F310" s="167" t="str">
        <x:v>posterior_mmd</x:v>
      </x:c>
      <x:c r="G310" s="167" t="str">
        <x:v>raw NPE-analytical [0, q95]</x:v>
      </x:c>
      <x:c r="H310" s="168" t="n">
        <x:v>0</x:v>
      </x:c>
      <x:c r="I310" s="168" t="n">
        <x:v>0.0143135071</x:v>
      </x:c>
      <x:c r="J310" s="169" t="n">
        <x:v>550</x:v>
      </x:c>
      <x:c r="K310" s="169" t="n">
        <x:v>1</x:v>
      </x:c>
      <x:c r="L310" s="169" t="n">
        <x:v>5</x:v>
      </x:c>
      <x:c r="M310" s="169" t="n">
        <x:v>44</x:v>
      </x:c>
      <x:c r="N310" s="169" t="n">
        <x:v>600</x:v>
      </x:c>
      <x:c r="O310" s="219" t="n">
        <x:v>0.009009009009009009</x:v>
      </x:c>
      <x:c r="P310" s="219" t="n">
        <x:v>0.022222222222222223</x:v>
      </x:c>
      <x:c r="Q310" s="219" t="n">
        <x:v>0.9945750452079566</x:v>
      </x:c>
      <x:c r="R310" s="219" t="n">
        <x:v>0.9993193193</x:v>
      </x:c>
    </x:row>
    <x:row r="311">
      <x:c r="A311" s="167" t="str">
        <x:v>Gaussian</x:v>
      </x:c>
      <x:c r="B311" s="167" t="str">
        <x:v>simulated</x:v>
      </x:c>
      <x:c r="C311" s="167" t="str">
        <x:v>linf</x:v>
      </x:c>
      <x:c r="D311" s="167" t="str">
        <x:v>m2</x:v>
      </x:c>
      <x:c r="E311" s="167" t="str">
        <x:v>S=4D</x:v>
      </x:c>
      <x:c r="F311" s="167" t="str">
        <x:v>posterior_mmd</x:v>
      </x:c>
      <x:c r="G311" s="167" t="str">
        <x:v>raw NPE-analytical [0, q95]</x:v>
      </x:c>
      <x:c r="H311" s="168" t="n">
        <x:v>0</x:v>
      </x:c>
      <x:c r="I311" s="168" t="n">
        <x:v>0.0143135071</x:v>
      </x:c>
      <x:c r="J311" s="169" t="n">
        <x:v>523</x:v>
      </x:c>
      <x:c r="K311" s="169" t="n">
        <x:v>2</x:v>
      </x:c>
      <x:c r="L311" s="169" t="n">
        <x:v>34</x:v>
      </x:c>
      <x:c r="M311" s="169" t="n">
        <x:v>41</x:v>
      </x:c>
      <x:c r="N311" s="169" t="n">
        <x:v>600</x:v>
      </x:c>
      <x:c r="O311" s="269" t="n">
        <x:v>0.06104129263913824</x:v>
      </x:c>
      <x:c r="P311" s="269" t="n">
        <x:v>0.046511627906976744</x:v>
      </x:c>
      <x:c r="Q311" s="269" t="n">
        <x:v>0.966728280961183</x:v>
      </x:c>
      <x:c r="R311" s="269" t="n">
        <x:v>0.9845935452</x:v>
      </x:c>
    </x:row>
    <x:row r="312">
      <x:c r="A312" s="167" t="str">
        <x:v>Gaussian</x:v>
      </x:c>
      <x:c r="B312" s="167" t="str">
        <x:v>simulated</x:v>
      </x:c>
      <x:c r="C312" s="167" t="str">
        <x:v>density</x:v>
      </x:c>
      <x:c r="D312" s="167" t="str">
        <x:v>m2</x:v>
      </x:c>
      <x:c r="E312" s="167" t="str">
        <x:v>S=4D</x:v>
      </x:c>
      <x:c r="F312" s="167" t="str">
        <x:v>posterior_mmd</x:v>
      </x:c>
      <x:c r="G312" s="167" t="str">
        <x:v>raw NPE-analytical [0, q95]</x:v>
      </x:c>
      <x:c r="H312" s="168" t="n">
        <x:v>0</x:v>
      </x:c>
      <x:c r="I312" s="168" t="n">
        <x:v>0.0143135071</x:v>
      </x:c>
      <x:c r="J312" s="169" t="n">
        <x:v>550</x:v>
      </x:c>
      <x:c r="K312" s="169" t="n">
        <x:v>3</x:v>
      </x:c>
      <x:c r="L312" s="169" t="n">
        <x:v>5</x:v>
      </x:c>
      <x:c r="M312" s="169" t="n">
        <x:v>42</x:v>
      </x:c>
      <x:c r="N312" s="169" t="n">
        <x:v>600</x:v>
      </x:c>
      <x:c r="O312" s="219" t="n">
        <x:v>0.009009009009009009</x:v>
      </x:c>
      <x:c r="P312" s="269" t="n">
        <x:v>0.06666666666666667</x:v>
      </x:c>
      <x:c r="Q312" s="269" t="n">
        <x:v>0.9927797833935018</x:v>
      </x:c>
      <x:c r="R312" s="269" t="n">
        <x:v>0.9978778779</x:v>
      </x:c>
    </x:row>
    <x:row r="313">
      <x:c r="A313" s="167" t="str">
        <x:v>Gaussian</x:v>
      </x:c>
      <x:c r="B313" s="167" t="str">
        <x:v>simulated</x:v>
      </x:c>
      <x:c r="C313" s="167" t="str">
        <x:v>mmd</x:v>
      </x:c>
      <x:c r="D313" s="167" t="str">
        <x:v>m2</x:v>
      </x:c>
      <x:c r="E313" s="167" t="str">
        <x:v>S=4D</x:v>
      </x:c>
      <x:c r="F313" s="167" t="str">
        <x:v>posterior_mmd</x:v>
      </x:c>
      <x:c r="G313" s="167" t="str">
        <x:v>raw NPE-analytical [0, q95]</x:v>
      </x:c>
      <x:c r="H313" s="168" t="n">
        <x:v>0</x:v>
      </x:c>
      <x:c r="I313" s="168" t="n">
        <x:v>0.0143135071</x:v>
      </x:c>
      <x:c r="J313" s="169" t="n">
        <x:v>542</x:v>
      </x:c>
      <x:c r="K313" s="169" t="n">
        <x:v>1</x:v>
      </x:c>
      <x:c r="L313" s="169" t="n">
        <x:v>13</x:v>
      </x:c>
      <x:c r="M313" s="169" t="n">
        <x:v>44</x:v>
      </x:c>
      <x:c r="N313" s="169" t="n">
        <x:v>600</x:v>
      </x:c>
      <x:c r="O313" s="269" t="n">
        <x:v>0.023423423423423424</x:v>
      </x:c>
      <x:c r="P313" s="219" t="n">
        <x:v>0.022222222222222223</x:v>
      </x:c>
      <x:c r="Q313" s="269" t="n">
        <x:v>0.9872495446265938</x:v>
      </x:c>
      <x:c r="R313" s="269" t="n">
        <x:v>0.9980780781</x:v>
      </x:c>
    </x:row>
    <x:row r="314">
      <x:c r="A314" s="167" t="str">
        <x:v>Gaussian</x:v>
      </x:c>
      <x:c r="B314" s="167" t="str">
        <x:v>simulated</x:v>
      </x:c>
      <x:c r="C314" s="167" t="str">
        <x:v>l2</x:v>
      </x:c>
      <x:c r="D314" s="167" t="str">
        <x:v>m3</x:v>
      </x:c>
      <x:c r="E314" s="167" t="str">
        <x:v>S=D</x:v>
      </x:c>
      <x:c r="F314" s="167" t="str">
        <x:v>posterior_mmd</x:v>
      </x:c>
      <x:c r="G314" s="167" t="str">
        <x:v>raw NPE-analytical [0, q95]</x:v>
      </x:c>
      <x:c r="H314" s="168" t="n">
        <x:v>0</x:v>
      </x:c>
      <x:c r="I314" s="168" t="n">
        <x:v>0.0480854511</x:v>
      </x:c>
      <x:c r="J314" s="169" t="n">
        <x:v>321</x:v>
      </x:c>
      <x:c r="K314" s="169" t="n">
        <x:v>70</x:v>
      </x:c>
      <x:c r="L314" s="169" t="n">
        <x:v>51</x:v>
      </x:c>
      <x:c r="M314" s="169" t="n">
        <x:v>158</x:v>
      </x:c>
      <x:c r="N314" s="169" t="n">
        <x:v>600</x:v>
      </x:c>
      <x:c r="O314" s="219" t="n">
        <x:v>0.13709677419354838</x:v>
      </x:c>
      <x:c r="P314" s="269" t="n">
        <x:v>0.30701754385964913</x:v>
      </x:c>
      <x:c r="Q314" s="219" t="n">
        <x:v>0.8414154652686763</x:v>
      </x:c>
      <x:c r="R314" s="269" t="n">
        <x:v>0.7720241464</x:v>
      </x:c>
    </x:row>
    <x:row r="315">
      <x:c r="A315" s="167" t="str">
        <x:v>Gaussian</x:v>
      </x:c>
      <x:c r="B315" s="167" t="str">
        <x:v>simulated</x:v>
      </x:c>
      <x:c r="C315" s="167" t="str">
        <x:v>linf</x:v>
      </x:c>
      <x:c r="D315" s="167" t="str">
        <x:v>m3</x:v>
      </x:c>
      <x:c r="E315" s="167" t="str">
        <x:v>S=D</x:v>
      </x:c>
      <x:c r="F315" s="167" t="str">
        <x:v>posterior_mmd</x:v>
      </x:c>
      <x:c r="G315" s="167" t="str">
        <x:v>raw NPE-analytical [0, q95]</x:v>
      </x:c>
      <x:c r="H315" s="168" t="n">
        <x:v>0</x:v>
      </x:c>
      <x:c r="I315" s="168" t="n">
        <x:v>0.0480854511</x:v>
      </x:c>
      <x:c r="J315" s="169" t="n">
        <x:v>280</x:v>
      </x:c>
      <x:c r="K315" s="169" t="n">
        <x:v>68</x:v>
      </x:c>
      <x:c r="L315" s="169" t="n">
        <x:v>94</x:v>
      </x:c>
      <x:c r="M315" s="169" t="n">
        <x:v>158</x:v>
      </x:c>
      <x:c r="N315" s="169" t="n">
        <x:v>600</x:v>
      </x:c>
      <x:c r="O315" s="269" t="n">
        <x:v>0.25133689839572193</x:v>
      </x:c>
      <x:c r="P315" s="269" t="n">
        <x:v>0.3008849557522124</x:v>
      </x:c>
      <x:c r="Q315" s="269" t="n">
        <x:v>0.775623268698061</x:v>
      </x:c>
      <x:c r="R315" s="219" t="n">
        <x:v>0.7747030429</x:v>
      </x:c>
    </x:row>
    <x:row r="316">
      <x:c r="A316" s="167" t="str">
        <x:v>Gaussian</x:v>
      </x:c>
      <x:c r="B316" s="167" t="str">
        <x:v>simulated</x:v>
      </x:c>
      <x:c r="C316" s="167" t="str">
        <x:v>density</x:v>
      </x:c>
      <x:c r="D316" s="167" t="str">
        <x:v>m3</x:v>
      </x:c>
      <x:c r="E316" s="167" t="str">
        <x:v>S=D</x:v>
      </x:c>
      <x:c r="F316" s="167" t="str">
        <x:v>posterior_mmd</x:v>
      </x:c>
      <x:c r="G316" s="167" t="str">
        <x:v>raw NPE-analytical [0, q95]</x:v>
      </x:c>
      <x:c r="H316" s="168" t="n">
        <x:v>0</x:v>
      </x:c>
      <x:c r="I316" s="168" t="n">
        <x:v>0.0480854511</x:v>
      </x:c>
      <x:c r="J316" s="169" t="n">
        <x:v>228</x:v>
      </x:c>
      <x:c r="K316" s="169" t="n">
        <x:v>57</x:v>
      </x:c>
      <x:c r="L316" s="169" t="n">
        <x:v>144</x:v>
      </x:c>
      <x:c r="M316" s="169" t="n">
        <x:v>171</x:v>
      </x:c>
      <x:c r="N316" s="169" t="n">
        <x:v>600</x:v>
      </x:c>
      <x:c r="O316" s="269" t="n">
        <x:v>0.3870967741935484</x:v>
      </x:c>
      <x:c r="P316" s="219" t="n">
        <x:v>0.25</x:v>
      </x:c>
      <x:c r="Q316" s="269" t="n">
        <x:v>0.6940639269406392</x:v>
      </x:c>
      <x:c r="R316" s="269" t="n">
        <x:v>0.7660818713</x:v>
      </x:c>
    </x:row>
    <x:row r="317">
      <x:c r="A317" s="167" t="str">
        <x:v>Gaussian</x:v>
      </x:c>
      <x:c r="B317" s="167" t="str">
        <x:v>simulated</x:v>
      </x:c>
      <x:c r="C317" s="167" t="str">
        <x:v>mmd</x:v>
      </x:c>
      <x:c r="D317" s="167" t="str">
        <x:v>m3</x:v>
      </x:c>
      <x:c r="E317" s="167" t="str">
        <x:v>S=D</x:v>
      </x:c>
      <x:c r="F317" s="167" t="str">
        <x:v>posterior_mmd</x:v>
      </x:c>
      <x:c r="G317" s="167" t="str">
        <x:v>raw NPE-analytical [0, q95]</x:v>
      </x:c>
      <x:c r="H317" s="168" t="n">
        <x:v>0</x:v>
      </x:c>
      <x:c r="I317" s="168" t="n">
        <x:v>0.0480854511</x:v>
      </x:c>
      <x:c r="J317" s="169" t="n">
        <x:v>320</x:v>
      </x:c>
      <x:c r="K317" s="169" t="n">
        <x:v>70</x:v>
      </x:c>
      <x:c r="L317" s="169" t="n">
        <x:v>52</x:v>
      </x:c>
      <x:c r="M317" s="169" t="n">
        <x:v>158</x:v>
      </x:c>
      <x:c r="N317" s="169" t="n">
        <x:v>600</x:v>
      </x:c>
      <x:c r="O317" s="269" t="n">
        <x:v>0.13978494623655913</x:v>
      </x:c>
      <x:c r="P317" s="269" t="n">
        <x:v>0.30701754385964913</x:v>
      </x:c>
      <x:c r="Q317" s="269" t="n">
        <x:v>0.8398950131233596</x:v>
      </x:c>
      <x:c r="R317" s="269" t="n">
        <x:v>0.7742053386</x:v>
      </x:c>
    </x:row>
    <x:row r="318">
      <x:c r="A318" s="167" t="str">
        <x:v>Gaussian</x:v>
      </x:c>
      <x:c r="B318" s="167" t="str">
        <x:v>simulated</x:v>
      </x:c>
      <x:c r="C318" s="167" t="str">
        <x:v>l2</x:v>
      </x:c>
      <x:c r="D318" s="167" t="str">
        <x:v>m3</x:v>
      </x:c>
      <x:c r="E318" s="167" t="str">
        <x:v>S=2D</x:v>
      </x:c>
      <x:c r="F318" s="167" t="str">
        <x:v>posterior_mmd</x:v>
      </x:c>
      <x:c r="G318" s="167" t="str">
        <x:v>raw NPE-analytical [0, q95]</x:v>
      </x:c>
      <x:c r="H318" s="168" t="n">
        <x:v>0</x:v>
      </x:c>
      <x:c r="I318" s="168" t="n">
        <x:v>0.0154314518</x:v>
      </x:c>
      <x:c r="J318" s="169" t="n">
        <x:v>406</x:v>
      </x:c>
      <x:c r="K318" s="169" t="n">
        <x:v>2</x:v>
      </x:c>
      <x:c r="L318" s="169" t="n">
        <x:v>145</x:v>
      </x:c>
      <x:c r="M318" s="169" t="n">
        <x:v>47</x:v>
      </x:c>
      <x:c r="N318" s="169" t="n">
        <x:v>600</x:v>
      </x:c>
      <x:c r="O318" s="269" t="n">
        <x:v>0.2631578947368421</x:v>
      </x:c>
      <x:c r="P318" s="269" t="n">
        <x:v>0.04081632653061224</x:v>
      </x:c>
      <x:c r="Q318" s="269" t="n">
        <x:v>0.8467153284671532</x:v>
      </x:c>
      <x:c r="R318" s="269" t="n">
        <x:v>0.8284380903</x:v>
      </x:c>
    </x:row>
    <x:row r="319">
      <x:c r="A319" s="167" t="str">
        <x:v>Gaussian</x:v>
      </x:c>
      <x:c r="B319" s="167" t="str">
        <x:v>simulated</x:v>
      </x:c>
      <x:c r="C319" s="167" t="str">
        <x:v>linf</x:v>
      </x:c>
      <x:c r="D319" s="167" t="str">
        <x:v>m3</x:v>
      </x:c>
      <x:c r="E319" s="167" t="str">
        <x:v>S=2D</x:v>
      </x:c>
      <x:c r="F319" s="167" t="str">
        <x:v>posterior_mmd</x:v>
      </x:c>
      <x:c r="G319" s="167" t="str">
        <x:v>raw NPE-analytical [0, q95]</x:v>
      </x:c>
      <x:c r="H319" s="168" t="n">
        <x:v>0</x:v>
      </x:c>
      <x:c r="I319" s="168" t="n">
        <x:v>0.0154314518</x:v>
      </x:c>
      <x:c r="J319" s="169" t="n">
        <x:v>366</x:v>
      </x:c>
      <x:c r="K319" s="169" t="n">
        <x:v>1</x:v>
      </x:c>
      <x:c r="L319" s="169" t="n">
        <x:v>185</x:v>
      </x:c>
      <x:c r="M319" s="169" t="n">
        <x:v>48</x:v>
      </x:c>
      <x:c r="N319" s="169" t="n">
        <x:v>600</x:v>
      </x:c>
      <x:c r="O319" s="269" t="n">
        <x:v>0.33575317604355714</x:v>
      </x:c>
      <x:c r="P319" s="219" t="n">
        <x:v>0.02040816326530612</x:v>
      </x:c>
      <x:c r="Q319" s="269" t="n">
        <x:v>0.7973856209150327</x:v>
      </x:c>
      <x:c r="R319" s="269" t="n">
        <x:v>0.7863624579</x:v>
      </x:c>
    </x:row>
    <x:row r="320">
      <x:c r="A320" s="167" t="str">
        <x:v>Gaussian</x:v>
      </x:c>
      <x:c r="B320" s="167" t="str">
        <x:v>simulated</x:v>
      </x:c>
      <x:c r="C320" s="167" t="str">
        <x:v>density</x:v>
      </x:c>
      <x:c r="D320" s="167" t="str">
        <x:v>m3</x:v>
      </x:c>
      <x:c r="E320" s="167" t="str">
        <x:v>S=2D</x:v>
      </x:c>
      <x:c r="F320" s="167" t="str">
        <x:v>posterior_mmd</x:v>
      </x:c>
      <x:c r="G320" s="167" t="str">
        <x:v>raw NPE-analytical [0, q95]</x:v>
      </x:c>
      <x:c r="H320" s="168" t="n">
        <x:v>0</x:v>
      </x:c>
      <x:c r="I320" s="168" t="n">
        <x:v>0.0154314518</x:v>
      </x:c>
      <x:c r="J320" s="169" t="n">
        <x:v>514</x:v>
      </x:c>
      <x:c r="K320" s="169" t="n">
        <x:v>2</x:v>
      </x:c>
      <x:c r="L320" s="169" t="n">
        <x:v>37</x:v>
      </x:c>
      <x:c r="M320" s="169" t="n">
        <x:v>47</x:v>
      </x:c>
      <x:c r="N320" s="169" t="n">
        <x:v>600</x:v>
      </x:c>
      <x:c r="O320" s="219" t="n">
        <x:v>0.06715063520871144</x:v>
      </x:c>
      <x:c r="P320" s="269" t="n">
        <x:v>0.04081632653061224</x:v>
      </x:c>
      <x:c r="Q320" s="219" t="n">
        <x:v>0.9634489222118088</x:v>
      </x:c>
      <x:c r="R320" s="219" t="n">
        <x:v>0.9921478573</x:v>
      </x:c>
    </x:row>
    <x:row r="321">
      <x:c r="A321" s="167" t="str">
        <x:v>Gaussian</x:v>
      </x:c>
      <x:c r="B321" s="167" t="str">
        <x:v>simulated</x:v>
      </x:c>
      <x:c r="C321" s="167" t="str">
        <x:v>mmd</x:v>
      </x:c>
      <x:c r="D321" s="167" t="str">
        <x:v>m3</x:v>
      </x:c>
      <x:c r="E321" s="167" t="str">
        <x:v>S=2D</x:v>
      </x:c>
      <x:c r="F321" s="167" t="str">
        <x:v>posterior_mmd</x:v>
      </x:c>
      <x:c r="G321" s="167" t="str">
        <x:v>raw NPE-analytical [0, q95]</x:v>
      </x:c>
      <x:c r="H321" s="168" t="n">
        <x:v>0</x:v>
      </x:c>
      <x:c r="I321" s="168" t="n">
        <x:v>0.0154314518</x:v>
      </x:c>
      <x:c r="J321" s="169" t="n">
        <x:v>397</x:v>
      </x:c>
      <x:c r="K321" s="169" t="n">
        <x:v>2</x:v>
      </x:c>
      <x:c r="L321" s="169" t="n">
        <x:v>154</x:v>
      </x:c>
      <x:c r="M321" s="169" t="n">
        <x:v>47</x:v>
      </x:c>
      <x:c r="N321" s="169" t="n">
        <x:v>600</x:v>
      </x:c>
      <x:c r="O321" s="269" t="n">
        <x:v>0.279491833030853</x:v>
      </x:c>
      <x:c r="P321" s="269" t="n">
        <x:v>0.04081632653061224</x:v>
      </x:c>
      <x:c r="Q321" s="269" t="n">
        <x:v>0.8357894736842105</x:v>
      </x:c>
      <x:c r="R321" s="269" t="n">
        <x:v>0.7694729434</x:v>
      </x:c>
    </x:row>
    <x:row r="322">
      <x:c r="A322" s="167" t="str">
        <x:v>Gaussian</x:v>
      </x:c>
      <x:c r="B322" s="167" t="str">
        <x:v>simulated</x:v>
      </x:c>
      <x:c r="C322" s="167" t="str">
        <x:v>l2</x:v>
      </x:c>
      <x:c r="D322" s="167" t="str">
        <x:v>m3</x:v>
      </x:c>
      <x:c r="E322" s="167" t="str">
        <x:v>S=4D</x:v>
      </x:c>
      <x:c r="F322" s="167" t="str">
        <x:v>posterior_mmd</x:v>
      </x:c>
      <x:c r="G322" s="167" t="str">
        <x:v>raw NPE-analytical [0, q95]</x:v>
      </x:c>
      <x:c r="H322" s="168" t="n">
        <x:v>0</x:v>
      </x:c>
      <x:c r="I322" s="168" t="n">
        <x:v>0.014590168</x:v>
      </x:c>
      <x:c r="J322" s="169" t="n">
        <x:v>538</x:v>
      </x:c>
      <x:c r="K322" s="169" t="n">
        <x:v>3</x:v>
      </x:c>
      <x:c r="L322" s="169" t="n">
        <x:v>13</x:v>
      </x:c>
      <x:c r="M322" s="169" t="n">
        <x:v>46</x:v>
      </x:c>
      <x:c r="N322" s="169" t="n">
        <x:v>600</x:v>
      </x:c>
      <x:c r="O322" s="269" t="n">
        <x:v>0.023593466424682397</x:v>
      </x:c>
      <x:c r="P322" s="269" t="n">
        <x:v>0.061224489795918366</x:v>
      </x:c>
      <x:c r="Q322" s="269" t="n">
        <x:v>0.9853479853479854</x:v>
      </x:c>
      <x:c r="R322" s="269" t="n">
        <x:v>0.9923330494</x:v>
      </x:c>
    </x:row>
    <x:row r="323">
      <x:c r="A323" s="167" t="str">
        <x:v>Gaussian</x:v>
      </x:c>
      <x:c r="B323" s="167" t="str">
        <x:v>simulated</x:v>
      </x:c>
      <x:c r="C323" s="167" t="str">
        <x:v>linf</x:v>
      </x:c>
      <x:c r="D323" s="167" t="str">
        <x:v>m3</x:v>
      </x:c>
      <x:c r="E323" s="167" t="str">
        <x:v>S=4D</x:v>
      </x:c>
      <x:c r="F323" s="167" t="str">
        <x:v>posterior_mmd</x:v>
      </x:c>
      <x:c r="G323" s="167" t="str">
        <x:v>raw NPE-analytical [0, q95]</x:v>
      </x:c>
      <x:c r="H323" s="168" t="n">
        <x:v>0</x:v>
      </x:c>
      <x:c r="I323" s="168" t="n">
        <x:v>0.014590168</x:v>
      </x:c>
      <x:c r="J323" s="169" t="n">
        <x:v>437</x:v>
      </x:c>
      <x:c r="K323" s="169" t="n">
        <x:v>3</x:v>
      </x:c>
      <x:c r="L323" s="169" t="n">
        <x:v>115</x:v>
      </x:c>
      <x:c r="M323" s="169" t="n">
        <x:v>45</x:v>
      </x:c>
      <x:c r="N323" s="169" t="n">
        <x:v>600</x:v>
      </x:c>
      <x:c r="O323" s="269" t="n">
        <x:v>0.20833333333333334</x:v>
      </x:c>
      <x:c r="P323" s="269" t="n">
        <x:v>0.0625</x:v>
      </x:c>
      <x:c r="Q323" s="269" t="n">
        <x:v>0.8810483870967742</x:v>
      </x:c>
      <x:c r="R323" s="269" t="n">
        <x:v>0.9433876812</x:v>
      </x:c>
    </x:row>
    <x:row r="324">
      <x:c r="A324" s="167" t="str">
        <x:v>Gaussian</x:v>
      </x:c>
      <x:c r="B324" s="167" t="str">
        <x:v>simulated</x:v>
      </x:c>
      <x:c r="C324" s="167" t="str">
        <x:v>density</x:v>
      </x:c>
      <x:c r="D324" s="167" t="str">
        <x:v>m3</x:v>
      </x:c>
      <x:c r="E324" s="167" t="str">
        <x:v>S=4D</x:v>
      </x:c>
      <x:c r="F324" s="167" t="str">
        <x:v>posterior_mmd</x:v>
      </x:c>
      <x:c r="G324" s="167" t="str">
        <x:v>raw NPE-analytical [0, q95]</x:v>
      </x:c>
      <x:c r="H324" s="168" t="n">
        <x:v>0</x:v>
      </x:c>
      <x:c r="I324" s="168" t="n">
        <x:v>0.014590168</x:v>
      </x:c>
      <x:c r="J324" s="169" t="n">
        <x:v>550</x:v>
      </x:c>
      <x:c r="K324" s="169" t="n">
        <x:v>3</x:v>
      </x:c>
      <x:c r="L324" s="169" t="n">
        <x:v>1</x:v>
      </x:c>
      <x:c r="M324" s="169" t="n">
        <x:v>46</x:v>
      </x:c>
      <x:c r="N324" s="169" t="n">
        <x:v>600</x:v>
      </x:c>
      <x:c r="O324" s="219" t="n">
        <x:v>0.0018148820326678765</x:v>
      </x:c>
      <x:c r="P324" s="269" t="n">
        <x:v>0.061224489795918366</x:v>
      </x:c>
      <x:c r="Q324" s="219" t="n">
        <x:v>0.9963768115942029</x:v>
      </x:c>
      <x:c r="R324" s="219" t="n">
        <x:v>0.9992962702</x:v>
      </x:c>
    </x:row>
    <x:row r="325">
      <x:c r="A325" s="167" t="str">
        <x:v>Gaussian</x:v>
      </x:c>
      <x:c r="B325" s="167" t="str">
        <x:v>simulated</x:v>
      </x:c>
      <x:c r="C325" s="167" t="str">
        <x:v>mmd</x:v>
      </x:c>
      <x:c r="D325" s="167" t="str">
        <x:v>m3</x:v>
      </x:c>
      <x:c r="E325" s="167" t="str">
        <x:v>S=4D</x:v>
      </x:c>
      <x:c r="F325" s="167" t="str">
        <x:v>posterior_mmd</x:v>
      </x:c>
      <x:c r="G325" s="167" t="str">
        <x:v>raw NPE-analytical [0, q95]</x:v>
      </x:c>
      <x:c r="H325" s="168" t="n">
        <x:v>0</x:v>
      </x:c>
      <x:c r="I325" s="168" t="n">
        <x:v>0.014590168</x:v>
      </x:c>
      <x:c r="J325" s="169" t="n">
        <x:v>396</x:v>
      </x:c>
      <x:c r="K325" s="169" t="n">
        <x:v>2</x:v>
      </x:c>
      <x:c r="L325" s="169" t="n">
        <x:v>155</x:v>
      </x:c>
      <x:c r="M325" s="169" t="n">
        <x:v>47</x:v>
      </x:c>
      <x:c r="N325" s="169" t="n">
        <x:v>600</x:v>
      </x:c>
      <x:c r="O325" s="269" t="n">
        <x:v>0.2813067150635209</x:v>
      </x:c>
      <x:c r="P325" s="219" t="n">
        <x:v>0.04081632653061224</x:v>
      </x:c>
      <x:c r="Q325" s="269" t="n">
        <x:v>0.8345626975763962</x:v>
      </x:c>
      <x:c r="R325" s="269" t="n">
        <x:v>0.7779177007</x:v>
      </x:c>
    </x:row>
    <x:row r="326">
      <x:c r="A326" s="167" t="str">
        <x:v>Gaussian</x:v>
      </x:c>
      <x:c r="B326" s="167" t="str">
        <x:v>simulated</x:v>
      </x:c>
      <x:c r="C326" s="167" t="str">
        <x:v>l2</x:v>
      </x:c>
      <x:c r="D326" s="167" t="str">
        <x:v>m4</x:v>
      </x:c>
      <x:c r="E326" s="167" t="str">
        <x:v>S=D</x:v>
      </x:c>
      <x:c r="F326" s="167" t="str">
        <x:v>posterior_mmd</x:v>
      </x:c>
      <x:c r="G326" s="167" t="str">
        <x:v>raw NPE-analytical [0, q95]</x:v>
      </x:c>
      <x:c r="H326" s="168" t="n">
        <x:v>0</x:v>
      </x:c>
      <x:c r="I326" s="168" t="n">
        <x:v>0.0143963337</x:v>
      </x:c>
      <x:c r="J326" s="169" t="n">
        <x:v>202</x:v>
      </x:c>
      <x:c r="K326" s="169" t="n">
        <x:v>6</x:v>
      </x:c>
      <x:c r="L326" s="169" t="n">
        <x:v>193</x:v>
      </x:c>
      <x:c r="M326" s="169" t="n">
        <x:v>199</x:v>
      </x:c>
      <x:c r="N326" s="169" t="n">
        <x:v>600</x:v>
      </x:c>
      <x:c r="O326" s="269" t="n">
        <x:v>0.48860759493670886</x:v>
      </x:c>
      <x:c r="P326" s="269" t="n">
        <x:v>0.02926829268292683</x:v>
      </x:c>
      <x:c r="Q326" s="269" t="n">
        <x:v>0.6699834162520729</x:v>
      </x:c>
      <x:c r="R326" s="269" t="n">
        <x:v>0.8641556036</x:v>
      </x:c>
    </x:row>
    <x:row r="327">
      <x:c r="A327" s="167" t="str">
        <x:v>Gaussian</x:v>
      </x:c>
      <x:c r="B327" s="167" t="str">
        <x:v>simulated</x:v>
      </x:c>
      <x:c r="C327" s="167" t="str">
        <x:v>linf</x:v>
      </x:c>
      <x:c r="D327" s="167" t="str">
        <x:v>m4</x:v>
      </x:c>
      <x:c r="E327" s="167" t="str">
        <x:v>S=D</x:v>
      </x:c>
      <x:c r="F327" s="167" t="str">
        <x:v>posterior_mmd</x:v>
      </x:c>
      <x:c r="G327" s="167" t="str">
        <x:v>raw NPE-analytical [0, q95]</x:v>
      </x:c>
      <x:c r="H327" s="168" t="n">
        <x:v>0</x:v>
      </x:c>
      <x:c r="I327" s="168" t="n">
        <x:v>0.0143963337</x:v>
      </x:c>
      <x:c r="J327" s="169" t="n">
        <x:v>202</x:v>
      </x:c>
      <x:c r="K327" s="169" t="n">
        <x:v>5</x:v>
      </x:c>
      <x:c r="L327" s="169" t="n">
        <x:v>191</x:v>
      </x:c>
      <x:c r="M327" s="169" t="n">
        <x:v>202</x:v>
      </x:c>
      <x:c r="N327" s="169" t="n">
        <x:v>600</x:v>
      </x:c>
      <x:c r="O327" s="219" t="n">
        <x:v>0.4860050890585242</x:v>
      </x:c>
      <x:c r="P327" s="219" t="n">
        <x:v>0.024154589371980676</x:v>
      </x:c>
      <x:c r="Q327" s="219" t="n">
        <x:v>0.6733333333333333</x:v>
      </x:c>
      <x:c r="R327" s="269" t="n">
        <x:v>0.8555026982</x:v>
      </x:c>
    </x:row>
    <x:row r="328">
      <x:c r="A328" s="167" t="str">
        <x:v>Gaussian</x:v>
      </x:c>
      <x:c r="B328" s="167" t="str">
        <x:v>simulated</x:v>
      </x:c>
      <x:c r="C328" s="167" t="str">
        <x:v>density</x:v>
      </x:c>
      <x:c r="D328" s="167" t="str">
        <x:v>m4</x:v>
      </x:c>
      <x:c r="E328" s="167" t="str">
        <x:v>S=D</x:v>
      </x:c>
      <x:c r="F328" s="167" t="str">
        <x:v>posterior_mmd</x:v>
      </x:c>
      <x:c r="G328" s="167" t="str">
        <x:v>raw NPE-analytical [0, q95]</x:v>
      </x:c>
      <x:c r="H328" s="168" t="n">
        <x:v>0</x:v>
      </x:c>
      <x:c r="I328" s="168" t="n">
        <x:v>0.0143963337</x:v>
      </x:c>
      <x:c r="J328" s="169" t="n">
        <x:v>199</x:v>
      </x:c>
      <x:c r="K328" s="169" t="n">
        <x:v>5</x:v>
      </x:c>
      <x:c r="L328" s="169" t="n">
        <x:v>196</x:v>
      </x:c>
      <x:c r="M328" s="169" t="n">
        <x:v>200</x:v>
      </x:c>
      <x:c r="N328" s="169" t="n">
        <x:v>600</x:v>
      </x:c>
      <x:c r="O328" s="269" t="n">
        <x:v>0.4962025316455696</x:v>
      </x:c>
      <x:c r="P328" s="269" t="n">
        <x:v>0.024390243902439025</x:v>
      </x:c>
      <x:c r="Q328" s="269" t="n">
        <x:v>0.664440734557596</x:v>
      </x:c>
      <x:c r="R328" s="219" t="n">
        <x:v>0.869527632</x:v>
      </x:c>
    </x:row>
    <x:row r="329">
      <x:c r="A329" s="167" t="str">
        <x:v>Gaussian</x:v>
      </x:c>
      <x:c r="B329" s="167" t="str">
        <x:v>simulated</x:v>
      </x:c>
      <x:c r="C329" s="167" t="str">
        <x:v>mmd</x:v>
      </x:c>
      <x:c r="D329" s="167" t="str">
        <x:v>m4</x:v>
      </x:c>
      <x:c r="E329" s="167" t="str">
        <x:v>S=D</x:v>
      </x:c>
      <x:c r="F329" s="167" t="str">
        <x:v>posterior_mmd</x:v>
      </x:c>
      <x:c r="G329" s="167" t="str">
        <x:v>raw NPE-analytical [0, q95]</x:v>
      </x:c>
      <x:c r="H329" s="168" t="n">
        <x:v>0</x:v>
      </x:c>
      <x:c r="I329" s="168" t="n">
        <x:v>0.0143963337</x:v>
      </x:c>
      <x:c r="J329" s="169" t="n">
        <x:v>203</x:v>
      </x:c>
      <x:c r="K329" s="169" t="n">
        <x:v>8</x:v>
      </x:c>
      <x:c r="L329" s="169" t="n">
        <x:v>192</x:v>
      </x:c>
      <x:c r="M329" s="169" t="n">
        <x:v>197</x:v>
      </x:c>
      <x:c r="N329" s="169" t="n">
        <x:v>600</x:v>
      </x:c>
      <x:c r="O329" s="269" t="n">
        <x:v>0.4860759493670886</x:v>
      </x:c>
      <x:c r="P329" s="269" t="n">
        <x:v>0.03902439024390244</x:v>
      </x:c>
      <x:c r="Q329" s="269" t="n">
        <x:v>0.66996699669967</x:v>
      </x:c>
      <x:c r="R329" s="269" t="n">
        <x:v>0.8634146341</x:v>
      </x:c>
    </x:row>
    <x:row r="330">
      <x:c r="A330" s="167" t="str">
        <x:v>Gaussian</x:v>
      </x:c>
      <x:c r="B330" s="167" t="str">
        <x:v>simulated</x:v>
      </x:c>
      <x:c r="C330" s="167" t="str">
        <x:v>l2</x:v>
      </x:c>
      <x:c r="D330" s="167" t="str">
        <x:v>m4</x:v>
      </x:c>
      <x:c r="E330" s="167" t="str">
        <x:v>S=2D</x:v>
      </x:c>
      <x:c r="F330" s="167" t="str">
        <x:v>posterior_mmd</x:v>
      </x:c>
      <x:c r="G330" s="167" t="str">
        <x:v>raw NPE-analytical [0, q95]</x:v>
      </x:c>
      <x:c r="H330" s="168" t="n">
        <x:v>0</x:v>
      </x:c>
      <x:c r="I330" s="168" t="n">
        <x:v>0.0140123844</x:v>
      </x:c>
      <x:c r="J330" s="169" t="n">
        <x:v>339</x:v>
      </x:c>
      <x:c r="K330" s="169" t="n">
        <x:v>39</x:v>
      </x:c>
      <x:c r="L330" s="169" t="n">
        <x:v>12</x:v>
      </x:c>
      <x:c r="M330" s="169" t="n">
        <x:v>210</x:v>
      </x:c>
      <x:c r="N330" s="169" t="n">
        <x:v>600</x:v>
      </x:c>
      <x:c r="O330" s="269" t="n">
        <x:v>0.03418803418803419</x:v>
      </x:c>
      <x:c r="P330" s="269" t="n">
        <x:v>0.1566265060240964</x:v>
      </x:c>
      <x:c r="Q330" s="219" t="n">
        <x:v>0.9300411522633745</x:v>
      </x:c>
      <x:c r="R330" s="219" t="n">
        <x:v>0.9801713978</x:v>
      </x:c>
    </x:row>
    <x:row r="331">
      <x:c r="A331" s="167" t="str">
        <x:v>Gaussian</x:v>
      </x:c>
      <x:c r="B331" s="167" t="str">
        <x:v>simulated</x:v>
      </x:c>
      <x:c r="C331" s="167" t="str">
        <x:v>linf</x:v>
      </x:c>
      <x:c r="D331" s="167" t="str">
        <x:v>m4</x:v>
      </x:c>
      <x:c r="E331" s="167" t="str">
        <x:v>S=2D</x:v>
      </x:c>
      <x:c r="F331" s="167" t="str">
        <x:v>posterior_mmd</x:v>
      </x:c>
      <x:c r="G331" s="167" t="str">
        <x:v>raw NPE-analytical [0, q95]</x:v>
      </x:c>
      <x:c r="H331" s="168" t="n">
        <x:v>0</x:v>
      </x:c>
      <x:c r="I331" s="168" t="n">
        <x:v>0.0140123844</x:v>
      </x:c>
      <x:c r="J331" s="169" t="n">
        <x:v>269</x:v>
      </x:c>
      <x:c r="K331" s="169" t="n">
        <x:v>9</x:v>
      </x:c>
      <x:c r="L331" s="169" t="n">
        <x:v>87</x:v>
      </x:c>
      <x:c r="M331" s="169" t="n">
        <x:v>235</x:v>
      </x:c>
      <x:c r="N331" s="169" t="n">
        <x:v>600</x:v>
      </x:c>
      <x:c r="O331" s="269" t="n">
        <x:v>0.2443820224719101</x:v>
      </x:c>
      <x:c r="P331" s="219" t="n">
        <x:v>0.036885245901639344</x:v>
      </x:c>
      <x:c r="Q331" s="269" t="n">
        <x:v>0.8485804416403786</x:v>
      </x:c>
      <x:c r="R331" s="269" t="n">
        <x:v>0.9479761466</x:v>
      </x:c>
    </x:row>
    <x:row r="332">
      <x:c r="A332" s="167" t="str">
        <x:v>Gaussian</x:v>
      </x:c>
      <x:c r="B332" s="167" t="str">
        <x:v>simulated</x:v>
      </x:c>
      <x:c r="C332" s="167" t="str">
        <x:v>density</x:v>
      </x:c>
      <x:c r="D332" s="167" t="str">
        <x:v>m4</x:v>
      </x:c>
      <x:c r="E332" s="167" t="str">
        <x:v>S=2D</x:v>
      </x:c>
      <x:c r="F332" s="167" t="str">
        <x:v>posterior_mmd</x:v>
      </x:c>
      <x:c r="G332" s="167" t="str">
        <x:v>raw NPE-analytical [0, q95]</x:v>
      </x:c>
      <x:c r="H332" s="168" t="n">
        <x:v>0</x:v>
      </x:c>
      <x:c r="I332" s="168" t="n">
        <x:v>0.0140123844</x:v>
      </x:c>
      <x:c r="J332" s="169" t="n">
        <x:v>344</x:v>
      </x:c>
      <x:c r="K332" s="169" t="n">
        <x:v>61</x:v>
      </x:c>
      <x:c r="L332" s="169" t="n">
        <x:v>7</x:v>
      </x:c>
      <x:c r="M332" s="169" t="n">
        <x:v>188</x:v>
      </x:c>
      <x:c r="N332" s="169" t="n">
        <x:v>600</x:v>
      </x:c>
      <x:c r="O332" s="219" t="n">
        <x:v>0.019943019943019943</x:v>
      </x:c>
      <x:c r="P332" s="269" t="n">
        <x:v>0.24497991967871485</x:v>
      </x:c>
      <x:c r="Q332" s="269" t="n">
        <x:v>0.91005291005291</x:v>
      </x:c>
      <x:c r="R332" s="269" t="n">
        <x:v>0.9240494743</x:v>
      </x:c>
    </x:row>
    <x:row r="333">
      <x:c r="A333" s="167" t="str">
        <x:v>Gaussian</x:v>
      </x:c>
      <x:c r="B333" s="167" t="str">
        <x:v>simulated</x:v>
      </x:c>
      <x:c r="C333" s="167" t="str">
        <x:v>mmd</x:v>
      </x:c>
      <x:c r="D333" s="167" t="str">
        <x:v>m4</x:v>
      </x:c>
      <x:c r="E333" s="167" t="str">
        <x:v>S=2D</x:v>
      </x:c>
      <x:c r="F333" s="167" t="str">
        <x:v>posterior_mmd</x:v>
      </x:c>
      <x:c r="G333" s="167" t="str">
        <x:v>raw NPE-analytical [0, q95]</x:v>
      </x:c>
      <x:c r="H333" s="168" t="n">
        <x:v>0</x:v>
      </x:c>
      <x:c r="I333" s="168" t="n">
        <x:v>0.0140123844</x:v>
      </x:c>
      <x:c r="J333" s="169" t="n">
        <x:v>233</x:v>
      </x:c>
      <x:c r="K333" s="169" t="n">
        <x:v>23</x:v>
      </x:c>
      <x:c r="L333" s="169" t="n">
        <x:v>118</x:v>
      </x:c>
      <x:c r="M333" s="169" t="n">
        <x:v>226</x:v>
      </x:c>
      <x:c r="N333" s="169" t="n">
        <x:v>600</x:v>
      </x:c>
      <x:c r="O333" s="269" t="n">
        <x:v>0.33618233618233617</x:v>
      </x:c>
      <x:c r="P333" s="269" t="n">
        <x:v>0.09236947791164658</x:v>
      </x:c>
      <x:c r="Q333" s="269" t="n">
        <x:v>0.7677100494233937</x:v>
      </x:c>
      <x:c r="R333" s="269" t="n">
        <x:v>0.8252268333</x:v>
      </x:c>
    </x:row>
    <x:row r="334">
      <x:c r="A334" s="167" t="str">
        <x:v>Gaussian</x:v>
      </x:c>
      <x:c r="B334" s="167" t="str">
        <x:v>simulated</x:v>
      </x:c>
      <x:c r="C334" s="167" t="str">
        <x:v>l2</x:v>
      </x:c>
      <x:c r="D334" s="167" t="str">
        <x:v>m4</x:v>
      </x:c>
      <x:c r="E334" s="167" t="str">
        <x:v>S=4D</x:v>
      </x:c>
      <x:c r="F334" s="167" t="str">
        <x:v>posterior_mmd</x:v>
      </x:c>
      <x:c r="G334" s="167" t="str">
        <x:v>raw NPE-analytical [0, q95]</x:v>
      </x:c>
      <x:c r="H334" s="168" t="n">
        <x:v>0</x:v>
      </x:c>
      <x:c r="I334" s="168" t="n">
        <x:v>0.0144367695</x:v>
      </x:c>
      <x:c r="J334" s="169" t="n">
        <x:v>381</x:v>
      </x:c>
      <x:c r="K334" s="169" t="n">
        <x:v>15</x:v>
      </x:c>
      <x:c r="L334" s="169" t="n">
        <x:v>9</x:v>
      </x:c>
      <x:c r="M334" s="169" t="n">
        <x:v>195</x:v>
      </x:c>
      <x:c r="N334" s="169" t="n">
        <x:v>600</x:v>
      </x:c>
      <x:c r="O334" s="269" t="n">
        <x:v>0.023076923076923078</x:v>
      </x:c>
      <x:c r="P334" s="269" t="n">
        <x:v>0.07142857142857142</x:v>
      </x:c>
      <x:c r="Q334" s="219" t="n">
        <x:v>0.9694656488549618</x:v>
      </x:c>
      <x:c r="R334" s="219" t="n">
        <x:v>0.985970696</x:v>
      </x:c>
    </x:row>
    <x:row r="335">
      <x:c r="A335" s="167" t="str">
        <x:v>Gaussian</x:v>
      </x:c>
      <x:c r="B335" s="167" t="str">
        <x:v>simulated</x:v>
      </x:c>
      <x:c r="C335" s="167" t="str">
        <x:v>linf</x:v>
      </x:c>
      <x:c r="D335" s="167" t="str">
        <x:v>m4</x:v>
      </x:c>
      <x:c r="E335" s="167" t="str">
        <x:v>S=4D</x:v>
      </x:c>
      <x:c r="F335" s="167" t="str">
        <x:v>posterior_mmd</x:v>
      </x:c>
      <x:c r="G335" s="167" t="str">
        <x:v>raw NPE-analytical [0, q95]</x:v>
      </x:c>
      <x:c r="H335" s="168" t="n">
        <x:v>0</x:v>
      </x:c>
      <x:c r="I335" s="168" t="n">
        <x:v>0.0144367695</x:v>
      </x:c>
      <x:c r="J335" s="169" t="n">
        <x:v>294</x:v>
      </x:c>
      <x:c r="K335" s="169" t="n">
        <x:v>9</x:v>
      </x:c>
      <x:c r="L335" s="169" t="n">
        <x:v>96</x:v>
      </x:c>
      <x:c r="M335" s="169" t="n">
        <x:v>201</x:v>
      </x:c>
      <x:c r="N335" s="169" t="n">
        <x:v>600</x:v>
      </x:c>
      <x:c r="O335" s="269" t="n">
        <x:v>0.24615384615384617</x:v>
      </x:c>
      <x:c r="P335" s="269" t="n">
        <x:v>0.04285714285714286</x:v>
      </x:c>
      <x:c r="Q335" s="269" t="n">
        <x:v>0.8484848484848485</x:v>
      </x:c>
      <x:c r="R335" s="269" t="n">
        <x:v>0.9589499389</x:v>
      </x:c>
    </x:row>
    <x:row r="336">
      <x:c r="A336" s="167" t="str">
        <x:v>Gaussian</x:v>
      </x:c>
      <x:c r="B336" s="167" t="str">
        <x:v>simulated</x:v>
      </x:c>
      <x:c r="C336" s="167" t="str">
        <x:v>density</x:v>
      </x:c>
      <x:c r="D336" s="167" t="str">
        <x:v>m4</x:v>
      </x:c>
      <x:c r="E336" s="167" t="str">
        <x:v>S=4D</x:v>
      </x:c>
      <x:c r="F336" s="167" t="str">
        <x:v>posterior_mmd</x:v>
      </x:c>
      <x:c r="G336" s="167" t="str">
        <x:v>raw NPE-analytical [0, q95]</x:v>
      </x:c>
      <x:c r="H336" s="168" t="n">
        <x:v>0</x:v>
      </x:c>
      <x:c r="I336" s="168" t="n">
        <x:v>0.0144367695</x:v>
      </x:c>
      <x:c r="J336" s="169" t="n">
        <x:v>382</x:v>
      </x:c>
      <x:c r="K336" s="169" t="n">
        <x:v>28</x:v>
      </x:c>
      <x:c r="L336" s="169" t="n">
        <x:v>8</x:v>
      </x:c>
      <x:c r="M336" s="169" t="n">
        <x:v>182</x:v>
      </x:c>
      <x:c r="N336" s="169" t="n">
        <x:v>600</x:v>
      </x:c>
      <x:c r="O336" s="219" t="n">
        <x:v>0.020512820512820513</x:v>
      </x:c>
      <x:c r="P336" s="269" t="n">
        <x:v>0.13333333333333333</x:v>
      </x:c>
      <x:c r="Q336" s="269" t="n">
        <x:v>0.955</x:v>
      </x:c>
      <x:c r="R336" s="269" t="n">
        <x:v>0.9733211233</x:v>
      </x:c>
    </x:row>
    <x:row r="337">
      <x:c r="A337" s="171" t="str">
        <x:v>Gaussian</x:v>
      </x:c>
      <x:c r="B337" s="171" t="str">
        <x:v>simulated</x:v>
      </x:c>
      <x:c r="C337" s="171" t="str">
        <x:v>mmd</x:v>
      </x:c>
      <x:c r="D337" s="171" t="str">
        <x:v>m4</x:v>
      </x:c>
      <x:c r="E337" s="171" t="str">
        <x:v>S=4D</x:v>
      </x:c>
      <x:c r="F337" s="171" t="str">
        <x:v>posterior_mmd</x:v>
      </x:c>
      <x:c r="G337" s="171" t="str">
        <x:v>raw NPE-analytical [0, q95]</x:v>
      </x:c>
      <x:c r="H337" s="172" t="n">
        <x:v>0</x:v>
      </x:c>
      <x:c r="I337" s="172" t="n">
        <x:v>0.0144367695</x:v>
      </x:c>
      <x:c r="J337" s="173" t="n">
        <x:v>262</x:v>
      </x:c>
      <x:c r="K337" s="173" t="n">
        <x:v>2</x:v>
      </x:c>
      <x:c r="L337" s="173" t="n">
        <x:v>128</x:v>
      </x:c>
      <x:c r="M337" s="173" t="n">
        <x:v>208</x:v>
      </x:c>
      <x:c r="N337" s="173" t="n">
        <x:v>600</x:v>
      </x:c>
      <x:c r="O337" s="270" t="n">
        <x:v>0.3282051282051282</x:v>
      </x:c>
      <x:c r="P337" s="220" t="n">
        <x:v>0.009523809523809525</x:v>
      </x:c>
      <x:c r="Q337" s="270" t="n">
        <x:v>0.8012232415902141</x:v>
      </x:c>
      <x:c r="R337" s="270" t="n">
        <x:v>0.8797802198</x:v>
      </x:c>
    </x:row>
    <x:row r="338">
      <x:c r="A338" t="str">
        <x:v>Diffusion</x:v>
      </x:c>
      <x:c r="B338" t="str">
        <x:v>empirical</x:v>
      </x:c>
      <x:c r="C338" t="str">
        <x:v>l2</x:v>
      </x:c>
      <x:c r="D338" t="str">
        <x:v>m0</x:v>
      </x:c>
      <x:c r="E338" t="str">
        <x:v>S=D</x:v>
      </x:c>
      <x:c r="F338" t="str">
        <x:v>log10_ml_error</x:v>
      </x:c>
      <x:c r="G338" t="str">
        <x:v>ESS-filtered raw NPE-MCMC central 90% interval [q5, q95]</x:v>
      </x:c>
      <x:c r="H338" t="n">
        <x:v>-0.012131076974167647</x:v>
      </x:c>
      <x:c r="I338" t="n">
        <x:v>0.01070301303850429</x:v>
      </x:c>
      <x:c r="J338" t="n">
        <x:v>12</x:v>
      </x:c>
      <x:c r="K338" t="n">
        <x:v>2</x:v>
      </x:c>
      <x:c r="L338" t="n">
        <x:v>3</x:v>
      </x:c>
      <x:c r="M338" t="n">
        <x:v>0</x:v>
      </x:c>
      <x:c r="N338" t="n">
        <x:v>17</x:v>
      </x:c>
      <x:c r="O338" t="n">
        <x:v>0.2</x:v>
      </x:c>
      <x:c r="P338" t="n">
        <x:v>1</x:v>
      </x:c>
      <x:c r="Q338" t="n">
        <x:v>0.8275862068965517</x:v>
      </x:c>
      <x:c r="R338" t="n">
        <x:v>0.5</x:v>
      </x:c>
    </x:row>
    <x:row r="339">
      <x:c r="A339" t="str">
        <x:v>Diffusion</x:v>
      </x:c>
      <x:c r="B339" t="str">
        <x:v>empirical</x:v>
      </x:c>
      <x:c r="C339" t="str">
        <x:v>linf</x:v>
      </x:c>
      <x:c r="D339" t="str">
        <x:v>m0</x:v>
      </x:c>
      <x:c r="E339" t="str">
        <x:v>S=D</x:v>
      </x:c>
      <x:c r="F339" t="str">
        <x:v>log10_ml_error</x:v>
      </x:c>
      <x:c r="G339" t="str">
        <x:v>ESS-filtered raw NPE-MCMC central 90% interval [q5, q95]</x:v>
      </x:c>
      <x:c r="H339" t="n">
        <x:v>-0.012131076974167647</x:v>
      </x:c>
      <x:c r="I339" t="n">
        <x:v>0.01070301303850429</x:v>
      </x:c>
      <x:c r="J339" t="n">
        <x:v>14</x:v>
      </x:c>
      <x:c r="K339" t="n">
        <x:v>2</x:v>
      </x:c>
      <x:c r="L339" t="n">
        <x:v>1</x:v>
      </x:c>
      <x:c r="M339" t="n">
        <x:v>0</x:v>
      </x:c>
      <x:c r="N339" t="n">
        <x:v>17</x:v>
      </x:c>
      <x:c r="O339" t="n">
        <x:v>0.06666666666666667</x:v>
      </x:c>
      <x:c r="P339" t="n">
        <x:v>1</x:v>
      </x:c>
      <x:c r="Q339" t="n">
        <x:v>0.9032258064516129</x:v>
      </x:c>
      <x:c r="R339" t="n">
        <x:v>0.36666666666666664</x:v>
      </x:c>
    </x:row>
    <x:row r="340">
      <x:c r="A340" t="str">
        <x:v>Diffusion</x:v>
      </x:c>
      <x:c r="B340" t="str">
        <x:v>empirical</x:v>
      </x:c>
      <x:c r="C340" t="str">
        <x:v>density</x:v>
      </x:c>
      <x:c r="D340" t="str">
        <x:v>m0</x:v>
      </x:c>
      <x:c r="E340" t="str">
        <x:v>S=D</x:v>
      </x:c>
      <x:c r="F340" t="str">
        <x:v>log10_ml_error</x:v>
      </x:c>
      <x:c r="G340" t="str">
        <x:v>ESS-filtered raw NPE-MCMC central 90% interval [q5, q95]</x:v>
      </x:c>
      <x:c r="H340" t="n">
        <x:v>-0.012131076974167647</x:v>
      </x:c>
      <x:c r="I340" t="n">
        <x:v>0.01070301303850429</x:v>
      </x:c>
      <x:c r="J340" t="n">
        <x:v>9</x:v>
      </x:c>
      <x:c r="K340" t="n">
        <x:v>2</x:v>
      </x:c>
      <x:c r="L340" t="n">
        <x:v>6</x:v>
      </x:c>
      <x:c r="M340" t="n">
        <x:v>0</x:v>
      </x:c>
      <x:c r="N340" t="n">
        <x:v>17</x:v>
      </x:c>
      <x:c r="O340" t="n">
        <x:v>0.4</x:v>
      </x:c>
      <x:c r="P340" t="n">
        <x:v>1</x:v>
      </x:c>
      <x:c r="Q340" t="n">
        <x:v>0.6923076923076923</x:v>
      </x:c>
      <x:c r="R340" t="n">
        <x:v>0.1</x:v>
      </x:c>
    </x:row>
    <x:row r="341">
      <x:c r="A341" t="str">
        <x:v>Diffusion</x:v>
      </x:c>
      <x:c r="B341" t="str">
        <x:v>empirical</x:v>
      </x:c>
      <x:c r="C341" t="str">
        <x:v>mmd</x:v>
      </x:c>
      <x:c r="D341" t="str">
        <x:v>m0</x:v>
      </x:c>
      <x:c r="E341" t="str">
        <x:v>S=D</x:v>
      </x:c>
      <x:c r="F341" t="str">
        <x:v>log10_ml_error</x:v>
      </x:c>
      <x:c r="G341" t="str">
        <x:v>ESS-filtered raw NPE-MCMC central 90% interval [q5, q95]</x:v>
      </x:c>
      <x:c r="H341" t="n">
        <x:v>-0.012131076974167647</x:v>
      </x:c>
      <x:c r="I341" t="n">
        <x:v>0.01070301303850429</x:v>
      </x:c>
      <x:c r="J341" t="n">
        <x:v>1</x:v>
      </x:c>
      <x:c r="K341" t="n">
        <x:v>0</x:v>
      </x:c>
      <x:c r="L341" t="n">
        <x:v>14</x:v>
      </x:c>
      <x:c r="M341" t="n">
        <x:v>2</x:v>
      </x:c>
      <x:c r="N341" t="n">
        <x:v>17</x:v>
      </x:c>
      <x:c r="O341" t="n">
        <x:v>0.9333333333333333</x:v>
      </x:c>
      <x:c r="P341" t="n">
        <x:v>0</x:v>
      </x:c>
      <x:c r="Q341" t="n">
        <x:v>0.125</x:v>
      </x:c>
      <x:c r="R341" t="n">
        <x:v>0.4666666666666667</x:v>
      </x:c>
    </x:row>
    <x:row r="342">
      <x:c r="A342" t="str">
        <x:v>Diffusion</x:v>
      </x:c>
      <x:c r="B342" t="str">
        <x:v>empirical</x:v>
      </x:c>
      <x:c r="C342" t="str">
        <x:v>l2</x:v>
      </x:c>
      <x:c r="D342" t="str">
        <x:v>m0</x:v>
      </x:c>
      <x:c r="E342" t="str">
        <x:v>S=2D</x:v>
      </x:c>
      <x:c r="F342" t="str">
        <x:v>log10_ml_error</x:v>
      </x:c>
      <x:c r="G342" t="str">
        <x:v>ESS-filtered raw NPE-MCMC central 90% interval [q5, q95]</x:v>
      </x:c>
      <x:c r="H342" t="n">
        <x:v>-0.010061009565064857</x:v>
      </x:c>
      <x:c r="I342" t="n">
        <x:v>0.010379221634216233</x:v>
      </x:c>
      <x:c r="J342" t="n">
        <x:v>12</x:v>
      </x:c>
      <x:c r="K342" t="n">
        <x:v>5</x:v>
      </x:c>
      <x:c r="L342" t="n">
        <x:v>0</x:v>
      </x:c>
      <x:c r="M342" t="n">
        <x:v>0</x:v>
      </x:c>
      <x:c r="N342" t="n">
        <x:v>17</x:v>
      </x:c>
      <x:c r="O342" t="n">
        <x:v>0</x:v>
      </x:c>
      <x:c r="P342" t="n">
        <x:v>1</x:v>
      </x:c>
      <x:c r="Q342" t="n">
        <x:v>0.8275862068965517</x:v>
      </x:c>
      <x:c r="R342" t="n">
        <x:v>0.7666666666666667</x:v>
      </x:c>
    </x:row>
    <x:row r="343">
      <x:c r="A343" t="str">
        <x:v>Diffusion</x:v>
      </x:c>
      <x:c r="B343" t="str">
        <x:v>empirical</x:v>
      </x:c>
      <x:c r="C343" t="str">
        <x:v>linf</x:v>
      </x:c>
      <x:c r="D343" t="str">
        <x:v>m0</x:v>
      </x:c>
      <x:c r="E343" t="str">
        <x:v>S=2D</x:v>
      </x:c>
      <x:c r="F343" t="str">
        <x:v>log10_ml_error</x:v>
      </x:c>
      <x:c r="G343" t="str">
        <x:v>ESS-filtered raw NPE-MCMC central 90% interval [q5, q95]</x:v>
      </x:c>
      <x:c r="H343" t="n">
        <x:v>-0.010061009565064857</x:v>
      </x:c>
      <x:c r="I343" t="n">
        <x:v>0.010379221634216233</x:v>
      </x:c>
      <x:c r="J343" t="n">
        <x:v>12</x:v>
      </x:c>
      <x:c r="K343" t="n">
        <x:v>5</x:v>
      </x:c>
      <x:c r="L343" t="n">
        <x:v>0</x:v>
      </x:c>
      <x:c r="M343" t="n">
        <x:v>0</x:v>
      </x:c>
      <x:c r="N343" t="n">
        <x:v>17</x:v>
      </x:c>
      <x:c r="O343" t="n">
        <x:v>0</x:v>
      </x:c>
      <x:c r="P343" t="n">
        <x:v>1</x:v>
      </x:c>
      <x:c r="Q343" t="n">
        <x:v>0.8275862068965517</x:v>
      </x:c>
      <x:c r="R343" t="n">
        <x:v>0.65</x:v>
      </x:c>
    </x:row>
    <x:row r="344">
      <x:c r="A344" t="str">
        <x:v>Diffusion</x:v>
      </x:c>
      <x:c r="B344" t="str">
        <x:v>empirical</x:v>
      </x:c>
      <x:c r="C344" t="str">
        <x:v>density</x:v>
      </x:c>
      <x:c r="D344" t="str">
        <x:v>m0</x:v>
      </x:c>
      <x:c r="E344" t="str">
        <x:v>S=2D</x:v>
      </x:c>
      <x:c r="F344" t="str">
        <x:v>log10_ml_error</x:v>
      </x:c>
      <x:c r="G344" t="str">
        <x:v>ESS-filtered raw NPE-MCMC central 90% interval [q5, q95]</x:v>
      </x:c>
      <x:c r="H344" t="n">
        <x:v>-0.010061009565064857</x:v>
      </x:c>
      <x:c r="I344" t="n">
        <x:v>0.010379221634216233</x:v>
      </x:c>
      <x:c r="J344" t="n">
        <x:v>12</x:v>
      </x:c>
      <x:c r="K344" t="n">
        <x:v>5</x:v>
      </x:c>
      <x:c r="L344" t="n">
        <x:v>0</x:v>
      </x:c>
      <x:c r="M344" t="n">
        <x:v>0</x:v>
      </x:c>
      <x:c r="N344" t="n">
        <x:v>17</x:v>
      </x:c>
      <x:c r="O344" t="n">
        <x:v>0</x:v>
      </x:c>
      <x:c r="P344" t="n">
        <x:v>1</x:v>
      </x:c>
      <x:c r="Q344" t="n">
        <x:v>0.8275862068965517</x:v>
      </x:c>
      <x:c r="R344" t="n">
        <x:v>0.35</x:v>
      </x:c>
    </x:row>
    <x:row r="345">
      <x:c r="A345" t="str">
        <x:v>Diffusion</x:v>
      </x:c>
      <x:c r="B345" t="str">
        <x:v>empirical</x:v>
      </x:c>
      <x:c r="C345" t="str">
        <x:v>mmd</x:v>
      </x:c>
      <x:c r="D345" t="str">
        <x:v>m0</x:v>
      </x:c>
      <x:c r="E345" t="str">
        <x:v>S=2D</x:v>
      </x:c>
      <x:c r="F345" t="str">
        <x:v>log10_ml_error</x:v>
      </x:c>
      <x:c r="G345" t="str">
        <x:v>ESS-filtered raw NPE-MCMC central 90% interval [q5, q95]</x:v>
      </x:c>
      <x:c r="H345" t="n">
        <x:v>-0.010061009565064857</x:v>
      </x:c>
      <x:c r="I345" t="n">
        <x:v>0.010379221634216233</x:v>
      </x:c>
      <x:c r="J345" t="n">
        <x:v>7</x:v>
      </x:c>
      <x:c r="K345" t="n">
        <x:v>0</x:v>
      </x:c>
      <x:c r="L345" t="n">
        <x:v>5</x:v>
      </x:c>
      <x:c r="M345" t="n">
        <x:v>5</x:v>
      </x:c>
      <x:c r="N345" t="n">
        <x:v>17</x:v>
      </x:c>
      <x:c r="O345" t="n">
        <x:v>0.4166666666666667</x:v>
      </x:c>
      <x:c r="P345" t="n">
        <x:v>0</x:v>
      </x:c>
      <x:c r="Q345" t="n">
        <x:v>0.7368421052631579</x:v>
      </x:c>
      <x:c r="R345" t="n">
        <x:v>0.7833333333333333</x:v>
      </x:c>
    </x:row>
    <x:row r="346">
      <x:c r="A346" t="str">
        <x:v>Diffusion</x:v>
      </x:c>
      <x:c r="B346" t="str">
        <x:v>empirical</x:v>
      </x:c>
      <x:c r="C346" t="str">
        <x:v>l2</x:v>
      </x:c>
      <x:c r="D346" t="str">
        <x:v>m0</x:v>
      </x:c>
      <x:c r="E346" t="str">
        <x:v>S=4D</x:v>
      </x:c>
      <x:c r="F346" t="str">
        <x:v>log10_ml_error</x:v>
      </x:c>
      <x:c r="G346" t="str">
        <x:v>ESS-filtered raw NPE-MCMC central 90% interval [q5, q95]</x:v>
      </x:c>
      <x:c r="H346" t="n">
        <x:v>-0.01059100664032299</x:v>
      </x:c>
      <x:c r="I346" t="n">
        <x:v>0.005728294844700863</x:v>
      </x:c>
      <x:c r="J346" t="n">
        <x:v>11</x:v>
      </x:c>
      <x:c r="K346" t="n">
        <x:v>5</x:v>
      </x:c>
      <x:c r="L346" t="n">
        <x:v>1</x:v>
      </x:c>
      <x:c r="M346" t="n">
        <x:v>0</x:v>
      </x:c>
      <x:c r="N346" t="n">
        <x:v>17</x:v>
      </x:c>
      <x:c r="O346" t="n">
        <x:v>0.08333333333333333</x:v>
      </x:c>
      <x:c r="P346" t="n">
        <x:v>1</x:v>
      </x:c>
      <x:c r="Q346" t="n">
        <x:v>0.7857142857142857</x:v>
      </x:c>
      <x:c r="R346" t="n">
        <x:v>0.15</x:v>
      </x:c>
    </x:row>
    <x:row r="347">
      <x:c r="A347" t="str">
        <x:v>Diffusion</x:v>
      </x:c>
      <x:c r="B347" t="str">
        <x:v>empirical</x:v>
      </x:c>
      <x:c r="C347" t="str">
        <x:v>linf</x:v>
      </x:c>
      <x:c r="D347" t="str">
        <x:v>m0</x:v>
      </x:c>
      <x:c r="E347" t="str">
        <x:v>S=4D</x:v>
      </x:c>
      <x:c r="F347" t="str">
        <x:v>log10_ml_error</x:v>
      </x:c>
      <x:c r="G347" t="str">
        <x:v>ESS-filtered raw NPE-MCMC central 90% interval [q5, q95]</x:v>
      </x:c>
      <x:c r="H347" t="n">
        <x:v>-0.01059100664032299</x:v>
      </x:c>
      <x:c r="I347" t="n">
        <x:v>0.005728294844700863</x:v>
      </x:c>
      <x:c r="J347" t="n">
        <x:v>9</x:v>
      </x:c>
      <x:c r="K347" t="n">
        <x:v>5</x:v>
      </x:c>
      <x:c r="L347" t="n">
        <x:v>3</x:v>
      </x:c>
      <x:c r="M347" t="n">
        <x:v>0</x:v>
      </x:c>
      <x:c r="N347" t="n">
        <x:v>17</x:v>
      </x:c>
      <x:c r="O347" t="n">
        <x:v>0.25</x:v>
      </x:c>
      <x:c r="P347" t="n">
        <x:v>1</x:v>
      </x:c>
      <x:c r="Q347" t="n">
        <x:v>0.6923076923076923</x:v>
      </x:c>
      <x:c r="R347" t="n">
        <x:v>0.13333333333333333</x:v>
      </x:c>
    </x:row>
    <x:row r="348">
      <x:c r="A348" t="str">
        <x:v>Diffusion</x:v>
      </x:c>
      <x:c r="B348" t="str">
        <x:v>empirical</x:v>
      </x:c>
      <x:c r="C348" t="str">
        <x:v>density</x:v>
      </x:c>
      <x:c r="D348" t="str">
        <x:v>m0</x:v>
      </x:c>
      <x:c r="E348" t="str">
        <x:v>S=4D</x:v>
      </x:c>
      <x:c r="F348" t="str">
        <x:v>log10_ml_error</x:v>
      </x:c>
      <x:c r="G348" t="str">
        <x:v>ESS-filtered raw NPE-MCMC central 90% interval [q5, q95]</x:v>
      </x:c>
      <x:c r="H348" t="n">
        <x:v>-0.01059100664032299</x:v>
      </x:c>
      <x:c r="I348" t="n">
        <x:v>0.005728294844700863</x:v>
      </x:c>
      <x:c r="J348" t="n">
        <x:v>12</x:v>
      </x:c>
      <x:c r="K348" t="n">
        <x:v>5</x:v>
      </x:c>
      <x:c r="L348" t="n">
        <x:v>0</x:v>
      </x:c>
      <x:c r="M348" t="n">
        <x:v>0</x:v>
      </x:c>
      <x:c r="N348" t="n">
        <x:v>17</x:v>
      </x:c>
      <x:c r="O348" t="n">
        <x:v>0</x:v>
      </x:c>
      <x:c r="P348" t="n">
        <x:v>1</x:v>
      </x:c>
      <x:c r="Q348" t="n">
        <x:v>0.8275862068965517</x:v>
      </x:c>
      <x:c r="R348" t="n">
        <x:v>0.25</x:v>
      </x:c>
    </x:row>
    <x:row r="349">
      <x:c r="A349" t="str">
        <x:v>Diffusion</x:v>
      </x:c>
      <x:c r="B349" t="str">
        <x:v>empirical</x:v>
      </x:c>
      <x:c r="C349" t="str">
        <x:v>mmd</x:v>
      </x:c>
      <x:c r="D349" t="str">
        <x:v>m0</x:v>
      </x:c>
      <x:c r="E349" t="str">
        <x:v>S=4D</x:v>
      </x:c>
      <x:c r="F349" t="str">
        <x:v>log10_ml_error</x:v>
      </x:c>
      <x:c r="G349" t="str">
        <x:v>ESS-filtered raw NPE-MCMC central 90% interval [q5, q95]</x:v>
      </x:c>
      <x:c r="H349" t="n">
        <x:v>-0.01059100664032299</x:v>
      </x:c>
      <x:c r="I349" t="n">
        <x:v>0.005728294844700863</x:v>
      </x:c>
      <x:c r="J349" t="n">
        <x:v>5</x:v>
      </x:c>
      <x:c r="K349" t="n">
        <x:v>4</x:v>
      </x:c>
      <x:c r="L349" t="n">
        <x:v>7</x:v>
      </x:c>
      <x:c r="M349" t="n">
        <x:v>1</x:v>
      </x:c>
      <x:c r="N349" t="n">
        <x:v>17</x:v>
      </x:c>
      <x:c r="O349" t="n">
        <x:v>0.5833333333333334</x:v>
      </x:c>
      <x:c r="P349" t="n">
        <x:v>0.8</x:v>
      </x:c>
      <x:c r="Q349" t="n">
        <x:v>0.47619047619047616</x:v>
      </x:c>
      <x:c r="R349" t="n">
        <x:v>0.21666666666666667</x:v>
      </x:c>
    </x:row>
    <x:row r="350">
      <x:c r="A350" t="str">
        <x:v>Diffusion</x:v>
      </x:c>
      <x:c r="B350" t="str">
        <x:v>empirical</x:v>
      </x:c>
      <x:c r="C350" t="str">
        <x:v>l2</x:v>
      </x:c>
      <x:c r="D350" t="str">
        <x:v>m0</x:v>
      </x:c>
      <x:c r="E350" t="str">
        <x:v>S=6D</x:v>
      </x:c>
      <x:c r="F350" t="str">
        <x:v>log10_ml_error</x:v>
      </x:c>
      <x:c r="G350" t="str">
        <x:v>ESS-filtered raw NPE-MCMC central 90% interval [q5, q95]</x:v>
      </x:c>
      <x:c r="H350" t="n">
        <x:v>-0.014556794270741065</x:v>
      </x:c>
      <x:c r="I350" t="n">
        <x:v>0.006523495480156247</x:v>
      </x:c>
      <x:c r="J350" t="n">
        <x:v>14</x:v>
      </x:c>
      <x:c r="K350" t="n">
        <x:v>2</x:v>
      </x:c>
      <x:c r="L350" t="n">
        <x:v>1</x:v>
      </x:c>
      <x:c r="M350" t="n">
        <x:v>0</x:v>
      </x:c>
      <x:c r="N350" t="n">
        <x:v>17</x:v>
      </x:c>
      <x:c r="O350" t="n">
        <x:v>0.06666666666666667</x:v>
      </x:c>
      <x:c r="P350" t="n">
        <x:v>1</x:v>
      </x:c>
      <x:c r="Q350" t="n">
        <x:v>0.9032258064516129</x:v>
      </x:c>
      <x:c r="R350" t="n">
        <x:v>0.6333333333333333</x:v>
      </x:c>
    </x:row>
    <x:row r="351">
      <x:c r="A351" t="str">
        <x:v>Diffusion</x:v>
      </x:c>
      <x:c r="B351" t="str">
        <x:v>empirical</x:v>
      </x:c>
      <x:c r="C351" t="str">
        <x:v>linf</x:v>
      </x:c>
      <x:c r="D351" t="str">
        <x:v>m0</x:v>
      </x:c>
      <x:c r="E351" t="str">
        <x:v>S=6D</x:v>
      </x:c>
      <x:c r="F351" t="str">
        <x:v>log10_ml_error</x:v>
      </x:c>
      <x:c r="G351" t="str">
        <x:v>ESS-filtered raw NPE-MCMC central 90% interval [q5, q95]</x:v>
      </x:c>
      <x:c r="H351" t="n">
        <x:v>-0.014556794270741065</x:v>
      </x:c>
      <x:c r="I351" t="n">
        <x:v>0.006523495480156247</x:v>
      </x:c>
      <x:c r="J351" t="n">
        <x:v>14</x:v>
      </x:c>
      <x:c r="K351" t="n">
        <x:v>2</x:v>
      </x:c>
      <x:c r="L351" t="n">
        <x:v>1</x:v>
      </x:c>
      <x:c r="M351" t="n">
        <x:v>0</x:v>
      </x:c>
      <x:c r="N351" t="n">
        <x:v>17</x:v>
      </x:c>
      <x:c r="O351" t="n">
        <x:v>0.06666666666666667</x:v>
      </x:c>
      <x:c r="P351" t="n">
        <x:v>1</x:v>
      </x:c>
      <x:c r="Q351" t="n">
        <x:v>0.9032258064516129</x:v>
      </x:c>
      <x:c r="R351" t="n">
        <x:v>0.6333333333333333</x:v>
      </x:c>
    </x:row>
    <x:row r="352">
      <x:c r="A352" t="str">
        <x:v>Diffusion</x:v>
      </x:c>
      <x:c r="B352" t="str">
        <x:v>empirical</x:v>
      </x:c>
      <x:c r="C352" t="str">
        <x:v>density</x:v>
      </x:c>
      <x:c r="D352" t="str">
        <x:v>m0</x:v>
      </x:c>
      <x:c r="E352" t="str">
        <x:v>S=6D</x:v>
      </x:c>
      <x:c r="F352" t="str">
        <x:v>log10_ml_error</x:v>
      </x:c>
      <x:c r="G352" t="str">
        <x:v>ESS-filtered raw NPE-MCMC central 90% interval [q5, q95]</x:v>
      </x:c>
      <x:c r="H352" t="n">
        <x:v>-0.014556794270741065</x:v>
      </x:c>
      <x:c r="I352" t="n">
        <x:v>0.006523495480156247</x:v>
      </x:c>
      <x:c r="J352" t="n">
        <x:v>15</x:v>
      </x:c>
      <x:c r="K352" t="n">
        <x:v>2</x:v>
      </x:c>
      <x:c r="L352" t="n">
        <x:v>0</x:v>
      </x:c>
      <x:c r="M352" t="n">
        <x:v>0</x:v>
      </x:c>
      <x:c r="N352" t="n">
        <x:v>17</x:v>
      </x:c>
      <x:c r="O352" t="n">
        <x:v>0</x:v>
      </x:c>
      <x:c r="P352" t="n">
        <x:v>1</x:v>
      </x:c>
      <x:c r="Q352" t="n">
        <x:v>0.9375</x:v>
      </x:c>
      <x:c r="R352" t="n">
        <x:v>0.7</x:v>
      </x:c>
    </x:row>
    <x:row r="353">
      <x:c r="A353" t="str">
        <x:v>Diffusion</x:v>
      </x:c>
      <x:c r="B353" t="str">
        <x:v>empirical</x:v>
      </x:c>
      <x:c r="C353" t="str">
        <x:v>mmd</x:v>
      </x:c>
      <x:c r="D353" t="str">
        <x:v>m0</x:v>
      </x:c>
      <x:c r="E353" t="str">
        <x:v>S=6D</x:v>
      </x:c>
      <x:c r="F353" t="str">
        <x:v>log10_ml_error</x:v>
      </x:c>
      <x:c r="G353" t="str">
        <x:v>ESS-filtered raw NPE-MCMC central 90% interval [q5, q95]</x:v>
      </x:c>
      <x:c r="H353" t="n">
        <x:v>-0.014556794270741065</x:v>
      </x:c>
      <x:c r="I353" t="n">
        <x:v>0.006523495480156247</x:v>
      </x:c>
      <x:c r="J353" t="n">
        <x:v>5</x:v>
      </x:c>
      <x:c r="K353" t="n">
        <x:v>0</x:v>
      </x:c>
      <x:c r="L353" t="n">
        <x:v>10</x:v>
      </x:c>
      <x:c r="M353" t="n">
        <x:v>2</x:v>
      </x:c>
      <x:c r="N353" t="n">
        <x:v>17</x:v>
      </x:c>
      <x:c r="O353" t="n">
        <x:v>0.6666666666666666</x:v>
      </x:c>
      <x:c r="P353" t="n">
        <x:v>0</x:v>
      </x:c>
      <x:c r="Q353" t="n">
        <x:v>0.5</x:v>
      </x:c>
      <x:c r="R353" t="n">
        <x:v>0.6</x:v>
      </x:c>
    </x:row>
    <x:row r="354">
      <x:c r="A354" t="str">
        <x:v>Diffusion</x:v>
      </x:c>
      <x:c r="B354" t="str">
        <x:v>empirical</x:v>
      </x:c>
      <x:c r="C354" t="str">
        <x:v>l2</x:v>
      </x:c>
      <x:c r="D354" t="str">
        <x:v>m2</x:v>
      </x:c>
      <x:c r="E354" t="str">
        <x:v>S=D</x:v>
      </x:c>
      <x:c r="F354" t="str">
        <x:v>log10_ml_error</x:v>
      </x:c>
      <x:c r="G354" t="str">
        <x:v>ESS-filtered raw NPE-MCMC central 90% interval [q5, q95]</x:v>
      </x:c>
      <x:c r="H354" t="n">
        <x:v>-0.10340499618694932</x:v>
      </x:c>
      <x:c r="I354" t="n">
        <x:v>0.007791586997038212</x:v>
      </x:c>
      <x:c r="J354" t="n">
        <x:v>11</x:v>
      </x:c>
      <x:c r="K354" t="n">
        <x:v>1</x:v>
      </x:c>
      <x:c r="L354" t="n">
        <x:v>2</x:v>
      </x:c>
      <x:c r="M354" t="n">
        <x:v>3</x:v>
      </x:c>
      <x:c r="N354" t="n">
        <x:v>17</x:v>
      </x:c>
      <x:c r="O354" t="n">
        <x:v>0.15384615384615385</x:v>
      </x:c>
      <x:c r="P354" t="n">
        <x:v>0.25</x:v>
      </x:c>
      <x:c r="Q354" t="n">
        <x:v>0.88</x:v>
      </x:c>
      <x:c r="R354" t="n">
        <x:v>0.8653846153846154</x:v>
      </x:c>
    </x:row>
    <x:row r="355">
      <x:c r="A355" t="str">
        <x:v>Diffusion</x:v>
      </x:c>
      <x:c r="B355" t="str">
        <x:v>empirical</x:v>
      </x:c>
      <x:c r="C355" t="str">
        <x:v>linf</x:v>
      </x:c>
      <x:c r="D355" t="str">
        <x:v>m2</x:v>
      </x:c>
      <x:c r="E355" t="str">
        <x:v>S=D</x:v>
      </x:c>
      <x:c r="F355" t="str">
        <x:v>log10_ml_error</x:v>
      </x:c>
      <x:c r="G355" t="str">
        <x:v>ESS-filtered raw NPE-MCMC central 90% interval [q5, q95]</x:v>
      </x:c>
      <x:c r="H355" t="n">
        <x:v>-0.10340499618694932</x:v>
      </x:c>
      <x:c r="I355" t="n">
        <x:v>0.007791586997038212</x:v>
      </x:c>
      <x:c r="J355" t="n">
        <x:v>5</x:v>
      </x:c>
      <x:c r="K355" t="n">
        <x:v>0</x:v>
      </x:c>
      <x:c r="L355" t="n">
        <x:v>8</x:v>
      </x:c>
      <x:c r="M355" t="n">
        <x:v>4</x:v>
      </x:c>
      <x:c r="N355" t="n">
        <x:v>17</x:v>
      </x:c>
      <x:c r="O355" t="n">
        <x:v>0.6153846153846154</x:v>
      </x:c>
      <x:c r="P355" t="n">
        <x:v>0</x:v>
      </x:c>
      <x:c r="Q355" t="n">
        <x:v>0.5555555555555556</x:v>
      </x:c>
      <x:c r="R355" t="n">
        <x:v>0.8269230769230769</x:v>
      </x:c>
    </x:row>
    <x:row r="356">
      <x:c r="A356" t="str">
        <x:v>Diffusion</x:v>
      </x:c>
      <x:c r="B356" t="str">
        <x:v>empirical</x:v>
      </x:c>
      <x:c r="C356" t="str">
        <x:v>density</x:v>
      </x:c>
      <x:c r="D356" t="str">
        <x:v>m2</x:v>
      </x:c>
      <x:c r="E356" t="str">
        <x:v>S=D</x:v>
      </x:c>
      <x:c r="F356" t="str">
        <x:v>log10_ml_error</x:v>
      </x:c>
      <x:c r="G356" t="str">
        <x:v>ESS-filtered raw NPE-MCMC central 90% interval [q5, q95]</x:v>
      </x:c>
      <x:c r="H356" t="n">
        <x:v>-0.10340499618694932</x:v>
      </x:c>
      <x:c r="I356" t="n">
        <x:v>0.007791586997038212</x:v>
      </x:c>
      <x:c r="J356" t="n">
        <x:v>7</x:v>
      </x:c>
      <x:c r="K356" t="n">
        <x:v>4</x:v>
      </x:c>
      <x:c r="L356" t="n">
        <x:v>6</x:v>
      </x:c>
      <x:c r="M356" t="n">
        <x:v>0</x:v>
      </x:c>
      <x:c r="N356" t="n">
        <x:v>17</x:v>
      </x:c>
      <x:c r="O356" t="n">
        <x:v>0.46153846153846156</x:v>
      </x:c>
      <x:c r="P356" t="n">
        <x:v>1</x:v>
      </x:c>
      <x:c r="Q356" t="n">
        <x:v>0.5833333333333334</x:v>
      </x:c>
      <x:c r="R356" t="n">
        <x:v>0.21153846153846154</x:v>
      </x:c>
    </x:row>
    <x:row r="357">
      <x:c r="A357" t="str">
        <x:v>Diffusion</x:v>
      </x:c>
      <x:c r="B357" t="str">
        <x:v>empirical</x:v>
      </x:c>
      <x:c r="C357" t="str">
        <x:v>mmd</x:v>
      </x:c>
      <x:c r="D357" t="str">
        <x:v>m2</x:v>
      </x:c>
      <x:c r="E357" t="str">
        <x:v>S=D</x:v>
      </x:c>
      <x:c r="F357" t="str">
        <x:v>log10_ml_error</x:v>
      </x:c>
      <x:c r="G357" t="str">
        <x:v>ESS-filtered raw NPE-MCMC central 90% interval [q5, q95]</x:v>
      </x:c>
      <x:c r="H357" t="n">
        <x:v>-0.10340499618694932</x:v>
      </x:c>
      <x:c r="I357" t="n">
        <x:v>0.007791586997038212</x:v>
      </x:c>
      <x:c r="J357" t="n">
        <x:v>2</x:v>
      </x:c>
      <x:c r="K357" t="n">
        <x:v>0</x:v>
      </x:c>
      <x:c r="L357" t="n">
        <x:v>11</x:v>
      </x:c>
      <x:c r="M357" t="n">
        <x:v>4</x:v>
      </x:c>
      <x:c r="N357" t="n">
        <x:v>17</x:v>
      </x:c>
      <x:c r="O357" t="n">
        <x:v>0.8461538461538461</x:v>
      </x:c>
      <x:c r="P357" t="n">
        <x:v>0</x:v>
      </x:c>
      <x:c r="Q357" t="n">
        <x:v>0.26666666666666666</x:v>
      </x:c>
      <x:c r="R357" t="n">
        <x:v>0.8653846153846154</x:v>
      </x:c>
    </x:row>
    <x:row r="358">
      <x:c r="A358" t="str">
        <x:v>Diffusion</x:v>
      </x:c>
      <x:c r="B358" t="str">
        <x:v>empirical</x:v>
      </x:c>
      <x:c r="C358" t="str">
        <x:v>l2</x:v>
      </x:c>
      <x:c r="D358" t="str">
        <x:v>m2</x:v>
      </x:c>
      <x:c r="E358" t="str">
        <x:v>S=2D</x:v>
      </x:c>
      <x:c r="F358" t="str">
        <x:v>log10_ml_error</x:v>
      </x:c>
      <x:c r="G358" t="str">
        <x:v>ESS-filtered raw NPE-MCMC central 90% interval [q5, q95]</x:v>
      </x:c>
      <x:c r="H358" t="n">
        <x:v>-0.11020758218839817</x:v>
      </x:c>
      <x:c r="I358" t="n">
        <x:v>0.002189062413752622</x:v>
      </x:c>
      <x:c r="J358" t="n">
        <x:v>7</x:v>
      </x:c>
      <x:c r="K358" t="n">
        <x:v>1</x:v>
      </x:c>
      <x:c r="L358" t="n">
        <x:v>8</x:v>
      </x:c>
      <x:c r="M358" t="n">
        <x:v>1</x:v>
      </x:c>
      <x:c r="N358" t="n">
        <x:v>17</x:v>
      </x:c>
      <x:c r="O358" t="n">
        <x:v>0.5333333333333333</x:v>
      </x:c>
      <x:c r="P358" t="n">
        <x:v>0.5</x:v>
      </x:c>
      <x:c r="Q358" t="n">
        <x:v>0.6086956521739131</x:v>
      </x:c>
      <x:c r="R358" t="n">
        <x:v>0.36666666666666664</x:v>
      </x:c>
    </x:row>
    <x:row r="359">
      <x:c r="A359" t="str">
        <x:v>Diffusion</x:v>
      </x:c>
      <x:c r="B359" t="str">
        <x:v>empirical</x:v>
      </x:c>
      <x:c r="C359" t="str">
        <x:v>linf</x:v>
      </x:c>
      <x:c r="D359" t="str">
        <x:v>m2</x:v>
      </x:c>
      <x:c r="E359" t="str">
        <x:v>S=2D</x:v>
      </x:c>
      <x:c r="F359" t="str">
        <x:v>log10_ml_error</x:v>
      </x:c>
      <x:c r="G359" t="str">
        <x:v>ESS-filtered raw NPE-MCMC central 90% interval [q5, q95]</x:v>
      </x:c>
      <x:c r="H359" t="n">
        <x:v>-0.11020758218839817</x:v>
      </x:c>
      <x:c r="I359" t="n">
        <x:v>0.002189062413752622</x:v>
      </x:c>
      <x:c r="J359" t="n">
        <x:v>15</x:v>
      </x:c>
      <x:c r="K359" t="n">
        <x:v>2</x:v>
      </x:c>
      <x:c r="L359" t="n">
        <x:v>0</x:v>
      </x:c>
      <x:c r="M359" t="n">
        <x:v>0</x:v>
      </x:c>
      <x:c r="N359" t="n">
        <x:v>17</x:v>
      </x:c>
      <x:c r="O359" t="n">
        <x:v>0</x:v>
      </x:c>
      <x:c r="P359" t="n">
        <x:v>1</x:v>
      </x:c>
      <x:c r="Q359" t="n">
        <x:v>0.9375</x:v>
      </x:c>
      <x:c r="R359" t="n">
        <x:v>0.26666666666666666</x:v>
      </x:c>
    </x:row>
    <x:row r="360">
      <x:c r="A360" t="str">
        <x:v>Diffusion</x:v>
      </x:c>
      <x:c r="B360" t="str">
        <x:v>empirical</x:v>
      </x:c>
      <x:c r="C360" t="str">
        <x:v>density</x:v>
      </x:c>
      <x:c r="D360" t="str">
        <x:v>m2</x:v>
      </x:c>
      <x:c r="E360" t="str">
        <x:v>S=2D</x:v>
      </x:c>
      <x:c r="F360" t="str">
        <x:v>log10_ml_error</x:v>
      </x:c>
      <x:c r="G360" t="str">
        <x:v>ESS-filtered raw NPE-MCMC central 90% interval [q5, q95]</x:v>
      </x:c>
      <x:c r="H360" t="n">
        <x:v>-0.11020758218839817</x:v>
      </x:c>
      <x:c r="I360" t="n">
        <x:v>0.002189062413752622</x:v>
      </x:c>
      <x:c r="J360" t="n">
        <x:v>15</x:v>
      </x:c>
      <x:c r="K360" t="n">
        <x:v>2</x:v>
      </x:c>
      <x:c r="L360" t="n">
        <x:v>0</x:v>
      </x:c>
      <x:c r="M360" t="n">
        <x:v>0</x:v>
      </x:c>
      <x:c r="N360" t="n">
        <x:v>17</x:v>
      </x:c>
      <x:c r="O360" t="n">
        <x:v>0</x:v>
      </x:c>
      <x:c r="P360" t="n">
        <x:v>1</x:v>
      </x:c>
      <x:c r="Q360" t="n">
        <x:v>0.9375</x:v>
      </x:c>
      <x:c r="R360" t="n">
        <x:v>0.3</x:v>
      </x:c>
    </x:row>
    <x:row r="361">
      <x:c r="A361" t="str">
        <x:v>Diffusion</x:v>
      </x:c>
      <x:c r="B361" t="str">
        <x:v>empirical</x:v>
      </x:c>
      <x:c r="C361" t="str">
        <x:v>mmd</x:v>
      </x:c>
      <x:c r="D361" t="str">
        <x:v>m2</x:v>
      </x:c>
      <x:c r="E361" t="str">
        <x:v>S=2D</x:v>
      </x:c>
      <x:c r="F361" t="str">
        <x:v>log10_ml_error</x:v>
      </x:c>
      <x:c r="G361" t="str">
        <x:v>ESS-filtered raw NPE-MCMC central 90% interval [q5, q95]</x:v>
      </x:c>
      <x:c r="H361" t="n">
        <x:v>-0.11020758218839817</x:v>
      </x:c>
      <x:c r="I361" t="n">
        <x:v>0.002189062413752622</x:v>
      </x:c>
      <x:c r="J361" t="n">
        <x:v>1</x:v>
      </x:c>
      <x:c r="K361" t="n">
        <x:v>0</x:v>
      </x:c>
      <x:c r="L361" t="n">
        <x:v>14</x:v>
      </x:c>
      <x:c r="M361" t="n">
        <x:v>2</x:v>
      </x:c>
      <x:c r="N361" t="n">
        <x:v>17</x:v>
      </x:c>
      <x:c r="O361" t="n">
        <x:v>0.9333333333333333</x:v>
      </x:c>
      <x:c r="P361" t="n">
        <x:v>0</x:v>
      </x:c>
      <x:c r="Q361" t="n">
        <x:v>0.125</x:v>
      </x:c>
      <x:c r="R361" t="n">
        <x:v>0.6</x:v>
      </x:c>
    </x:row>
    <x:row r="362">
      <x:c r="A362" t="str">
        <x:v>Diffusion</x:v>
      </x:c>
      <x:c r="B362" t="str">
        <x:v>empirical</x:v>
      </x:c>
      <x:c r="C362" t="str">
        <x:v>l2</x:v>
      </x:c>
      <x:c r="D362" t="str">
        <x:v>m2</x:v>
      </x:c>
      <x:c r="E362" t="str">
        <x:v>S=4D</x:v>
      </x:c>
      <x:c r="F362" t="str">
        <x:v>log10_ml_error</x:v>
      </x:c>
      <x:c r="G362" t="str">
        <x:v>ESS-filtered raw NPE-MCMC central 90% interval [q5, q95]</x:v>
      </x:c>
      <x:c r="H362" t="n">
        <x:v>-0.10886465838790597</x:v>
      </x:c>
      <x:c r="I362" t="n">
        <x:v>0.005299073208575744</x:v>
      </x:c>
      <x:c r="J362" t="n">
        <x:v>12</x:v>
      </x:c>
      <x:c r="K362" t="n">
        <x:v>3</x:v>
      </x:c>
      <x:c r="L362" t="n">
        <x:v>0</x:v>
      </x:c>
      <x:c r="M362" t="n">
        <x:v>2</x:v>
      </x:c>
      <x:c r="N362" t="n">
        <x:v>17</x:v>
      </x:c>
      <x:c r="O362" t="n">
        <x:v>0</x:v>
      </x:c>
      <x:c r="P362" t="n">
        <x:v>0.6</x:v>
      </x:c>
      <x:c r="Q362" t="n">
        <x:v>0.8888888888888888</x:v>
      </x:c>
      <x:c r="R362" t="n">
        <x:v>0.8</x:v>
      </x:c>
    </x:row>
    <x:row r="363">
      <x:c r="A363" t="str">
        <x:v>Diffusion</x:v>
      </x:c>
      <x:c r="B363" t="str">
        <x:v>empirical</x:v>
      </x:c>
      <x:c r="C363" t="str">
        <x:v>linf</x:v>
      </x:c>
      <x:c r="D363" t="str">
        <x:v>m2</x:v>
      </x:c>
      <x:c r="E363" t="str">
        <x:v>S=4D</x:v>
      </x:c>
      <x:c r="F363" t="str">
        <x:v>log10_ml_error</x:v>
      </x:c>
      <x:c r="G363" t="str">
        <x:v>ESS-filtered raw NPE-MCMC central 90% interval [q5, q95]</x:v>
      </x:c>
      <x:c r="H363" t="n">
        <x:v>-0.10886465838790597</x:v>
      </x:c>
      <x:c r="I363" t="n">
        <x:v>0.005299073208575744</x:v>
      </x:c>
      <x:c r="J363" t="n">
        <x:v>12</x:v>
      </x:c>
      <x:c r="K363" t="n">
        <x:v>3</x:v>
      </x:c>
      <x:c r="L363" t="n">
        <x:v>0</x:v>
      </x:c>
      <x:c r="M363" t="n">
        <x:v>2</x:v>
      </x:c>
      <x:c r="N363" t="n">
        <x:v>17</x:v>
      </x:c>
      <x:c r="O363" t="n">
        <x:v>0</x:v>
      </x:c>
      <x:c r="P363" t="n">
        <x:v>0.6</x:v>
      </x:c>
      <x:c r="Q363" t="n">
        <x:v>0.8888888888888888</x:v>
      </x:c>
      <x:c r="R363" t="n">
        <x:v>0.75</x:v>
      </x:c>
    </x:row>
    <x:row r="364">
      <x:c r="A364" t="str">
        <x:v>Diffusion</x:v>
      </x:c>
      <x:c r="B364" t="str">
        <x:v>empirical</x:v>
      </x:c>
      <x:c r="C364" t="str">
        <x:v>density</x:v>
      </x:c>
      <x:c r="D364" t="str">
        <x:v>m2</x:v>
      </x:c>
      <x:c r="E364" t="str">
        <x:v>S=4D</x:v>
      </x:c>
      <x:c r="F364" t="str">
        <x:v>log10_ml_error</x:v>
      </x:c>
      <x:c r="G364" t="str">
        <x:v>ESS-filtered raw NPE-MCMC central 90% interval [q5, q95]</x:v>
      </x:c>
      <x:c r="H364" t="n">
        <x:v>-0.10886465838790597</x:v>
      </x:c>
      <x:c r="I364" t="n">
        <x:v>0.005299073208575744</x:v>
      </x:c>
      <x:c r="J364" t="n">
        <x:v>12</x:v>
      </x:c>
      <x:c r="K364" t="n">
        <x:v>5</x:v>
      </x:c>
      <x:c r="L364" t="n">
        <x:v>0</x:v>
      </x:c>
      <x:c r="M364" t="n">
        <x:v>0</x:v>
      </x:c>
      <x:c r="N364" t="n">
        <x:v>17</x:v>
      </x:c>
      <x:c r="O364" t="n">
        <x:v>0</x:v>
      </x:c>
      <x:c r="P364" t="n">
        <x:v>1</x:v>
      </x:c>
      <x:c r="Q364" t="n">
        <x:v>0.8275862068965517</x:v>
      </x:c>
      <x:c r="R364" t="n">
        <x:v>0.4166666666666667</x:v>
      </x:c>
    </x:row>
    <x:row r="365">
      <x:c r="A365" t="str">
        <x:v>Diffusion</x:v>
      </x:c>
      <x:c r="B365" t="str">
        <x:v>empirical</x:v>
      </x:c>
      <x:c r="C365" t="str">
        <x:v>mmd</x:v>
      </x:c>
      <x:c r="D365" t="str">
        <x:v>m2</x:v>
      </x:c>
      <x:c r="E365" t="str">
        <x:v>S=4D</x:v>
      </x:c>
      <x:c r="F365" t="str">
        <x:v>log10_ml_error</x:v>
      </x:c>
      <x:c r="G365" t="str">
        <x:v>ESS-filtered raw NPE-MCMC central 90% interval [q5, q95]</x:v>
      </x:c>
      <x:c r="H365" t="n">
        <x:v>-0.10886465838790597</x:v>
      </x:c>
      <x:c r="I365" t="n">
        <x:v>0.005299073208575744</x:v>
      </x:c>
      <x:c r="J365" t="n">
        <x:v>1</x:v>
      </x:c>
      <x:c r="K365" t="n">
        <x:v>0</x:v>
      </x:c>
      <x:c r="L365" t="n">
        <x:v>11</x:v>
      </x:c>
      <x:c r="M365" t="n">
        <x:v>5</x:v>
      </x:c>
      <x:c r="N365" t="n">
        <x:v>17</x:v>
      </x:c>
      <x:c r="O365" t="n">
        <x:v>0.9166666666666666</x:v>
      </x:c>
      <x:c r="P365" t="n">
        <x:v>0</x:v>
      </x:c>
      <x:c r="Q365" t="n">
        <x:v>0.15384615384615385</x:v>
      </x:c>
      <x:c r="R365" t="n">
        <x:v>0.8333333333333334</x:v>
      </x:c>
    </x:row>
    <x:row r="366">
      <x:c r="A366" t="str">
        <x:v>Diffusion</x:v>
      </x:c>
      <x:c r="B366" t="str">
        <x:v>empirical</x:v>
      </x:c>
      <x:c r="C366" t="str">
        <x:v>l2</x:v>
      </x:c>
      <x:c r="D366" t="str">
        <x:v>m2</x:v>
      </x:c>
      <x:c r="E366" t="str">
        <x:v>S=6D</x:v>
      </x:c>
      <x:c r="F366" t="str">
        <x:v>log10_ml_error</x:v>
      </x:c>
      <x:c r="G366" t="str">
        <x:v>ESS-filtered raw NPE-MCMC central 90% interval [q5, q95]</x:v>
      </x:c>
      <x:c r="H366" t="n">
        <x:v>-0.0970482843011841</x:v>
      </x:c>
      <x:c r="I366" t="n">
        <x:v>0.004105673586133214</x:v>
      </x:c>
      <x:c r="J366" t="n">
        <x:v>5</x:v>
      </x:c>
      <x:c r="K366" t="n">
        <x:v>5</x:v>
      </x:c>
      <x:c r="L366" t="n">
        <x:v>5</x:v>
      </x:c>
      <x:c r="M366" t="n">
        <x:v>2</x:v>
      </x:c>
      <x:c r="N366" t="n">
        <x:v>17</x:v>
      </x:c>
      <x:c r="O366" t="n">
        <x:v>0.5</x:v>
      </x:c>
      <x:c r="P366" t="n">
        <x:v>0.7142857142857143</x:v>
      </x:c>
      <x:c r="Q366" t="n">
        <x:v>0.5</x:v>
      </x:c>
      <x:c r="R366" t="n">
        <x:v>0.5857142857142857</x:v>
      </x:c>
    </x:row>
    <x:row r="367">
      <x:c r="A367" t="str">
        <x:v>Diffusion</x:v>
      </x:c>
      <x:c r="B367" t="str">
        <x:v>empirical</x:v>
      </x:c>
      <x:c r="C367" t="str">
        <x:v>linf</x:v>
      </x:c>
      <x:c r="D367" t="str">
        <x:v>m2</x:v>
      </x:c>
      <x:c r="E367" t="str">
        <x:v>S=6D</x:v>
      </x:c>
      <x:c r="F367" t="str">
        <x:v>log10_ml_error</x:v>
      </x:c>
      <x:c r="G367" t="str">
        <x:v>ESS-filtered raw NPE-MCMC central 90% interval [q5, q95]</x:v>
      </x:c>
      <x:c r="H367" t="n">
        <x:v>-0.0970482843011841</x:v>
      </x:c>
      <x:c r="I367" t="n">
        <x:v>0.004105673586133214</x:v>
      </x:c>
      <x:c r="J367" t="n">
        <x:v>2</x:v>
      </x:c>
      <x:c r="K367" t="n">
        <x:v>1</x:v>
      </x:c>
      <x:c r="L367" t="n">
        <x:v>8</x:v>
      </x:c>
      <x:c r="M367" t="n">
        <x:v>6</x:v>
      </x:c>
      <x:c r="N367" t="n">
        <x:v>17</x:v>
      </x:c>
      <x:c r="O367" t="n">
        <x:v>0.8</x:v>
      </x:c>
      <x:c r="P367" t="n">
        <x:v>0.14285714285714285</x:v>
      </x:c>
      <x:c r="Q367" t="n">
        <x:v>0.3076923076923077</x:v>
      </x:c>
      <x:c r="R367" t="n">
        <x:v>0.5285714285714286</x:v>
      </x:c>
    </x:row>
    <x:row r="368">
      <x:c r="A368" t="str">
        <x:v>Diffusion</x:v>
      </x:c>
      <x:c r="B368" t="str">
        <x:v>empirical</x:v>
      </x:c>
      <x:c r="C368" t="str">
        <x:v>density</x:v>
      </x:c>
      <x:c r="D368" t="str">
        <x:v>m2</x:v>
      </x:c>
      <x:c r="E368" t="str">
        <x:v>S=6D</x:v>
      </x:c>
      <x:c r="F368" t="str">
        <x:v>log10_ml_error</x:v>
      </x:c>
      <x:c r="G368" t="str">
        <x:v>ESS-filtered raw NPE-MCMC central 90% interval [q5, q95]</x:v>
      </x:c>
      <x:c r="H368" t="n">
        <x:v>-0.0970482843011841</x:v>
      </x:c>
      <x:c r="I368" t="n">
        <x:v>0.004105673586133214</x:v>
      </x:c>
      <x:c r="J368" t="n">
        <x:v>10</x:v>
      </x:c>
      <x:c r="K368" t="n">
        <x:v>7</x:v>
      </x:c>
      <x:c r="L368" t="n">
        <x:v>0</x:v>
      </x:c>
      <x:c r="M368" t="n">
        <x:v>0</x:v>
      </x:c>
      <x:c r="N368" t="n">
        <x:v>17</x:v>
      </x:c>
      <x:c r="O368" t="n">
        <x:v>0</x:v>
      </x:c>
      <x:c r="P368" t="n">
        <x:v>1</x:v>
      </x:c>
      <x:c r="Q368" t="n">
        <x:v>0.7407407407407407</x:v>
      </x:c>
      <x:c r="R368" t="n">
        <x:v>0.2857142857142857</x:v>
      </x:c>
    </x:row>
    <x:row r="369">
      <x:c r="A369" t="str">
        <x:v>Diffusion</x:v>
      </x:c>
      <x:c r="B369" t="str">
        <x:v>empirical</x:v>
      </x:c>
      <x:c r="C369" t="str">
        <x:v>mmd</x:v>
      </x:c>
      <x:c r="D369" t="str">
        <x:v>m2</x:v>
      </x:c>
      <x:c r="E369" t="str">
        <x:v>S=6D</x:v>
      </x:c>
      <x:c r="F369" t="str">
        <x:v>log10_ml_error</x:v>
      </x:c>
      <x:c r="G369" t="str">
        <x:v>ESS-filtered raw NPE-MCMC central 90% interval [q5, q95]</x:v>
      </x:c>
      <x:c r="H369" t="n">
        <x:v>-0.0970482843011841</x:v>
      </x:c>
      <x:c r="I369" t="n">
        <x:v>0.004105673586133214</x:v>
      </x:c>
      <x:c r="J369" t="n">
        <x:v>1</x:v>
      </x:c>
      <x:c r="K369" t="n">
        <x:v>0</x:v>
      </x:c>
      <x:c r="L369" t="n">
        <x:v>9</x:v>
      </x:c>
      <x:c r="M369" t="n">
        <x:v>7</x:v>
      </x:c>
      <x:c r="N369" t="n">
        <x:v>17</x:v>
      </x:c>
      <x:c r="O369" t="n">
        <x:v>0.9</x:v>
      </x:c>
      <x:c r="P369" t="n">
        <x:v>0</x:v>
      </x:c>
      <x:c r="Q369" t="n">
        <x:v>0.18181818181818182</x:v>
      </x:c>
      <x:c r="R369" t="n">
        <x:v>0.8571428571428571</x:v>
      </x:c>
    </x:row>
    <x:row r="370">
      <x:c r="A370" t="str">
        <x:v>Diffusion</x:v>
      </x:c>
      <x:c r="B370" t="str">
        <x:v>empirical</x:v>
      </x:c>
      <x:c r="C370" t="str">
        <x:v>l2</x:v>
      </x:c>
      <x:c r="D370" t="str">
        <x:v>m0</x:v>
      </x:c>
      <x:c r="E370" t="str">
        <x:v>S=D</x:v>
      </x:c>
      <x:c r="F370" t="str">
        <x:v>pmp_error</x:v>
      </x:c>
      <x:c r="G370" t="str">
        <x:v>ESS-filtered raw NPE-MCMC central 90% interval [q5, q95]</x:v>
      </x:c>
      <x:c r="H370" t="n">
        <x:v>-0.006791396706823725</x:v>
      </x:c>
      <x:c r="I370" t="n">
        <x:v>0.00412417635651127</x:v>
      </x:c>
      <x:c r="J370" t="n">
        <x:v>0</x:v>
      </x:c>
      <x:c r="K370" t="n">
        <x:v>14</x:v>
      </x:c>
      <x:c r="L370" t="n">
        <x:v>0</x:v>
      </x:c>
      <x:c r="M370" t="n">
        <x:v>3</x:v>
      </x:c>
      <x:c r="N370" t="n">
        <x:v>17</x:v>
      </x:c>
      <x:c r="O370" t="str">
        <x:v>N/A</x:v>
      </x:c>
      <x:c r="P370" t="n">
        <x:v>0.8235294117647058</x:v>
      </x:c>
      <x:c r="Q370" t="n">
        <x:v>0</x:v>
      </x:c>
      <x:c r="R370" t="str">
        <x:v>N/A</x:v>
      </x:c>
    </x:row>
    <x:row r="371">
      <x:c r="A371" t="str">
        <x:v>Diffusion</x:v>
      </x:c>
      <x:c r="B371" t="str">
        <x:v>empirical</x:v>
      </x:c>
      <x:c r="C371" t="str">
        <x:v>linf</x:v>
      </x:c>
      <x:c r="D371" t="str">
        <x:v>m0</x:v>
      </x:c>
      <x:c r="E371" t="str">
        <x:v>S=D</x:v>
      </x:c>
      <x:c r="F371" t="str">
        <x:v>pmp_error</x:v>
      </x:c>
      <x:c r="G371" t="str">
        <x:v>ESS-filtered raw NPE-MCMC central 90% interval [q5, q95]</x:v>
      </x:c>
      <x:c r="H371" t="n">
        <x:v>-0.006791396706823725</x:v>
      </x:c>
      <x:c r="I371" t="n">
        <x:v>0.00412417635651127</x:v>
      </x:c>
      <x:c r="J371" t="n">
        <x:v>0</x:v>
      </x:c>
      <x:c r="K371" t="n">
        <x:v>16</x:v>
      </x:c>
      <x:c r="L371" t="n">
        <x:v>0</x:v>
      </x:c>
      <x:c r="M371" t="n">
        <x:v>1</x:v>
      </x:c>
      <x:c r="N371" t="n">
        <x:v>17</x:v>
      </x:c>
      <x:c r="O371" t="str">
        <x:v>N/A</x:v>
      </x:c>
      <x:c r="P371" t="n">
        <x:v>0.9411764705882353</x:v>
      </x:c>
      <x:c r="Q371" t="n">
        <x:v>0</x:v>
      </x:c>
      <x:c r="R371" t="str">
        <x:v>N/A</x:v>
      </x:c>
    </x:row>
    <x:row r="372">
      <x:c r="A372" t="str">
        <x:v>Diffusion</x:v>
      </x:c>
      <x:c r="B372" t="str">
        <x:v>empirical</x:v>
      </x:c>
      <x:c r="C372" t="str">
        <x:v>density</x:v>
      </x:c>
      <x:c r="D372" t="str">
        <x:v>m0</x:v>
      </x:c>
      <x:c r="E372" t="str">
        <x:v>S=D</x:v>
      </x:c>
      <x:c r="F372" t="str">
        <x:v>pmp_error</x:v>
      </x:c>
      <x:c r="G372" t="str">
        <x:v>ESS-filtered raw NPE-MCMC central 90% interval [q5, q95]</x:v>
      </x:c>
      <x:c r="H372" t="n">
        <x:v>-0.006791396706823725</x:v>
      </x:c>
      <x:c r="I372" t="n">
        <x:v>0.00412417635651127</x:v>
      </x:c>
      <x:c r="J372" t="n">
        <x:v>0</x:v>
      </x:c>
      <x:c r="K372" t="n">
        <x:v>11</x:v>
      </x:c>
      <x:c r="L372" t="n">
        <x:v>0</x:v>
      </x:c>
      <x:c r="M372" t="n">
        <x:v>6</x:v>
      </x:c>
      <x:c r="N372" t="n">
        <x:v>17</x:v>
      </x:c>
      <x:c r="O372" t="str">
        <x:v>N/A</x:v>
      </x:c>
      <x:c r="P372" t="n">
        <x:v>0.6470588235294118</x:v>
      </x:c>
      <x:c r="Q372" t="n">
        <x:v>0</x:v>
      </x:c>
      <x:c r="R372" t="str">
        <x:v>N/A</x:v>
      </x:c>
    </x:row>
    <x:row r="373">
      <x:c r="A373" t="str">
        <x:v>Diffusion</x:v>
      </x:c>
      <x:c r="B373" t="str">
        <x:v>empirical</x:v>
      </x:c>
      <x:c r="C373" t="str">
        <x:v>mmd</x:v>
      </x:c>
      <x:c r="D373" t="str">
        <x:v>m0</x:v>
      </x:c>
      <x:c r="E373" t="str">
        <x:v>S=D</x:v>
      </x:c>
      <x:c r="F373" t="str">
        <x:v>pmp_error</x:v>
      </x:c>
      <x:c r="G373" t="str">
        <x:v>ESS-filtered raw NPE-MCMC central 90% interval [q5, q95]</x:v>
      </x:c>
      <x:c r="H373" t="n">
        <x:v>-0.006791396706823725</x:v>
      </x:c>
      <x:c r="I373" t="n">
        <x:v>0.00412417635651127</x:v>
      </x:c>
      <x:c r="J373" t="n">
        <x:v>0</x:v>
      </x:c>
      <x:c r="K373" t="n">
        <x:v>1</x:v>
      </x:c>
      <x:c r="L373" t="n">
        <x:v>0</x:v>
      </x:c>
      <x:c r="M373" t="n">
        <x:v>16</x:v>
      </x:c>
      <x:c r="N373" t="n">
        <x:v>17</x:v>
      </x:c>
      <x:c r="O373" t="str">
        <x:v>N/A</x:v>
      </x:c>
      <x:c r="P373" t="n">
        <x:v>0.058823529411764705</x:v>
      </x:c>
      <x:c r="Q373" t="n">
        <x:v>0</x:v>
      </x:c>
      <x:c r="R373" t="str">
        <x:v>N/A</x:v>
      </x:c>
    </x:row>
    <x:row r="374">
      <x:c r="A374" t="str">
        <x:v>Diffusion</x:v>
      </x:c>
      <x:c r="B374" t="str">
        <x:v>empirical</x:v>
      </x:c>
      <x:c r="C374" t="str">
        <x:v>l2</x:v>
      </x:c>
      <x:c r="D374" t="str">
        <x:v>m0</x:v>
      </x:c>
      <x:c r="E374" t="str">
        <x:v>S=2D</x:v>
      </x:c>
      <x:c r="F374" t="str">
        <x:v>pmp_error</x:v>
      </x:c>
      <x:c r="G374" t="str">
        <x:v>ESS-filtered raw NPE-MCMC central 90% interval [q5, q95]</x:v>
      </x:c>
      <x:c r="H374" t="n">
        <x:v>-0.00386953519412154</x:v>
      </x:c>
      <x:c r="I374" t="n">
        <x:v>0.0037321581987419692</x:v>
      </x:c>
      <x:c r="J374" t="n">
        <x:v>0</x:v>
      </x:c>
      <x:c r="K374" t="n">
        <x:v>17</x:v>
      </x:c>
      <x:c r="L374" t="n">
        <x:v>0</x:v>
      </x:c>
      <x:c r="M374" t="n">
        <x:v>0</x:v>
      </x:c>
      <x:c r="N374" t="n">
        <x:v>17</x:v>
      </x:c>
      <x:c r="O374" t="str">
        <x:v>N/A</x:v>
      </x:c>
      <x:c r="P374" t="n">
        <x:v>1</x:v>
      </x:c>
      <x:c r="Q374" t="n">
        <x:v>0</x:v>
      </x:c>
      <x:c r="R374" t="str">
        <x:v>N/A</x:v>
      </x:c>
    </x:row>
    <x:row r="375">
      <x:c r="A375" t="str">
        <x:v>Diffusion</x:v>
      </x:c>
      <x:c r="B375" t="str">
        <x:v>empirical</x:v>
      </x:c>
      <x:c r="C375" t="str">
        <x:v>linf</x:v>
      </x:c>
      <x:c r="D375" t="str">
        <x:v>m0</x:v>
      </x:c>
      <x:c r="E375" t="str">
        <x:v>S=2D</x:v>
      </x:c>
      <x:c r="F375" t="str">
        <x:v>pmp_error</x:v>
      </x:c>
      <x:c r="G375" t="str">
        <x:v>ESS-filtered raw NPE-MCMC central 90% interval [q5, q95]</x:v>
      </x:c>
      <x:c r="H375" t="n">
        <x:v>-0.00386953519412154</x:v>
      </x:c>
      <x:c r="I375" t="n">
        <x:v>0.0037321581987419692</x:v>
      </x:c>
      <x:c r="J375" t="n">
        <x:v>0</x:v>
      </x:c>
      <x:c r="K375" t="n">
        <x:v>17</x:v>
      </x:c>
      <x:c r="L375" t="n">
        <x:v>0</x:v>
      </x:c>
      <x:c r="M375" t="n">
        <x:v>0</x:v>
      </x:c>
      <x:c r="N375" t="n">
        <x:v>17</x:v>
      </x:c>
      <x:c r="O375" t="str">
        <x:v>N/A</x:v>
      </x:c>
      <x:c r="P375" t="n">
        <x:v>1</x:v>
      </x:c>
      <x:c r="Q375" t="n">
        <x:v>0</x:v>
      </x:c>
      <x:c r="R375" t="str">
        <x:v>N/A</x:v>
      </x:c>
    </x:row>
    <x:row r="376">
      <x:c r="A376" t="str">
        <x:v>Diffusion</x:v>
      </x:c>
      <x:c r="B376" t="str">
        <x:v>empirical</x:v>
      </x:c>
      <x:c r="C376" t="str">
        <x:v>density</x:v>
      </x:c>
      <x:c r="D376" t="str">
        <x:v>m0</x:v>
      </x:c>
      <x:c r="E376" t="str">
        <x:v>S=2D</x:v>
      </x:c>
      <x:c r="F376" t="str">
        <x:v>pmp_error</x:v>
      </x:c>
      <x:c r="G376" t="str">
        <x:v>ESS-filtered raw NPE-MCMC central 90% interval [q5, q95]</x:v>
      </x:c>
      <x:c r="H376" t="n">
        <x:v>-0.00386953519412154</x:v>
      </x:c>
      <x:c r="I376" t="n">
        <x:v>0.0037321581987419692</x:v>
      </x:c>
      <x:c r="J376" t="n">
        <x:v>0</x:v>
      </x:c>
      <x:c r="K376" t="n">
        <x:v>17</x:v>
      </x:c>
      <x:c r="L376" t="n">
        <x:v>0</x:v>
      </x:c>
      <x:c r="M376" t="n">
        <x:v>0</x:v>
      </x:c>
      <x:c r="N376" t="n">
        <x:v>17</x:v>
      </x:c>
      <x:c r="O376" t="str">
        <x:v>N/A</x:v>
      </x:c>
      <x:c r="P376" t="n">
        <x:v>1</x:v>
      </x:c>
      <x:c r="Q376" t="n">
        <x:v>0</x:v>
      </x:c>
      <x:c r="R376" t="str">
        <x:v>N/A</x:v>
      </x:c>
    </x:row>
    <x:row r="377">
      <x:c r="A377" t="str">
        <x:v>Diffusion</x:v>
      </x:c>
      <x:c r="B377" t="str">
        <x:v>empirical</x:v>
      </x:c>
      <x:c r="C377" t="str">
        <x:v>mmd</x:v>
      </x:c>
      <x:c r="D377" t="str">
        <x:v>m0</x:v>
      </x:c>
      <x:c r="E377" t="str">
        <x:v>S=2D</x:v>
      </x:c>
      <x:c r="F377" t="str">
        <x:v>pmp_error</x:v>
      </x:c>
      <x:c r="G377" t="str">
        <x:v>ESS-filtered raw NPE-MCMC central 90% interval [q5, q95]</x:v>
      </x:c>
      <x:c r="H377" t="n">
        <x:v>-0.00386953519412154</x:v>
      </x:c>
      <x:c r="I377" t="n">
        <x:v>0.0037321581987419692</x:v>
      </x:c>
      <x:c r="J377" t="n">
        <x:v>0</x:v>
      </x:c>
      <x:c r="K377" t="n">
        <x:v>7</x:v>
      </x:c>
      <x:c r="L377" t="n">
        <x:v>0</x:v>
      </x:c>
      <x:c r="M377" t="n">
        <x:v>10</x:v>
      </x:c>
      <x:c r="N377" t="n">
        <x:v>17</x:v>
      </x:c>
      <x:c r="O377" t="str">
        <x:v>N/A</x:v>
      </x:c>
      <x:c r="P377" t="n">
        <x:v>0.4117647058823529</x:v>
      </x:c>
      <x:c r="Q377" t="n">
        <x:v>0</x:v>
      </x:c>
      <x:c r="R377" t="str">
        <x:v>N/A</x:v>
      </x:c>
    </x:row>
    <x:row r="378">
      <x:c r="A378" t="str">
        <x:v>Diffusion</x:v>
      </x:c>
      <x:c r="B378" t="str">
        <x:v>empirical</x:v>
      </x:c>
      <x:c r="C378" t="str">
        <x:v>l2</x:v>
      </x:c>
      <x:c r="D378" t="str">
        <x:v>m0</x:v>
      </x:c>
      <x:c r="E378" t="str">
        <x:v>S=4D</x:v>
      </x:c>
      <x:c r="F378" t="str">
        <x:v>pmp_error</x:v>
      </x:c>
      <x:c r="G378" t="str">
        <x:v>ESS-filtered raw NPE-MCMC central 90% interval [q5, q95]</x:v>
      </x:c>
      <x:c r="H378" t="n">
        <x:v>-0.00302307531797234</x:v>
      </x:c>
      <x:c r="I378" t="n">
        <x:v>0.00347609580827904</x:v>
      </x:c>
      <x:c r="J378" t="n">
        <x:v>0</x:v>
      </x:c>
      <x:c r="K378" t="n">
        <x:v>16</x:v>
      </x:c>
      <x:c r="L378" t="n">
        <x:v>0</x:v>
      </x:c>
      <x:c r="M378" t="n">
        <x:v>1</x:v>
      </x:c>
      <x:c r="N378" t="n">
        <x:v>17</x:v>
      </x:c>
      <x:c r="O378" t="str">
        <x:v>N/A</x:v>
      </x:c>
      <x:c r="P378" t="n">
        <x:v>0.9411764705882353</x:v>
      </x:c>
      <x:c r="Q378" t="n">
        <x:v>0</x:v>
      </x:c>
      <x:c r="R378" t="str">
        <x:v>N/A</x:v>
      </x:c>
    </x:row>
    <x:row r="379">
      <x:c r="A379" t="str">
        <x:v>Diffusion</x:v>
      </x:c>
      <x:c r="B379" t="str">
        <x:v>empirical</x:v>
      </x:c>
      <x:c r="C379" t="str">
        <x:v>linf</x:v>
      </x:c>
      <x:c r="D379" t="str">
        <x:v>m0</x:v>
      </x:c>
      <x:c r="E379" t="str">
        <x:v>S=4D</x:v>
      </x:c>
      <x:c r="F379" t="str">
        <x:v>pmp_error</x:v>
      </x:c>
      <x:c r="G379" t="str">
        <x:v>ESS-filtered raw NPE-MCMC central 90% interval [q5, q95]</x:v>
      </x:c>
      <x:c r="H379" t="n">
        <x:v>-0.00302307531797234</x:v>
      </x:c>
      <x:c r="I379" t="n">
        <x:v>0.00347609580827904</x:v>
      </x:c>
      <x:c r="J379" t="n">
        <x:v>0</x:v>
      </x:c>
      <x:c r="K379" t="n">
        <x:v>14</x:v>
      </x:c>
      <x:c r="L379" t="n">
        <x:v>0</x:v>
      </x:c>
      <x:c r="M379" t="n">
        <x:v>3</x:v>
      </x:c>
      <x:c r="N379" t="n">
        <x:v>17</x:v>
      </x:c>
      <x:c r="O379" t="str">
        <x:v>N/A</x:v>
      </x:c>
      <x:c r="P379" t="n">
        <x:v>0.8235294117647058</x:v>
      </x:c>
      <x:c r="Q379" t="n">
        <x:v>0</x:v>
      </x:c>
      <x:c r="R379" t="str">
        <x:v>N/A</x:v>
      </x:c>
    </x:row>
    <x:row r="380">
      <x:c r="A380" t="str">
        <x:v>Diffusion</x:v>
      </x:c>
      <x:c r="B380" t="str">
        <x:v>empirical</x:v>
      </x:c>
      <x:c r="C380" t="str">
        <x:v>density</x:v>
      </x:c>
      <x:c r="D380" t="str">
        <x:v>m0</x:v>
      </x:c>
      <x:c r="E380" t="str">
        <x:v>S=4D</x:v>
      </x:c>
      <x:c r="F380" t="str">
        <x:v>pmp_error</x:v>
      </x:c>
      <x:c r="G380" t="str">
        <x:v>ESS-filtered raw NPE-MCMC central 90% interval [q5, q95]</x:v>
      </x:c>
      <x:c r="H380" t="n">
        <x:v>-0.00302307531797234</x:v>
      </x:c>
      <x:c r="I380" t="n">
        <x:v>0.00347609580827904</x:v>
      </x:c>
      <x:c r="J380" t="n">
        <x:v>0</x:v>
      </x:c>
      <x:c r="K380" t="n">
        <x:v>17</x:v>
      </x:c>
      <x:c r="L380" t="n">
        <x:v>0</x:v>
      </x:c>
      <x:c r="M380" t="n">
        <x:v>0</x:v>
      </x:c>
      <x:c r="N380" t="n">
        <x:v>17</x:v>
      </x:c>
      <x:c r="O380" t="str">
        <x:v>N/A</x:v>
      </x:c>
      <x:c r="P380" t="n">
        <x:v>1</x:v>
      </x:c>
      <x:c r="Q380" t="n">
        <x:v>0</x:v>
      </x:c>
      <x:c r="R380" t="str">
        <x:v>N/A</x:v>
      </x:c>
    </x:row>
    <x:row r="381">
      <x:c r="A381" t="str">
        <x:v>Diffusion</x:v>
      </x:c>
      <x:c r="B381" t="str">
        <x:v>empirical</x:v>
      </x:c>
      <x:c r="C381" t="str">
        <x:v>mmd</x:v>
      </x:c>
      <x:c r="D381" t="str">
        <x:v>m0</x:v>
      </x:c>
      <x:c r="E381" t="str">
        <x:v>S=4D</x:v>
      </x:c>
      <x:c r="F381" t="str">
        <x:v>pmp_error</x:v>
      </x:c>
      <x:c r="G381" t="str">
        <x:v>ESS-filtered raw NPE-MCMC central 90% interval [q5, q95]</x:v>
      </x:c>
      <x:c r="H381" t="n">
        <x:v>-0.00302307531797234</x:v>
      </x:c>
      <x:c r="I381" t="n">
        <x:v>0.00347609580827904</x:v>
      </x:c>
      <x:c r="J381" t="n">
        <x:v>0</x:v>
      </x:c>
      <x:c r="K381" t="n">
        <x:v>9</x:v>
      </x:c>
      <x:c r="L381" t="n">
        <x:v>0</x:v>
      </x:c>
      <x:c r="M381" t="n">
        <x:v>8</x:v>
      </x:c>
      <x:c r="N381" t="n">
        <x:v>17</x:v>
      </x:c>
      <x:c r="O381" t="str">
        <x:v>N/A</x:v>
      </x:c>
      <x:c r="P381" t="n">
        <x:v>0.5294117647058824</x:v>
      </x:c>
      <x:c r="Q381" t="n">
        <x:v>0</x:v>
      </x:c>
      <x:c r="R381" t="str">
        <x:v>N/A</x:v>
      </x:c>
    </x:row>
    <x:row r="382">
      <x:c r="A382" t="str">
        <x:v>Diffusion</x:v>
      </x:c>
      <x:c r="B382" t="str">
        <x:v>empirical</x:v>
      </x:c>
      <x:c r="C382" t="str">
        <x:v>l2</x:v>
      </x:c>
      <x:c r="D382" t="str">
        <x:v>m0</x:v>
      </x:c>
      <x:c r="E382" t="str">
        <x:v>S=6D</x:v>
      </x:c>
      <x:c r="F382" t="str">
        <x:v>pmp_error</x:v>
      </x:c>
      <x:c r="G382" t="str">
        <x:v>ESS-filtered raw NPE-MCMC central 90% interval [q5, q95]</x:v>
      </x:c>
      <x:c r="H382" t="n">
        <x:v>-0.004063745002287125</x:v>
      </x:c>
      <x:c r="I382" t="n">
        <x:v>0.0034081318829096</x:v>
      </x:c>
      <x:c r="J382" t="n">
        <x:v>0</x:v>
      </x:c>
      <x:c r="K382" t="n">
        <x:v>16</x:v>
      </x:c>
      <x:c r="L382" t="n">
        <x:v>0</x:v>
      </x:c>
      <x:c r="M382" t="n">
        <x:v>1</x:v>
      </x:c>
      <x:c r="N382" t="n">
        <x:v>17</x:v>
      </x:c>
      <x:c r="O382" t="str">
        <x:v>N/A</x:v>
      </x:c>
      <x:c r="P382" t="n">
        <x:v>0.9411764705882353</x:v>
      </x:c>
      <x:c r="Q382" t="n">
        <x:v>0</x:v>
      </x:c>
      <x:c r="R382" t="str">
        <x:v>N/A</x:v>
      </x:c>
    </x:row>
    <x:row r="383">
      <x:c r="A383" t="str">
        <x:v>Diffusion</x:v>
      </x:c>
      <x:c r="B383" t="str">
        <x:v>empirical</x:v>
      </x:c>
      <x:c r="C383" t="str">
        <x:v>linf</x:v>
      </x:c>
      <x:c r="D383" t="str">
        <x:v>m0</x:v>
      </x:c>
      <x:c r="E383" t="str">
        <x:v>S=6D</x:v>
      </x:c>
      <x:c r="F383" t="str">
        <x:v>pmp_error</x:v>
      </x:c>
      <x:c r="G383" t="str">
        <x:v>ESS-filtered raw NPE-MCMC central 90% interval [q5, q95]</x:v>
      </x:c>
      <x:c r="H383" t="n">
        <x:v>-0.004063745002287125</x:v>
      </x:c>
      <x:c r="I383" t="n">
        <x:v>0.0034081318829096</x:v>
      </x:c>
      <x:c r="J383" t="n">
        <x:v>0</x:v>
      </x:c>
      <x:c r="K383" t="n">
        <x:v>16</x:v>
      </x:c>
      <x:c r="L383" t="n">
        <x:v>0</x:v>
      </x:c>
      <x:c r="M383" t="n">
        <x:v>1</x:v>
      </x:c>
      <x:c r="N383" t="n">
        <x:v>17</x:v>
      </x:c>
      <x:c r="O383" t="str">
        <x:v>N/A</x:v>
      </x:c>
      <x:c r="P383" t="n">
        <x:v>0.9411764705882353</x:v>
      </x:c>
      <x:c r="Q383" t="n">
        <x:v>0</x:v>
      </x:c>
      <x:c r="R383" t="str">
        <x:v>N/A</x:v>
      </x:c>
    </x:row>
    <x:row r="384">
      <x:c r="A384" t="str">
        <x:v>Diffusion</x:v>
      </x:c>
      <x:c r="B384" t="str">
        <x:v>empirical</x:v>
      </x:c>
      <x:c r="C384" t="str">
        <x:v>density</x:v>
      </x:c>
      <x:c r="D384" t="str">
        <x:v>m0</x:v>
      </x:c>
      <x:c r="E384" t="str">
        <x:v>S=6D</x:v>
      </x:c>
      <x:c r="F384" t="str">
        <x:v>pmp_error</x:v>
      </x:c>
      <x:c r="G384" t="str">
        <x:v>ESS-filtered raw NPE-MCMC central 90% interval [q5, q95]</x:v>
      </x:c>
      <x:c r="H384" t="n">
        <x:v>-0.004063745002287125</x:v>
      </x:c>
      <x:c r="I384" t="n">
        <x:v>0.0034081318829096</x:v>
      </x:c>
      <x:c r="J384" t="n">
        <x:v>0</x:v>
      </x:c>
      <x:c r="K384" t="n">
        <x:v>17</x:v>
      </x:c>
      <x:c r="L384" t="n">
        <x:v>0</x:v>
      </x:c>
      <x:c r="M384" t="n">
        <x:v>0</x:v>
      </x:c>
      <x:c r="N384" t="n">
        <x:v>17</x:v>
      </x:c>
      <x:c r="O384" t="str">
        <x:v>N/A</x:v>
      </x:c>
      <x:c r="P384" t="n">
        <x:v>1</x:v>
      </x:c>
      <x:c r="Q384" t="n">
        <x:v>0</x:v>
      </x:c>
      <x:c r="R384" t="str">
        <x:v>N/A</x:v>
      </x:c>
    </x:row>
    <x:row r="385">
      <x:c r="A385" t="str">
        <x:v>Diffusion</x:v>
      </x:c>
      <x:c r="B385" t="str">
        <x:v>empirical</x:v>
      </x:c>
      <x:c r="C385" t="str">
        <x:v>mmd</x:v>
      </x:c>
      <x:c r="D385" t="str">
        <x:v>m0</x:v>
      </x:c>
      <x:c r="E385" t="str">
        <x:v>S=6D</x:v>
      </x:c>
      <x:c r="F385" t="str">
        <x:v>pmp_error</x:v>
      </x:c>
      <x:c r="G385" t="str">
        <x:v>ESS-filtered raw NPE-MCMC central 90% interval [q5, q95]</x:v>
      </x:c>
      <x:c r="H385" t="n">
        <x:v>-0.004063745002287125</x:v>
      </x:c>
      <x:c r="I385" t="n">
        <x:v>0.0034081318829096</x:v>
      </x:c>
      <x:c r="J385" t="n">
        <x:v>0</x:v>
      </x:c>
      <x:c r="K385" t="n">
        <x:v>5</x:v>
      </x:c>
      <x:c r="L385" t="n">
        <x:v>0</x:v>
      </x:c>
      <x:c r="M385" t="n">
        <x:v>12</x:v>
      </x:c>
      <x:c r="N385" t="n">
        <x:v>17</x:v>
      </x:c>
      <x:c r="O385" t="str">
        <x:v>N/A</x:v>
      </x:c>
      <x:c r="P385" t="n">
        <x:v>0.29411764705882354</x:v>
      </x:c>
      <x:c r="Q385" t="n">
        <x:v>0</x:v>
      </x:c>
      <x:c r="R385" t="str">
        <x:v>N/A</x:v>
      </x:c>
    </x:row>
    <x:row r="386">
      <x:c r="A386" t="str">
        <x:v>Diffusion</x:v>
      </x:c>
      <x:c r="B386" t="str">
        <x:v>empirical</x:v>
      </x:c>
      <x:c r="C386" t="str">
        <x:v>l2</x:v>
      </x:c>
      <x:c r="D386" t="str">
        <x:v>m2</x:v>
      </x:c>
      <x:c r="E386" t="str">
        <x:v>S=D</x:v>
      </x:c>
      <x:c r="F386" t="str">
        <x:v>pmp_error</x:v>
      </x:c>
      <x:c r="G386" t="str">
        <x:v>ESS-filtered raw NPE-MCMC central 90% interval [q5, q95]</x:v>
      </x:c>
      <x:c r="H386" t="n">
        <x:v>-0.00371394264412655</x:v>
      </x:c>
      <x:c r="I386" t="n">
        <x:v>0.0022905885690133695</x:v>
      </x:c>
      <x:c r="J386" t="n">
        <x:v>1</x:v>
      </x:c>
      <x:c r="K386" t="n">
        <x:v>11</x:v>
      </x:c>
      <x:c r="L386" t="n">
        <x:v>0</x:v>
      </x:c>
      <x:c r="M386" t="n">
        <x:v>5</x:v>
      </x:c>
      <x:c r="N386" t="n">
        <x:v>17</x:v>
      </x:c>
      <x:c r="O386" t="n">
        <x:v>0</x:v>
      </x:c>
      <x:c r="P386" t="n">
        <x:v>0.6875</x:v>
      </x:c>
      <x:c r="Q386" t="n">
        <x:v>0.15384615384615385</x:v>
      </x:c>
      <x:c r="R386" t="n">
        <x:v>1</x:v>
      </x:c>
    </x:row>
    <x:row r="387">
      <x:c r="A387" t="str">
        <x:v>Diffusion</x:v>
      </x:c>
      <x:c r="B387" t="str">
        <x:v>empirical</x:v>
      </x:c>
      <x:c r="C387" t="str">
        <x:v>linf</x:v>
      </x:c>
      <x:c r="D387" t="str">
        <x:v>m2</x:v>
      </x:c>
      <x:c r="E387" t="str">
        <x:v>S=D</x:v>
      </x:c>
      <x:c r="F387" t="str">
        <x:v>pmp_error</x:v>
      </x:c>
      <x:c r="G387" t="str">
        <x:v>ESS-filtered raw NPE-MCMC central 90% interval [q5, q95]</x:v>
      </x:c>
      <x:c r="H387" t="n">
        <x:v>-0.00371394264412655</x:v>
      </x:c>
      <x:c r="I387" t="n">
        <x:v>0.0022905885690133695</x:v>
      </x:c>
      <x:c r="J387" t="n">
        <x:v>1</x:v>
      </x:c>
      <x:c r="K387" t="n">
        <x:v>4</x:v>
      </x:c>
      <x:c r="L387" t="n">
        <x:v>0</x:v>
      </x:c>
      <x:c r="M387" t="n">
        <x:v>12</x:v>
      </x:c>
      <x:c r="N387" t="n">
        <x:v>17</x:v>
      </x:c>
      <x:c r="O387" t="n">
        <x:v>0</x:v>
      </x:c>
      <x:c r="P387" t="n">
        <x:v>0.25</x:v>
      </x:c>
      <x:c r="Q387" t="n">
        <x:v>0.3333333333333333</x:v>
      </x:c>
      <x:c r="R387" t="n">
        <x:v>1</x:v>
      </x:c>
    </x:row>
    <x:row r="388">
      <x:c r="A388" t="str">
        <x:v>Diffusion</x:v>
      </x:c>
      <x:c r="B388" t="str">
        <x:v>empirical</x:v>
      </x:c>
      <x:c r="C388" t="str">
        <x:v>density</x:v>
      </x:c>
      <x:c r="D388" t="str">
        <x:v>m2</x:v>
      </x:c>
      <x:c r="E388" t="str">
        <x:v>S=D</x:v>
      </x:c>
      <x:c r="F388" t="str">
        <x:v>pmp_error</x:v>
      </x:c>
      <x:c r="G388" t="str">
        <x:v>ESS-filtered raw NPE-MCMC central 90% interval [q5, q95]</x:v>
      </x:c>
      <x:c r="H388" t="n">
        <x:v>-0.00371394264412655</x:v>
      </x:c>
      <x:c r="I388" t="n">
        <x:v>0.0022905885690133695</x:v>
      </x:c>
      <x:c r="J388" t="n">
        <x:v>1</x:v>
      </x:c>
      <x:c r="K388" t="n">
        <x:v>10</x:v>
      </x:c>
      <x:c r="L388" t="n">
        <x:v>0</x:v>
      </x:c>
      <x:c r="M388" t="n">
        <x:v>6</x:v>
      </x:c>
      <x:c r="N388" t="n">
        <x:v>17</x:v>
      </x:c>
      <x:c r="O388" t="n">
        <x:v>0</x:v>
      </x:c>
      <x:c r="P388" t="n">
        <x:v>0.625</x:v>
      </x:c>
      <x:c r="Q388" t="n">
        <x:v>0.16666666666666666</x:v>
      </x:c>
      <x:c r="R388" t="n">
        <x:v>1</x:v>
      </x:c>
    </x:row>
    <x:row r="389">
      <x:c r="A389" t="str">
        <x:v>Diffusion</x:v>
      </x:c>
      <x:c r="B389" t="str">
        <x:v>empirical</x:v>
      </x:c>
      <x:c r="C389" t="str">
        <x:v>mmd</x:v>
      </x:c>
      <x:c r="D389" t="str">
        <x:v>m2</x:v>
      </x:c>
      <x:c r="E389" t="str">
        <x:v>S=D</x:v>
      </x:c>
      <x:c r="F389" t="str">
        <x:v>pmp_error</x:v>
      </x:c>
      <x:c r="G389" t="str">
        <x:v>ESS-filtered raw NPE-MCMC central 90% interval [q5, q95]</x:v>
      </x:c>
      <x:c r="H389" t="n">
        <x:v>-0.00371394264412655</x:v>
      </x:c>
      <x:c r="I389" t="n">
        <x:v>0.0022905885690133695</x:v>
      </x:c>
      <x:c r="J389" t="n">
        <x:v>1</x:v>
      </x:c>
      <x:c r="K389" t="n">
        <x:v>1</x:v>
      </x:c>
      <x:c r="L389" t="n">
        <x:v>0</x:v>
      </x:c>
      <x:c r="M389" t="n">
        <x:v>15</x:v>
      </x:c>
      <x:c r="N389" t="n">
        <x:v>17</x:v>
      </x:c>
      <x:c r="O389" t="n">
        <x:v>0</x:v>
      </x:c>
      <x:c r="P389" t="n">
        <x:v>0.0625</x:v>
      </x:c>
      <x:c r="Q389" t="n">
        <x:v>0.6666666666666666</x:v>
      </x:c>
      <x:c r="R389" t="n">
        <x:v>1</x:v>
      </x:c>
    </x:row>
    <x:row r="390">
      <x:c r="A390" t="str">
        <x:v>Diffusion</x:v>
      </x:c>
      <x:c r="B390" t="str">
        <x:v>empirical</x:v>
      </x:c>
      <x:c r="C390" t="str">
        <x:v>l2</x:v>
      </x:c>
      <x:c r="D390" t="str">
        <x:v>m2</x:v>
      </x:c>
      <x:c r="E390" t="str">
        <x:v>S=2D</x:v>
      </x:c>
      <x:c r="F390" t="str">
        <x:v>pmp_error</x:v>
      </x:c>
      <x:c r="G390" t="str">
        <x:v>ESS-filtered raw NPE-MCMC central 90% interval [q5, q95]</x:v>
      </x:c>
      <x:c r="H390" t="n">
        <x:v>-0.0010852033686972</x:v>
      </x:c>
      <x:c r="I390" t="n">
        <x:v>0.000882010005954</x:v>
      </x:c>
      <x:c r="J390" t="n">
        <x:v>0</x:v>
      </x:c>
      <x:c r="K390" t="n">
        <x:v>8</x:v>
      </x:c>
      <x:c r="L390" t="n">
        <x:v>0</x:v>
      </x:c>
      <x:c r="M390" t="n">
        <x:v>9</x:v>
      </x:c>
      <x:c r="N390" t="n">
        <x:v>17</x:v>
      </x:c>
      <x:c r="O390" t="str">
        <x:v>N/A</x:v>
      </x:c>
      <x:c r="P390" t="n">
        <x:v>0.47058823529411764</x:v>
      </x:c>
      <x:c r="Q390" t="n">
        <x:v>0</x:v>
      </x:c>
      <x:c r="R390" t="str">
        <x:v>N/A</x:v>
      </x:c>
    </x:row>
    <x:row r="391">
      <x:c r="A391" t="str">
        <x:v>Diffusion</x:v>
      </x:c>
      <x:c r="B391" t="str">
        <x:v>empirical</x:v>
      </x:c>
      <x:c r="C391" t="str">
        <x:v>linf</x:v>
      </x:c>
      <x:c r="D391" t="str">
        <x:v>m2</x:v>
      </x:c>
      <x:c r="E391" t="str">
        <x:v>S=2D</x:v>
      </x:c>
      <x:c r="F391" t="str">
        <x:v>pmp_error</x:v>
      </x:c>
      <x:c r="G391" t="str">
        <x:v>ESS-filtered raw NPE-MCMC central 90% interval [q5, q95]</x:v>
      </x:c>
      <x:c r="H391" t="n">
        <x:v>-0.0010852033686972</x:v>
      </x:c>
      <x:c r="I391" t="n">
        <x:v>0.000882010005954</x:v>
      </x:c>
      <x:c r="J391" t="n">
        <x:v>0</x:v>
      </x:c>
      <x:c r="K391" t="n">
        <x:v>17</x:v>
      </x:c>
      <x:c r="L391" t="n">
        <x:v>0</x:v>
      </x:c>
      <x:c r="M391" t="n">
        <x:v>0</x:v>
      </x:c>
      <x:c r="N391" t="n">
        <x:v>17</x:v>
      </x:c>
      <x:c r="O391" t="str">
        <x:v>N/A</x:v>
      </x:c>
      <x:c r="P391" t="n">
        <x:v>1</x:v>
      </x:c>
      <x:c r="Q391" t="n">
        <x:v>0</x:v>
      </x:c>
      <x:c r="R391" t="str">
        <x:v>N/A</x:v>
      </x:c>
    </x:row>
    <x:row r="392">
      <x:c r="A392" t="str">
        <x:v>Diffusion</x:v>
      </x:c>
      <x:c r="B392" t="str">
        <x:v>empirical</x:v>
      </x:c>
      <x:c r="C392" t="str">
        <x:v>density</x:v>
      </x:c>
      <x:c r="D392" t="str">
        <x:v>m2</x:v>
      </x:c>
      <x:c r="E392" t="str">
        <x:v>S=2D</x:v>
      </x:c>
      <x:c r="F392" t="str">
        <x:v>pmp_error</x:v>
      </x:c>
      <x:c r="G392" t="str">
        <x:v>ESS-filtered raw NPE-MCMC central 90% interval [q5, q95]</x:v>
      </x:c>
      <x:c r="H392" t="n">
        <x:v>-0.0010852033686972</x:v>
      </x:c>
      <x:c r="I392" t="n">
        <x:v>0.000882010005954</x:v>
      </x:c>
      <x:c r="J392" t="n">
        <x:v>0</x:v>
      </x:c>
      <x:c r="K392" t="n">
        <x:v>17</x:v>
      </x:c>
      <x:c r="L392" t="n">
        <x:v>0</x:v>
      </x:c>
      <x:c r="M392" t="n">
        <x:v>0</x:v>
      </x:c>
      <x:c r="N392" t="n">
        <x:v>17</x:v>
      </x:c>
      <x:c r="O392" t="str">
        <x:v>N/A</x:v>
      </x:c>
      <x:c r="P392" t="n">
        <x:v>1</x:v>
      </x:c>
      <x:c r="Q392" t="n">
        <x:v>0</x:v>
      </x:c>
      <x:c r="R392" t="str">
        <x:v>N/A</x:v>
      </x:c>
    </x:row>
    <x:row r="393">
      <x:c r="A393" t="str">
        <x:v>Diffusion</x:v>
      </x:c>
      <x:c r="B393" t="str">
        <x:v>empirical</x:v>
      </x:c>
      <x:c r="C393" t="str">
        <x:v>mmd</x:v>
      </x:c>
      <x:c r="D393" t="str">
        <x:v>m2</x:v>
      </x:c>
      <x:c r="E393" t="str">
        <x:v>S=2D</x:v>
      </x:c>
      <x:c r="F393" t="str">
        <x:v>pmp_error</x:v>
      </x:c>
      <x:c r="G393" t="str">
        <x:v>ESS-filtered raw NPE-MCMC central 90% interval [q5, q95]</x:v>
      </x:c>
      <x:c r="H393" t="n">
        <x:v>-0.0010852033686972</x:v>
      </x:c>
      <x:c r="I393" t="n">
        <x:v>0.000882010005954</x:v>
      </x:c>
      <x:c r="J393" t="n">
        <x:v>0</x:v>
      </x:c>
      <x:c r="K393" t="n">
        <x:v>1</x:v>
      </x:c>
      <x:c r="L393" t="n">
        <x:v>0</x:v>
      </x:c>
      <x:c r="M393" t="n">
        <x:v>16</x:v>
      </x:c>
      <x:c r="N393" t="n">
        <x:v>17</x:v>
      </x:c>
      <x:c r="O393" t="str">
        <x:v>N/A</x:v>
      </x:c>
      <x:c r="P393" t="n">
        <x:v>0.058823529411764705</x:v>
      </x:c>
      <x:c r="Q393" t="n">
        <x:v>0</x:v>
      </x:c>
      <x:c r="R393" t="str">
        <x:v>N/A</x:v>
      </x:c>
    </x:row>
    <x:row r="394">
      <x:c r="A394" t="str">
        <x:v>Diffusion</x:v>
      </x:c>
      <x:c r="B394" t="str">
        <x:v>empirical</x:v>
      </x:c>
      <x:c r="C394" t="str">
        <x:v>l2</x:v>
      </x:c>
      <x:c r="D394" t="str">
        <x:v>m2</x:v>
      </x:c>
      <x:c r="E394" t="str">
        <x:v>S=4D</x:v>
      </x:c>
      <x:c r="F394" t="str">
        <x:v>pmp_error</x:v>
      </x:c>
      <x:c r="G394" t="str">
        <x:v>ESS-filtered raw NPE-MCMC central 90% interval [q5, q95]</x:v>
      </x:c>
      <x:c r="H394" t="n">
        <x:v>-0.0013118886029695</x:v>
      </x:c>
      <x:c r="I394" t="n">
        <x:v>0.0011534500210914178</x:v>
      </x:c>
      <x:c r="J394" t="n">
        <x:v>0</x:v>
      </x:c>
      <x:c r="K394" t="n">
        <x:v>15</x:v>
      </x:c>
      <x:c r="L394" t="n">
        <x:v>0</x:v>
      </x:c>
      <x:c r="M394" t="n">
        <x:v>2</x:v>
      </x:c>
      <x:c r="N394" t="n">
        <x:v>17</x:v>
      </x:c>
      <x:c r="O394" t="str">
        <x:v>N/A</x:v>
      </x:c>
      <x:c r="P394" t="n">
        <x:v>0.8823529411764706</x:v>
      </x:c>
      <x:c r="Q394" t="n">
        <x:v>0</x:v>
      </x:c>
      <x:c r="R394" t="str">
        <x:v>N/A</x:v>
      </x:c>
    </x:row>
    <x:row r="395">
      <x:c r="A395" t="str">
        <x:v>Diffusion</x:v>
      </x:c>
      <x:c r="B395" t="str">
        <x:v>empirical</x:v>
      </x:c>
      <x:c r="C395" t="str">
        <x:v>linf</x:v>
      </x:c>
      <x:c r="D395" t="str">
        <x:v>m2</x:v>
      </x:c>
      <x:c r="E395" t="str">
        <x:v>S=4D</x:v>
      </x:c>
      <x:c r="F395" t="str">
        <x:v>pmp_error</x:v>
      </x:c>
      <x:c r="G395" t="str">
        <x:v>ESS-filtered raw NPE-MCMC central 90% interval [q5, q95]</x:v>
      </x:c>
      <x:c r="H395" t="n">
        <x:v>-0.0013118886029695</x:v>
      </x:c>
      <x:c r="I395" t="n">
        <x:v>0.0011534500210914178</x:v>
      </x:c>
      <x:c r="J395" t="n">
        <x:v>0</x:v>
      </x:c>
      <x:c r="K395" t="n">
        <x:v>15</x:v>
      </x:c>
      <x:c r="L395" t="n">
        <x:v>0</x:v>
      </x:c>
      <x:c r="M395" t="n">
        <x:v>2</x:v>
      </x:c>
      <x:c r="N395" t="n">
        <x:v>17</x:v>
      </x:c>
      <x:c r="O395" t="str">
        <x:v>N/A</x:v>
      </x:c>
      <x:c r="P395" t="n">
        <x:v>0.8823529411764706</x:v>
      </x:c>
      <x:c r="Q395" t="n">
        <x:v>0</x:v>
      </x:c>
      <x:c r="R395" t="str">
        <x:v>N/A</x:v>
      </x:c>
    </x:row>
    <x:row r="396">
      <x:c r="A396" t="str">
        <x:v>Diffusion</x:v>
      </x:c>
      <x:c r="B396" t="str">
        <x:v>empirical</x:v>
      </x:c>
      <x:c r="C396" t="str">
        <x:v>density</x:v>
      </x:c>
      <x:c r="D396" t="str">
        <x:v>m2</x:v>
      </x:c>
      <x:c r="E396" t="str">
        <x:v>S=4D</x:v>
      </x:c>
      <x:c r="F396" t="str">
        <x:v>pmp_error</x:v>
      </x:c>
      <x:c r="G396" t="str">
        <x:v>ESS-filtered raw NPE-MCMC central 90% interval [q5, q95]</x:v>
      </x:c>
      <x:c r="H396" t="n">
        <x:v>-0.0013118886029695</x:v>
      </x:c>
      <x:c r="I396" t="n">
        <x:v>0.0011534500210914178</x:v>
      </x:c>
      <x:c r="J396" t="n">
        <x:v>0</x:v>
      </x:c>
      <x:c r="K396" t="n">
        <x:v>17</x:v>
      </x:c>
      <x:c r="L396" t="n">
        <x:v>0</x:v>
      </x:c>
      <x:c r="M396" t="n">
        <x:v>0</x:v>
      </x:c>
      <x:c r="N396" t="n">
        <x:v>17</x:v>
      </x:c>
      <x:c r="O396" t="str">
        <x:v>N/A</x:v>
      </x:c>
      <x:c r="P396" t="n">
        <x:v>1</x:v>
      </x:c>
      <x:c r="Q396" t="n">
        <x:v>0</x:v>
      </x:c>
      <x:c r="R396" t="str">
        <x:v>N/A</x:v>
      </x:c>
    </x:row>
    <x:row r="397">
      <x:c r="A397" t="str">
        <x:v>Diffusion</x:v>
      </x:c>
      <x:c r="B397" t="str">
        <x:v>empirical</x:v>
      </x:c>
      <x:c r="C397" t="str">
        <x:v>mmd</x:v>
      </x:c>
      <x:c r="D397" t="str">
        <x:v>m2</x:v>
      </x:c>
      <x:c r="E397" t="str">
        <x:v>S=4D</x:v>
      </x:c>
      <x:c r="F397" t="str">
        <x:v>pmp_error</x:v>
      </x:c>
      <x:c r="G397" t="str">
        <x:v>ESS-filtered raw NPE-MCMC central 90% interval [q5, q95]</x:v>
      </x:c>
      <x:c r="H397" t="n">
        <x:v>-0.0013118886029695</x:v>
      </x:c>
      <x:c r="I397" t="n">
        <x:v>0.0011534500210914178</x:v>
      </x:c>
      <x:c r="J397" t="n">
        <x:v>0</x:v>
      </x:c>
      <x:c r="K397" t="n">
        <x:v>1</x:v>
      </x:c>
      <x:c r="L397" t="n">
        <x:v>0</x:v>
      </x:c>
      <x:c r="M397" t="n">
        <x:v>16</x:v>
      </x:c>
      <x:c r="N397" t="n">
        <x:v>17</x:v>
      </x:c>
      <x:c r="O397" t="str">
        <x:v>N/A</x:v>
      </x:c>
      <x:c r="P397" t="n">
        <x:v>0.058823529411764705</x:v>
      </x:c>
      <x:c r="Q397" t="n">
        <x:v>0</x:v>
      </x:c>
      <x:c r="R397" t="str">
        <x:v>N/A</x:v>
      </x:c>
    </x:row>
    <x:row r="398">
      <x:c r="A398" t="str">
        <x:v>Diffusion</x:v>
      </x:c>
      <x:c r="B398" t="str">
        <x:v>empirical</x:v>
      </x:c>
      <x:c r="C398" t="str">
        <x:v>l2</x:v>
      </x:c>
      <x:c r="D398" t="str">
        <x:v>m2</x:v>
      </x:c>
      <x:c r="E398" t="str">
        <x:v>S=6D</x:v>
      </x:c>
      <x:c r="F398" t="str">
        <x:v>pmp_error</x:v>
      </x:c>
      <x:c r="G398" t="str">
        <x:v>ESS-filtered raw NPE-MCMC central 90% interval [q5, q95]</x:v>
      </x:c>
      <x:c r="H398" t="n">
        <x:v>-0.001217893799258365</x:v>
      </x:c>
      <x:c r="I398" t="n">
        <x:v>0.000854365876923738</x:v>
      </x:c>
      <x:c r="J398" t="n">
        <x:v>0</x:v>
      </x:c>
      <x:c r="K398" t="n">
        <x:v>10</x:v>
      </x:c>
      <x:c r="L398" t="n">
        <x:v>0</x:v>
      </x:c>
      <x:c r="M398" t="n">
        <x:v>7</x:v>
      </x:c>
      <x:c r="N398" t="n">
        <x:v>17</x:v>
      </x:c>
      <x:c r="O398" t="str">
        <x:v>N/A</x:v>
      </x:c>
      <x:c r="P398" t="n">
        <x:v>0.5882352941176471</x:v>
      </x:c>
      <x:c r="Q398" t="n">
        <x:v>0</x:v>
      </x:c>
      <x:c r="R398" t="str">
        <x:v>N/A</x:v>
      </x:c>
    </x:row>
    <x:row r="399">
      <x:c r="A399" t="str">
        <x:v>Diffusion</x:v>
      </x:c>
      <x:c r="B399" t="str">
        <x:v>empirical</x:v>
      </x:c>
      <x:c r="C399" t="str">
        <x:v>linf</x:v>
      </x:c>
      <x:c r="D399" t="str">
        <x:v>m2</x:v>
      </x:c>
      <x:c r="E399" t="str">
        <x:v>S=6D</x:v>
      </x:c>
      <x:c r="F399" t="str">
        <x:v>pmp_error</x:v>
      </x:c>
      <x:c r="G399" t="str">
        <x:v>ESS-filtered raw NPE-MCMC central 90% interval [q5, q95]</x:v>
      </x:c>
      <x:c r="H399" t="n">
        <x:v>-0.001217893799258365</x:v>
      </x:c>
      <x:c r="I399" t="n">
        <x:v>0.000854365876923738</x:v>
      </x:c>
      <x:c r="J399" t="n">
        <x:v>0</x:v>
      </x:c>
      <x:c r="K399" t="n">
        <x:v>3</x:v>
      </x:c>
      <x:c r="L399" t="n">
        <x:v>0</x:v>
      </x:c>
      <x:c r="M399" t="n">
        <x:v>14</x:v>
      </x:c>
      <x:c r="N399" t="n">
        <x:v>17</x:v>
      </x:c>
      <x:c r="O399" t="str">
        <x:v>N/A</x:v>
      </x:c>
      <x:c r="P399" t="n">
        <x:v>0.17647058823529413</x:v>
      </x:c>
      <x:c r="Q399" t="n">
        <x:v>0</x:v>
      </x:c>
      <x:c r="R399" t="str">
        <x:v>N/A</x:v>
      </x:c>
    </x:row>
    <x:row r="400">
      <x:c r="A400" t="str">
        <x:v>Diffusion</x:v>
      </x:c>
      <x:c r="B400" t="str">
        <x:v>empirical</x:v>
      </x:c>
      <x:c r="C400" t="str">
        <x:v>density</x:v>
      </x:c>
      <x:c r="D400" t="str">
        <x:v>m2</x:v>
      </x:c>
      <x:c r="E400" t="str">
        <x:v>S=6D</x:v>
      </x:c>
      <x:c r="F400" t="str">
        <x:v>pmp_error</x:v>
      </x:c>
      <x:c r="G400" t="str">
        <x:v>ESS-filtered raw NPE-MCMC central 90% interval [q5, q95]</x:v>
      </x:c>
      <x:c r="H400" t="n">
        <x:v>-0.001217893799258365</x:v>
      </x:c>
      <x:c r="I400" t="n">
        <x:v>0.000854365876923738</x:v>
      </x:c>
      <x:c r="J400" t="n">
        <x:v>0</x:v>
      </x:c>
      <x:c r="K400" t="n">
        <x:v>17</x:v>
      </x:c>
      <x:c r="L400" t="n">
        <x:v>0</x:v>
      </x:c>
      <x:c r="M400" t="n">
        <x:v>0</x:v>
      </x:c>
      <x:c r="N400" t="n">
        <x:v>17</x:v>
      </x:c>
      <x:c r="O400" t="str">
        <x:v>N/A</x:v>
      </x:c>
      <x:c r="P400" t="n">
        <x:v>1</x:v>
      </x:c>
      <x:c r="Q400" t="n">
        <x:v>0</x:v>
      </x:c>
      <x:c r="R400" t="str">
        <x:v>N/A</x:v>
      </x:c>
    </x:row>
    <x:row r="401">
      <x:c r="A401" t="str">
        <x:v>Diffusion</x:v>
      </x:c>
      <x:c r="B401" t="str">
        <x:v>empirical</x:v>
      </x:c>
      <x:c r="C401" t="str">
        <x:v>mmd</x:v>
      </x:c>
      <x:c r="D401" t="str">
        <x:v>m2</x:v>
      </x:c>
      <x:c r="E401" t="str">
        <x:v>S=6D</x:v>
      </x:c>
      <x:c r="F401" t="str">
        <x:v>pmp_error</x:v>
      </x:c>
      <x:c r="G401" t="str">
        <x:v>ESS-filtered raw NPE-MCMC central 90% interval [q5, q95]</x:v>
      </x:c>
      <x:c r="H401" t="n">
        <x:v>-0.001217893799258365</x:v>
      </x:c>
      <x:c r="I401" t="n">
        <x:v>0.000854365876923738</x:v>
      </x:c>
      <x:c r="J401" t="n">
        <x:v>0</x:v>
      </x:c>
      <x:c r="K401" t="n">
        <x:v>1</x:v>
      </x:c>
      <x:c r="L401" t="n">
        <x:v>0</x:v>
      </x:c>
      <x:c r="M401" t="n">
        <x:v>16</x:v>
      </x:c>
      <x:c r="N401" t="n">
        <x:v>17</x:v>
      </x:c>
      <x:c r="O401" t="str">
        <x:v>N/A</x:v>
      </x:c>
      <x:c r="P401" t="n">
        <x:v>0.058823529411764705</x:v>
      </x:c>
      <x:c r="Q401" t="n">
        <x:v>0</x:v>
      </x:c>
      <x:c r="R401" t="str">
        <x:v>N/A</x:v>
      </x:c>
    </x:row>
    <x:row r="402">
      <x:c r="A402" t="str">
        <x:v>Diffusion</x:v>
      </x:c>
      <x:c r="B402" t="str">
        <x:v>empirical</x:v>
      </x:c>
      <x:c r="C402" t="str">
        <x:v>l2</x:v>
      </x:c>
      <x:c r="D402" t="str">
        <x:v>m0</x:v>
      </x:c>
      <x:c r="E402" t="str">
        <x:v>S=D</x:v>
      </x:c>
      <x:c r="F402" t="str">
        <x:v>posterior_mmd</x:v>
      </x:c>
      <x:c r="G402" t="str">
        <x:v>ESS-filtered raw NPE-MCMC interval [0, q95]</x:v>
      </x:c>
      <x:c r="H402" t="n">
        <x:v>0</x:v>
      </x:c>
      <x:c r="I402" t="n">
        <x:v>0.19038547665839195</x:v>
      </x:c>
      <x:c r="J402" t="n">
        <x:v>12</x:v>
      </x:c>
      <x:c r="K402" t="n">
        <x:v>2</x:v>
      </x:c>
      <x:c r="L402" t="n">
        <x:v>3</x:v>
      </x:c>
      <x:c r="M402" t="n">
        <x:v>0</x:v>
      </x:c>
      <x:c r="N402" t="n">
        <x:v>17</x:v>
      </x:c>
      <x:c r="O402" t="n">
        <x:v>0.2</x:v>
      </x:c>
      <x:c r="P402" t="n">
        <x:v>1</x:v>
      </x:c>
      <x:c r="Q402" t="n">
        <x:v>0.8275862068965517</x:v>
      </x:c>
      <x:c r="R402" t="n">
        <x:v>0.5</x:v>
      </x:c>
    </x:row>
    <x:row r="403">
      <x:c r="A403" t="str">
        <x:v>Diffusion</x:v>
      </x:c>
      <x:c r="B403" t="str">
        <x:v>empirical</x:v>
      </x:c>
      <x:c r="C403" t="str">
        <x:v>linf</x:v>
      </x:c>
      <x:c r="D403" t="str">
        <x:v>m0</x:v>
      </x:c>
      <x:c r="E403" t="str">
        <x:v>S=D</x:v>
      </x:c>
      <x:c r="F403" t="str">
        <x:v>posterior_mmd</x:v>
      </x:c>
      <x:c r="G403" t="str">
        <x:v>ESS-filtered raw NPE-MCMC interval [0, q95]</x:v>
      </x:c>
      <x:c r="H403" t="n">
        <x:v>0</x:v>
      </x:c>
      <x:c r="I403" t="n">
        <x:v>0.19038547665839195</x:v>
      </x:c>
      <x:c r="J403" t="n">
        <x:v>14</x:v>
      </x:c>
      <x:c r="K403" t="n">
        <x:v>2</x:v>
      </x:c>
      <x:c r="L403" t="n">
        <x:v>1</x:v>
      </x:c>
      <x:c r="M403" t="n">
        <x:v>0</x:v>
      </x:c>
      <x:c r="N403" t="n">
        <x:v>17</x:v>
      </x:c>
      <x:c r="O403" t="n">
        <x:v>0.06666666666666667</x:v>
      </x:c>
      <x:c r="P403" t="n">
        <x:v>1</x:v>
      </x:c>
      <x:c r="Q403" t="n">
        <x:v>0.9032258064516129</x:v>
      </x:c>
      <x:c r="R403" t="n">
        <x:v>0.43333333333333335</x:v>
      </x:c>
    </x:row>
    <x:row r="404">
      <x:c r="A404" t="str">
        <x:v>Diffusion</x:v>
      </x:c>
      <x:c r="B404" t="str">
        <x:v>empirical</x:v>
      </x:c>
      <x:c r="C404" t="str">
        <x:v>density</x:v>
      </x:c>
      <x:c r="D404" t="str">
        <x:v>m0</x:v>
      </x:c>
      <x:c r="E404" t="str">
        <x:v>S=D</x:v>
      </x:c>
      <x:c r="F404" t="str">
        <x:v>posterior_mmd</x:v>
      </x:c>
      <x:c r="G404" t="str">
        <x:v>ESS-filtered raw NPE-MCMC interval [0, q95]</x:v>
      </x:c>
      <x:c r="H404" t="n">
        <x:v>0</x:v>
      </x:c>
      <x:c r="I404" t="n">
        <x:v>0.19038547665839195</x:v>
      </x:c>
      <x:c r="J404" t="n">
        <x:v>11</x:v>
      </x:c>
      <x:c r="K404" t="n">
        <x:v>0</x:v>
      </x:c>
      <x:c r="L404" t="n">
        <x:v>4</x:v>
      </x:c>
      <x:c r="M404" t="n">
        <x:v>2</x:v>
      </x:c>
      <x:c r="N404" t="n">
        <x:v>17</x:v>
      </x:c>
      <x:c r="O404" t="n">
        <x:v>0.26666666666666666</x:v>
      </x:c>
      <x:c r="P404" t="n">
        <x:v>0</x:v>
      </x:c>
      <x:c r="Q404" t="n">
        <x:v>0.8461538461538461</x:v>
      </x:c>
      <x:c r="R404" t="n">
        <x:v>0.7333333333333333</x:v>
      </x:c>
    </x:row>
    <x:row r="405">
      <x:c r="A405" t="str">
        <x:v>Diffusion</x:v>
      </x:c>
      <x:c r="B405" t="str">
        <x:v>empirical</x:v>
      </x:c>
      <x:c r="C405" t="str">
        <x:v>mmd</x:v>
      </x:c>
      <x:c r="D405" t="str">
        <x:v>m0</x:v>
      </x:c>
      <x:c r="E405" t="str">
        <x:v>S=D</x:v>
      </x:c>
      <x:c r="F405" t="str">
        <x:v>posterior_mmd</x:v>
      </x:c>
      <x:c r="G405" t="str">
        <x:v>ESS-filtered raw NPE-MCMC interval [0, q95]</x:v>
      </x:c>
      <x:c r="H405" t="n">
        <x:v>0</x:v>
      </x:c>
      <x:c r="I405" t="n">
        <x:v>0.19038547665839195</x:v>
      </x:c>
      <x:c r="J405" t="n">
        <x:v>0</x:v>
      </x:c>
      <x:c r="K405" t="n">
        <x:v>1</x:v>
      </x:c>
      <x:c r="L405" t="n">
        <x:v>15</x:v>
      </x:c>
      <x:c r="M405" t="n">
        <x:v>1</x:v>
      </x:c>
      <x:c r="N405" t="n">
        <x:v>17</x:v>
      </x:c>
      <x:c r="O405" t="n">
        <x:v>1</x:v>
      </x:c>
      <x:c r="P405" t="n">
        <x:v>0.5</x:v>
      </x:c>
      <x:c r="Q405" t="n">
        <x:v>0</x:v>
      </x:c>
      <x:c r="R405" t="n">
        <x:v>0.13333333333333333</x:v>
      </x:c>
    </x:row>
    <x:row r="406">
      <x:c r="A406" t="str">
        <x:v>Diffusion</x:v>
      </x:c>
      <x:c r="B406" t="str">
        <x:v>empirical</x:v>
      </x:c>
      <x:c r="C406" t="str">
        <x:v>l2</x:v>
      </x:c>
      <x:c r="D406" t="str">
        <x:v>m0</x:v>
      </x:c>
      <x:c r="E406" t="str">
        <x:v>S=2D</x:v>
      </x:c>
      <x:c r="F406" t="str">
        <x:v>posterior_mmd</x:v>
      </x:c>
      <x:c r="G406" t="str">
        <x:v>ESS-filtered raw NPE-MCMC interval [0, q95]</x:v>
      </x:c>
      <x:c r="H406" t="n">
        <x:v>0</x:v>
      </x:c>
      <x:c r="I406" t="n">
        <x:v>0.20793813945746992</x:v>
      </x:c>
      <x:c r="J406" t="n">
        <x:v>12</x:v>
      </x:c>
      <x:c r="K406" t="n">
        <x:v>5</x:v>
      </x:c>
      <x:c r="L406" t="n">
        <x:v>0</x:v>
      </x:c>
      <x:c r="M406" t="n">
        <x:v>0</x:v>
      </x:c>
      <x:c r="N406" t="n">
        <x:v>17</x:v>
      </x:c>
      <x:c r="O406" t="n">
        <x:v>0</x:v>
      </x:c>
      <x:c r="P406" t="n">
        <x:v>1</x:v>
      </x:c>
      <x:c r="Q406" t="n">
        <x:v>0.8275862068965517</x:v>
      </x:c>
      <x:c r="R406" t="n">
        <x:v>0.7</x:v>
      </x:c>
    </x:row>
    <x:row r="407">
      <x:c r="A407" t="str">
        <x:v>Diffusion</x:v>
      </x:c>
      <x:c r="B407" t="str">
        <x:v>empirical</x:v>
      </x:c>
      <x:c r="C407" t="str">
        <x:v>linf</x:v>
      </x:c>
      <x:c r="D407" t="str">
        <x:v>m0</x:v>
      </x:c>
      <x:c r="E407" t="str">
        <x:v>S=2D</x:v>
      </x:c>
      <x:c r="F407" t="str">
        <x:v>posterior_mmd</x:v>
      </x:c>
      <x:c r="G407" t="str">
        <x:v>ESS-filtered raw NPE-MCMC interval [0, q95]</x:v>
      </x:c>
      <x:c r="H407" t="n">
        <x:v>0</x:v>
      </x:c>
      <x:c r="I407" t="n">
        <x:v>0.20793813945746992</x:v>
      </x:c>
      <x:c r="J407" t="n">
        <x:v>12</x:v>
      </x:c>
      <x:c r="K407" t="n">
        <x:v>5</x:v>
      </x:c>
      <x:c r="L407" t="n">
        <x:v>0</x:v>
      </x:c>
      <x:c r="M407" t="n">
        <x:v>0</x:v>
      </x:c>
      <x:c r="N407" t="n">
        <x:v>17</x:v>
      </x:c>
      <x:c r="O407" t="n">
        <x:v>0</x:v>
      </x:c>
      <x:c r="P407" t="n">
        <x:v>1</x:v>
      </x:c>
      <x:c r="Q407" t="n">
        <x:v>0.8275862068965517</x:v>
      </x:c>
      <x:c r="R407" t="n">
        <x:v>0.6833333333333333</x:v>
      </x:c>
    </x:row>
    <x:row r="408">
      <x:c r="A408" t="str">
        <x:v>Diffusion</x:v>
      </x:c>
      <x:c r="B408" t="str">
        <x:v>empirical</x:v>
      </x:c>
      <x:c r="C408" t="str">
        <x:v>density</x:v>
      </x:c>
      <x:c r="D408" t="str">
        <x:v>m0</x:v>
      </x:c>
      <x:c r="E408" t="str">
        <x:v>S=2D</x:v>
      </x:c>
      <x:c r="F408" t="str">
        <x:v>posterior_mmd</x:v>
      </x:c>
      <x:c r="G408" t="str">
        <x:v>ESS-filtered raw NPE-MCMC interval [0, q95]</x:v>
      </x:c>
      <x:c r="H408" t="n">
        <x:v>0</x:v>
      </x:c>
      <x:c r="I408" t="n">
        <x:v>0.20793813945746992</x:v>
      </x:c>
      <x:c r="J408" t="n">
        <x:v>12</x:v>
      </x:c>
      <x:c r="K408" t="n">
        <x:v>5</x:v>
      </x:c>
      <x:c r="L408" t="n">
        <x:v>0</x:v>
      </x:c>
      <x:c r="M408" t="n">
        <x:v>0</x:v>
      </x:c>
      <x:c r="N408" t="n">
        <x:v>17</x:v>
      </x:c>
      <x:c r="O408" t="n">
        <x:v>0</x:v>
      </x:c>
      <x:c r="P408" t="n">
        <x:v>1</x:v>
      </x:c>
      <x:c r="Q408" t="n">
        <x:v>0.8275862068965517</x:v>
      </x:c>
      <x:c r="R408" t="n">
        <x:v>0.6333333333333333</x:v>
      </x:c>
    </x:row>
    <x:row r="409">
      <x:c r="A409" t="str">
        <x:v>Diffusion</x:v>
      </x:c>
      <x:c r="B409" t="str">
        <x:v>empirical</x:v>
      </x:c>
      <x:c r="C409" t="str">
        <x:v>mmd</x:v>
      </x:c>
      <x:c r="D409" t="str">
        <x:v>m0</x:v>
      </x:c>
      <x:c r="E409" t="str">
        <x:v>S=2D</x:v>
      </x:c>
      <x:c r="F409" t="str">
        <x:v>posterior_mmd</x:v>
      </x:c>
      <x:c r="G409" t="str">
        <x:v>ESS-filtered raw NPE-MCMC interval [0, q95]</x:v>
      </x:c>
      <x:c r="H409" t="n">
        <x:v>0</x:v>
      </x:c>
      <x:c r="I409" t="n">
        <x:v>0.20793813945746992</x:v>
      </x:c>
      <x:c r="J409" t="n">
        <x:v>6</x:v>
      </x:c>
      <x:c r="K409" t="n">
        <x:v>1</x:v>
      </x:c>
      <x:c r="L409" t="n">
        <x:v>6</x:v>
      </x:c>
      <x:c r="M409" t="n">
        <x:v>4</x:v>
      </x:c>
      <x:c r="N409" t="n">
        <x:v>17</x:v>
      </x:c>
      <x:c r="O409" t="n">
        <x:v>0.5</x:v>
      </x:c>
      <x:c r="P409" t="n">
        <x:v>0.2</x:v>
      </x:c>
      <x:c r="Q409" t="n">
        <x:v>0.631578947368421</x:v>
      </x:c>
      <x:c r="R409" t="n">
        <x:v>0.6666666666666666</x:v>
      </x:c>
    </x:row>
    <x:row r="410">
      <x:c r="A410" t="str">
        <x:v>Diffusion</x:v>
      </x:c>
      <x:c r="B410" t="str">
        <x:v>empirical</x:v>
      </x:c>
      <x:c r="C410" t="str">
        <x:v>l2</x:v>
      </x:c>
      <x:c r="D410" t="str">
        <x:v>m0</x:v>
      </x:c>
      <x:c r="E410" t="str">
        <x:v>S=4D</x:v>
      </x:c>
      <x:c r="F410" t="str">
        <x:v>posterior_mmd</x:v>
      </x:c>
      <x:c r="G410" t="str">
        <x:v>ESS-filtered raw NPE-MCMC interval [0, q95]</x:v>
      </x:c>
      <x:c r="H410" t="n">
        <x:v>0</x:v>
      </x:c>
      <x:c r="I410" t="n">
        <x:v>0.1991176450699111</x:v>
      </x:c>
      <x:c r="J410" t="n">
        <x:v>11</x:v>
      </x:c>
      <x:c r="K410" t="n">
        <x:v>5</x:v>
      </x:c>
      <x:c r="L410" t="n">
        <x:v>0</x:v>
      </x:c>
      <x:c r="M410" t="n">
        <x:v>1</x:v>
      </x:c>
      <x:c r="N410" t="n">
        <x:v>17</x:v>
      </x:c>
      <x:c r="O410" t="n">
        <x:v>0</x:v>
      </x:c>
      <x:c r="P410" t="n">
        <x:v>0.8333333333333334</x:v>
      </x:c>
      <x:c r="Q410" t="n">
        <x:v>0.8148148148148148</x:v>
      </x:c>
      <x:c r="R410" t="n">
        <x:v>0.6666666666666666</x:v>
      </x:c>
    </x:row>
    <x:row r="411">
      <x:c r="A411" t="str">
        <x:v>Diffusion</x:v>
      </x:c>
      <x:c r="B411" t="str">
        <x:v>empirical</x:v>
      </x:c>
      <x:c r="C411" t="str">
        <x:v>linf</x:v>
      </x:c>
      <x:c r="D411" t="str">
        <x:v>m0</x:v>
      </x:c>
      <x:c r="E411" t="str">
        <x:v>S=4D</x:v>
      </x:c>
      <x:c r="F411" t="str">
        <x:v>posterior_mmd</x:v>
      </x:c>
      <x:c r="G411" t="str">
        <x:v>ESS-filtered raw NPE-MCMC interval [0, q95]</x:v>
      </x:c>
      <x:c r="H411" t="n">
        <x:v>0</x:v>
      </x:c>
      <x:c r="I411" t="n">
        <x:v>0.1991176450699111</x:v>
      </x:c>
      <x:c r="J411" t="n">
        <x:v>10</x:v>
      </x:c>
      <x:c r="K411" t="n">
        <x:v>4</x:v>
      </x:c>
      <x:c r="L411" t="n">
        <x:v>1</x:v>
      </x:c>
      <x:c r="M411" t="n">
        <x:v>2</x:v>
      </x:c>
      <x:c r="N411" t="n">
        <x:v>17</x:v>
      </x:c>
      <x:c r="O411" t="n">
        <x:v>0.09090909090909091</x:v>
      </x:c>
      <x:c r="P411" t="n">
        <x:v>0.6666666666666666</x:v>
      </x:c>
      <x:c r="Q411" t="n">
        <x:v>0.8</x:v>
      </x:c>
      <x:c r="R411" t="n">
        <x:v>0.7878787878787878</x:v>
      </x:c>
    </x:row>
    <x:row r="412">
      <x:c r="A412" t="str">
        <x:v>Diffusion</x:v>
      </x:c>
      <x:c r="B412" t="str">
        <x:v>empirical</x:v>
      </x:c>
      <x:c r="C412" t="str">
        <x:v>density</x:v>
      </x:c>
      <x:c r="D412" t="str">
        <x:v>m0</x:v>
      </x:c>
      <x:c r="E412" t="str">
        <x:v>S=4D</x:v>
      </x:c>
      <x:c r="F412" t="str">
        <x:v>posterior_mmd</x:v>
      </x:c>
      <x:c r="G412" t="str">
        <x:v>ESS-filtered raw NPE-MCMC interval [0, q95]</x:v>
      </x:c>
      <x:c r="H412" t="n">
        <x:v>0</x:v>
      </x:c>
      <x:c r="I412" t="n">
        <x:v>0.1991176450699111</x:v>
      </x:c>
      <x:c r="J412" t="n">
        <x:v>11</x:v>
      </x:c>
      <x:c r="K412" t="n">
        <x:v>6</x:v>
      </x:c>
      <x:c r="L412" t="n">
        <x:v>0</x:v>
      </x:c>
      <x:c r="M412" t="n">
        <x:v>0</x:v>
      </x:c>
      <x:c r="N412" t="n">
        <x:v>17</x:v>
      </x:c>
      <x:c r="O412" t="n">
        <x:v>0</x:v>
      </x:c>
      <x:c r="P412" t="n">
        <x:v>1</x:v>
      </x:c>
      <x:c r="Q412" t="n">
        <x:v>0.7857142857142857</x:v>
      </x:c>
      <x:c r="R412" t="n">
        <x:v>0.696969696969697</x:v>
      </x:c>
    </x:row>
    <x:row r="413">
      <x:c r="A413" t="str">
        <x:v>Diffusion</x:v>
      </x:c>
      <x:c r="B413" t="str">
        <x:v>empirical</x:v>
      </x:c>
      <x:c r="C413" t="str">
        <x:v>mmd</x:v>
      </x:c>
      <x:c r="D413" t="str">
        <x:v>m0</x:v>
      </x:c>
      <x:c r="E413" t="str">
        <x:v>S=4D</x:v>
      </x:c>
      <x:c r="F413" t="str">
        <x:v>posterior_mmd</x:v>
      </x:c>
      <x:c r="G413" t="str">
        <x:v>ESS-filtered raw NPE-MCMC interval [0, q95]</x:v>
      </x:c>
      <x:c r="H413" t="n">
        <x:v>0</x:v>
      </x:c>
      <x:c r="I413" t="n">
        <x:v>0.1991176450699111</x:v>
      </x:c>
      <x:c r="J413" t="n">
        <x:v>6</x:v>
      </x:c>
      <x:c r="K413" t="n">
        <x:v>3</x:v>
      </x:c>
      <x:c r="L413" t="n">
        <x:v>5</x:v>
      </x:c>
      <x:c r="M413" t="n">
        <x:v>3</x:v>
      </x:c>
      <x:c r="N413" t="n">
        <x:v>17</x:v>
      </x:c>
      <x:c r="O413" t="n">
        <x:v>0.45454545454545453</x:v>
      </x:c>
      <x:c r="P413" t="n">
        <x:v>0.5</x:v>
      </x:c>
      <x:c r="Q413" t="n">
        <x:v>0.6</x:v>
      </x:c>
      <x:c r="R413" t="n">
        <x:v>0.5757575757575758</x:v>
      </x:c>
    </x:row>
    <x:row r="414">
      <x:c r="A414" t="str">
        <x:v>Diffusion</x:v>
      </x:c>
      <x:c r="B414" t="str">
        <x:v>empirical</x:v>
      </x:c>
      <x:c r="C414" t="str">
        <x:v>l2</x:v>
      </x:c>
      <x:c r="D414" t="str">
        <x:v>m0</x:v>
      </x:c>
      <x:c r="E414" t="str">
        <x:v>S=6D</x:v>
      </x:c>
      <x:c r="F414" t="str">
        <x:v>posterior_mmd</x:v>
      </x:c>
      <x:c r="G414" t="str">
        <x:v>ESS-filtered raw NPE-MCMC interval [0, q95]</x:v>
      </x:c>
      <x:c r="H414" t="n">
        <x:v>0</x:v>
      </x:c>
      <x:c r="I414" t="n">
        <x:v>0.1897398854607108</x:v>
      </x:c>
      <x:c r="J414" t="n">
        <x:v>13</x:v>
      </x:c>
      <x:c r="K414" t="n">
        <x:v>3</x:v>
      </x:c>
      <x:c r="L414" t="n">
        <x:v>1</x:v>
      </x:c>
      <x:c r="M414" t="n">
        <x:v>0</x:v>
      </x:c>
      <x:c r="N414" t="n">
        <x:v>17</x:v>
      </x:c>
      <x:c r="O414" t="n">
        <x:v>0.07142857142857142</x:v>
      </x:c>
      <x:c r="P414" t="n">
        <x:v>1</x:v>
      </x:c>
      <x:c r="Q414" t="n">
        <x:v>0.8666666666666667</x:v>
      </x:c>
      <x:c r="R414" t="n">
        <x:v>0.5952380952380952</x:v>
      </x:c>
    </x:row>
    <x:row r="415">
      <x:c r="A415" t="str">
        <x:v>Diffusion</x:v>
      </x:c>
      <x:c r="B415" t="str">
        <x:v>empirical</x:v>
      </x:c>
      <x:c r="C415" t="str">
        <x:v>linf</x:v>
      </x:c>
      <x:c r="D415" t="str">
        <x:v>m0</x:v>
      </x:c>
      <x:c r="E415" t="str">
        <x:v>S=6D</x:v>
      </x:c>
      <x:c r="F415" t="str">
        <x:v>posterior_mmd</x:v>
      </x:c>
      <x:c r="G415" t="str">
        <x:v>ESS-filtered raw NPE-MCMC interval [0, q95]</x:v>
      </x:c>
      <x:c r="H415" t="n">
        <x:v>0</x:v>
      </x:c>
      <x:c r="I415" t="n">
        <x:v>0.1897398854607108</x:v>
      </x:c>
      <x:c r="J415" t="n">
        <x:v>13</x:v>
      </x:c>
      <x:c r="K415" t="n">
        <x:v>3</x:v>
      </x:c>
      <x:c r="L415" t="n">
        <x:v>1</x:v>
      </x:c>
      <x:c r="M415" t="n">
        <x:v>0</x:v>
      </x:c>
      <x:c r="N415" t="n">
        <x:v>17</x:v>
      </x:c>
      <x:c r="O415" t="n">
        <x:v>0.07142857142857142</x:v>
      </x:c>
      <x:c r="P415" t="n">
        <x:v>1</x:v>
      </x:c>
      <x:c r="Q415" t="n">
        <x:v>0.8666666666666667</x:v>
      </x:c>
      <x:c r="R415" t="n">
        <x:v>0.7142857142857143</x:v>
      </x:c>
    </x:row>
    <x:row r="416">
      <x:c r="A416" t="str">
        <x:v>Diffusion</x:v>
      </x:c>
      <x:c r="B416" t="str">
        <x:v>empirical</x:v>
      </x:c>
      <x:c r="C416" t="str">
        <x:v>density</x:v>
      </x:c>
      <x:c r="D416" t="str">
        <x:v>m0</x:v>
      </x:c>
      <x:c r="E416" t="str">
        <x:v>S=6D</x:v>
      </x:c>
      <x:c r="F416" t="str">
        <x:v>posterior_mmd</x:v>
      </x:c>
      <x:c r="G416" t="str">
        <x:v>ESS-filtered raw NPE-MCMC interval [0, q95]</x:v>
      </x:c>
      <x:c r="H416" t="n">
        <x:v>0</x:v>
      </x:c>
      <x:c r="I416" t="n">
        <x:v>0.1897398854607108</x:v>
      </x:c>
      <x:c r="J416" t="n">
        <x:v>14</x:v>
      </x:c>
      <x:c r="K416" t="n">
        <x:v>3</x:v>
      </x:c>
      <x:c r="L416" t="n">
        <x:v>0</x:v>
      </x:c>
      <x:c r="M416" t="n">
        <x:v>0</x:v>
      </x:c>
      <x:c r="N416" t="n">
        <x:v>17</x:v>
      </x:c>
      <x:c r="O416" t="n">
        <x:v>0</x:v>
      </x:c>
      <x:c r="P416" t="n">
        <x:v>1</x:v>
      </x:c>
      <x:c r="Q416" t="n">
        <x:v>0.9032258064516129</x:v>
      </x:c>
      <x:c r="R416" t="n">
        <x:v>0.8571428571428571</x:v>
      </x:c>
    </x:row>
    <x:row r="417">
      <x:c r="A417" t="str">
        <x:v>Diffusion</x:v>
      </x:c>
      <x:c r="B417" t="str">
        <x:v>empirical</x:v>
      </x:c>
      <x:c r="C417" t="str">
        <x:v>mmd</x:v>
      </x:c>
      <x:c r="D417" t="str">
        <x:v>m0</x:v>
      </x:c>
      <x:c r="E417" t="str">
        <x:v>S=6D</x:v>
      </x:c>
      <x:c r="F417" t="str">
        <x:v>posterior_mmd</x:v>
      </x:c>
      <x:c r="G417" t="str">
        <x:v>ESS-filtered raw NPE-MCMC interval [0, q95]</x:v>
      </x:c>
      <x:c r="H417" t="n">
        <x:v>0</x:v>
      </x:c>
      <x:c r="I417" t="n">
        <x:v>0.1897398854607108</x:v>
      </x:c>
      <x:c r="J417" t="n">
        <x:v>4</x:v>
      </x:c>
      <x:c r="K417" t="n">
        <x:v>1</x:v>
      </x:c>
      <x:c r="L417" t="n">
        <x:v>10</x:v>
      </x:c>
      <x:c r="M417" t="n">
        <x:v>2</x:v>
      </x:c>
      <x:c r="N417" t="n">
        <x:v>17</x:v>
      </x:c>
      <x:c r="O417" t="n">
        <x:v>0.7142857142857143</x:v>
      </x:c>
      <x:c r="P417" t="n">
        <x:v>0.3333333333333333</x:v>
      </x:c>
      <x:c r="Q417" t="n">
        <x:v>0.42105263157894735</x:v>
      </x:c>
      <x:c r="R417" t="n">
        <x:v>0.3333333333333333</x:v>
      </x:c>
    </x:row>
    <x:row r="418">
      <x:c r="A418" t="str">
        <x:v>Diffusion</x:v>
      </x:c>
      <x:c r="B418" t="str">
        <x:v>empirical</x:v>
      </x:c>
      <x:c r="C418" t="str">
        <x:v>l2</x:v>
      </x:c>
      <x:c r="D418" t="str">
        <x:v>m2</x:v>
      </x:c>
      <x:c r="E418" t="str">
        <x:v>S=D</x:v>
      </x:c>
      <x:c r="F418" t="str">
        <x:v>posterior_mmd</x:v>
      </x:c>
      <x:c r="G418" t="str">
        <x:v>ESS-filtered raw NPE-MCMC interval [0, q95]</x:v>
      </x:c>
      <x:c r="H418" t="n">
        <x:v>0</x:v>
      </x:c>
      <x:c r="I418" t="n">
        <x:v>0.1909956887320976</x:v>
      </x:c>
      <x:c r="J418" t="n">
        <x:v>10</x:v>
      </x:c>
      <x:c r="K418" t="n">
        <x:v>2</x:v>
      </x:c>
      <x:c r="L418" t="n">
        <x:v>5</x:v>
      </x:c>
      <x:c r="M418" t="n">
        <x:v>0</x:v>
      </x:c>
      <x:c r="N418" t="n">
        <x:v>17</x:v>
      </x:c>
      <x:c r="O418" t="n">
        <x:v>0.3333333333333333</x:v>
      </x:c>
      <x:c r="P418" t="n">
        <x:v>1</x:v>
      </x:c>
      <x:c r="Q418" t="n">
        <x:v>0.7407407407407407</x:v>
      </x:c>
      <x:c r="R418" t="n">
        <x:v>0.3</x:v>
      </x:c>
    </x:row>
    <x:row r="419">
      <x:c r="A419" t="str">
        <x:v>Diffusion</x:v>
      </x:c>
      <x:c r="B419" t="str">
        <x:v>empirical</x:v>
      </x:c>
      <x:c r="C419" t="str">
        <x:v>linf</x:v>
      </x:c>
      <x:c r="D419" t="str">
        <x:v>m2</x:v>
      </x:c>
      <x:c r="E419" t="str">
        <x:v>S=D</x:v>
      </x:c>
      <x:c r="F419" t="str">
        <x:v>posterior_mmd</x:v>
      </x:c>
      <x:c r="G419" t="str">
        <x:v>ESS-filtered raw NPE-MCMC interval [0, q95]</x:v>
      </x:c>
      <x:c r="H419" t="n">
        <x:v>0</x:v>
      </x:c>
      <x:c r="I419" t="n">
        <x:v>0.1909956887320976</x:v>
      </x:c>
      <x:c r="J419" t="n">
        <x:v>4</x:v>
      </x:c>
      <x:c r="K419" t="n">
        <x:v>1</x:v>
      </x:c>
      <x:c r="L419" t="n">
        <x:v>11</x:v>
      </x:c>
      <x:c r="M419" t="n">
        <x:v>1</x:v>
      </x:c>
      <x:c r="N419" t="n">
        <x:v>17</x:v>
      </x:c>
      <x:c r="O419" t="n">
        <x:v>0.7333333333333333</x:v>
      </x:c>
      <x:c r="P419" t="n">
        <x:v>0.5</x:v>
      </x:c>
      <x:c r="Q419" t="n">
        <x:v>0.4</x:v>
      </x:c>
      <x:c r="R419" t="n">
        <x:v>0.36666666666666664</x:v>
      </x:c>
    </x:row>
    <x:row r="420">
      <x:c r="A420" t="str">
        <x:v>Diffusion</x:v>
      </x:c>
      <x:c r="B420" t="str">
        <x:v>empirical</x:v>
      </x:c>
      <x:c r="C420" t="str">
        <x:v>density</x:v>
      </x:c>
      <x:c r="D420" t="str">
        <x:v>m2</x:v>
      </x:c>
      <x:c r="E420" t="str">
        <x:v>S=D</x:v>
      </x:c>
      <x:c r="F420" t="str">
        <x:v>posterior_mmd</x:v>
      </x:c>
      <x:c r="G420" t="str">
        <x:v>ESS-filtered raw NPE-MCMC interval [0, q95]</x:v>
      </x:c>
      <x:c r="H420" t="n">
        <x:v>0</x:v>
      </x:c>
      <x:c r="I420" t="n">
        <x:v>0.1909956887320976</x:v>
      </x:c>
      <x:c r="J420" t="n">
        <x:v>11</x:v>
      </x:c>
      <x:c r="K420" t="n">
        <x:v>0</x:v>
      </x:c>
      <x:c r="L420" t="n">
        <x:v>4</x:v>
      </x:c>
      <x:c r="M420" t="n">
        <x:v>2</x:v>
      </x:c>
      <x:c r="N420" t="n">
        <x:v>17</x:v>
      </x:c>
      <x:c r="O420" t="n">
        <x:v>0.26666666666666666</x:v>
      </x:c>
      <x:c r="P420" t="n">
        <x:v>0</x:v>
      </x:c>
      <x:c r="Q420" t="n">
        <x:v>0.8461538461538461</x:v>
      </x:c>
      <x:c r="R420" t="n">
        <x:v>0.9333333333333333</x:v>
      </x:c>
    </x:row>
    <x:row r="421">
      <x:c r="A421" t="str">
        <x:v>Diffusion</x:v>
      </x:c>
      <x:c r="B421" t="str">
        <x:v>empirical</x:v>
      </x:c>
      <x:c r="C421" t="str">
        <x:v>mmd</x:v>
      </x:c>
      <x:c r="D421" t="str">
        <x:v>m2</x:v>
      </x:c>
      <x:c r="E421" t="str">
        <x:v>S=D</x:v>
      </x:c>
      <x:c r="F421" t="str">
        <x:v>posterior_mmd</x:v>
      </x:c>
      <x:c r="G421" t="str">
        <x:v>ESS-filtered raw NPE-MCMC interval [0, q95]</x:v>
      </x:c>
      <x:c r="H421" t="n">
        <x:v>0</x:v>
      </x:c>
      <x:c r="I421" t="n">
        <x:v>0.1909956887320976</x:v>
      </x:c>
      <x:c r="J421" t="n">
        <x:v>2</x:v>
      </x:c>
      <x:c r="K421" t="n">
        <x:v>0</x:v>
      </x:c>
      <x:c r="L421" t="n">
        <x:v>13</x:v>
      </x:c>
      <x:c r="M421" t="n">
        <x:v>2</x:v>
      </x:c>
      <x:c r="N421" t="n">
        <x:v>17</x:v>
      </x:c>
      <x:c r="O421" t="n">
        <x:v>0.8666666666666667</x:v>
      </x:c>
      <x:c r="P421" t="n">
        <x:v>0</x:v>
      </x:c>
      <x:c r="Q421" t="n">
        <x:v>0.23529411764705882</x:v>
      </x:c>
      <x:c r="R421" t="n">
        <x:v>0.3</x:v>
      </x:c>
    </x:row>
    <x:row r="422">
      <x:c r="A422" t="str">
        <x:v>Diffusion</x:v>
      </x:c>
      <x:c r="B422" t="str">
        <x:v>empirical</x:v>
      </x:c>
      <x:c r="C422" t="str">
        <x:v>l2</x:v>
      </x:c>
      <x:c r="D422" t="str">
        <x:v>m2</x:v>
      </x:c>
      <x:c r="E422" t="str">
        <x:v>S=2D</x:v>
      </x:c>
      <x:c r="F422" t="str">
        <x:v>posterior_mmd</x:v>
      </x:c>
      <x:c r="G422" t="str">
        <x:v>ESS-filtered raw NPE-MCMC interval [0, q95]</x:v>
      </x:c>
      <x:c r="H422" t="n">
        <x:v>0</x:v>
      </x:c>
      <x:c r="I422" t="n">
        <x:v>0.21258894362789607</x:v>
      </x:c>
      <x:c r="J422" t="n">
        <x:v>8</x:v>
      </x:c>
      <x:c r="K422" t="n">
        <x:v>0</x:v>
      </x:c>
      <x:c r="L422" t="n">
        <x:v>8</x:v>
      </x:c>
      <x:c r="M422" t="n">
        <x:v>1</x:v>
      </x:c>
      <x:c r="N422" t="n">
        <x:v>17</x:v>
      </x:c>
      <x:c r="O422" t="n">
        <x:v>0.5</x:v>
      </x:c>
      <x:c r="P422" t="n">
        <x:v>0</x:v>
      </x:c>
      <x:c r="Q422" t="n">
        <x:v>0.6666666666666666</x:v>
      </x:c>
      <x:c r="R422" t="n">
        <x:v>0.8125</x:v>
      </x:c>
    </x:row>
    <x:row r="423">
      <x:c r="A423" t="str">
        <x:v>Diffusion</x:v>
      </x:c>
      <x:c r="B423" t="str">
        <x:v>empirical</x:v>
      </x:c>
      <x:c r="C423" t="str">
        <x:v>linf</x:v>
      </x:c>
      <x:c r="D423" t="str">
        <x:v>m2</x:v>
      </x:c>
      <x:c r="E423" t="str">
        <x:v>S=2D</x:v>
      </x:c>
      <x:c r="F423" t="str">
        <x:v>posterior_mmd</x:v>
      </x:c>
      <x:c r="G423" t="str">
        <x:v>ESS-filtered raw NPE-MCMC interval [0, q95]</x:v>
      </x:c>
      <x:c r="H423" t="n">
        <x:v>0</x:v>
      </x:c>
      <x:c r="I423" t="n">
        <x:v>0.21258894362789607</x:v>
      </x:c>
      <x:c r="J423" t="n">
        <x:v>16</x:v>
      </x:c>
      <x:c r="K423" t="n">
        <x:v>1</x:v>
      </x:c>
      <x:c r="L423" t="n">
        <x:v>0</x:v>
      </x:c>
      <x:c r="M423" t="n">
        <x:v>0</x:v>
      </x:c>
      <x:c r="N423" t="n">
        <x:v>17</x:v>
      </x:c>
      <x:c r="O423" t="n">
        <x:v>0</x:v>
      </x:c>
      <x:c r="P423" t="n">
        <x:v>1</x:v>
      </x:c>
      <x:c r="Q423" t="n">
        <x:v>0.9696969696969697</x:v>
      </x:c>
      <x:c r="R423" t="n">
        <x:v>0.9375</x:v>
      </x:c>
    </x:row>
    <x:row r="424">
      <x:c r="A424" t="str">
        <x:v>Diffusion</x:v>
      </x:c>
      <x:c r="B424" t="str">
        <x:v>empirical</x:v>
      </x:c>
      <x:c r="C424" t="str">
        <x:v>density</x:v>
      </x:c>
      <x:c r="D424" t="str">
        <x:v>m2</x:v>
      </x:c>
      <x:c r="E424" t="str">
        <x:v>S=2D</x:v>
      </x:c>
      <x:c r="F424" t="str">
        <x:v>posterior_mmd</x:v>
      </x:c>
      <x:c r="G424" t="str">
        <x:v>ESS-filtered raw NPE-MCMC interval [0, q95]</x:v>
      </x:c>
      <x:c r="H424" t="n">
        <x:v>0</x:v>
      </x:c>
      <x:c r="I424" t="n">
        <x:v>0.21258894362789607</x:v>
      </x:c>
      <x:c r="J424" t="n">
        <x:v>16</x:v>
      </x:c>
      <x:c r="K424" t="n">
        <x:v>1</x:v>
      </x:c>
      <x:c r="L424" t="n">
        <x:v>0</x:v>
      </x:c>
      <x:c r="M424" t="n">
        <x:v>0</x:v>
      </x:c>
      <x:c r="N424" t="n">
        <x:v>17</x:v>
      </x:c>
      <x:c r="O424" t="n">
        <x:v>0</x:v>
      </x:c>
      <x:c r="P424" t="n">
        <x:v>1</x:v>
      </x:c>
      <x:c r="Q424" t="n">
        <x:v>0.9696969696969697</x:v>
      </x:c>
      <x:c r="R424" t="n">
        <x:v>0.5</x:v>
      </x:c>
    </x:row>
    <x:row r="425">
      <x:c r="A425" t="str">
        <x:v>Diffusion</x:v>
      </x:c>
      <x:c r="B425" t="str">
        <x:v>empirical</x:v>
      </x:c>
      <x:c r="C425" t="str">
        <x:v>mmd</x:v>
      </x:c>
      <x:c r="D425" t="str">
        <x:v>m2</x:v>
      </x:c>
      <x:c r="E425" t="str">
        <x:v>S=2D</x:v>
      </x:c>
      <x:c r="F425" t="str">
        <x:v>posterior_mmd</x:v>
      </x:c>
      <x:c r="G425" t="str">
        <x:v>ESS-filtered raw NPE-MCMC interval [0, q95]</x:v>
      </x:c>
      <x:c r="H425" t="n">
        <x:v>0</x:v>
      </x:c>
      <x:c r="I425" t="n">
        <x:v>0.21258894362789607</x:v>
      </x:c>
      <x:c r="J425" t="n">
        <x:v>1</x:v>
      </x:c>
      <x:c r="K425" t="n">
        <x:v>0</x:v>
      </x:c>
      <x:c r="L425" t="n">
        <x:v>15</x:v>
      </x:c>
      <x:c r="M425" t="n">
        <x:v>1</x:v>
      </x:c>
      <x:c r="N425" t="n">
        <x:v>17</x:v>
      </x:c>
      <x:c r="O425" t="n">
        <x:v>0.9375</x:v>
      </x:c>
      <x:c r="P425" t="n">
        <x:v>0</x:v>
      </x:c>
      <x:c r="Q425" t="n">
        <x:v>0.11764705882352941</x:v>
      </x:c>
      <x:c r="R425" t="n">
        <x:v>1</x:v>
      </x:c>
    </x:row>
    <x:row r="426">
      <x:c r="A426" t="str">
        <x:v>Diffusion</x:v>
      </x:c>
      <x:c r="B426" t="str">
        <x:v>empirical</x:v>
      </x:c>
      <x:c r="C426" t="str">
        <x:v>l2</x:v>
      </x:c>
      <x:c r="D426" t="str">
        <x:v>m2</x:v>
      </x:c>
      <x:c r="E426" t="str">
        <x:v>S=4D</x:v>
      </x:c>
      <x:c r="F426" t="str">
        <x:v>posterior_mmd</x:v>
      </x:c>
      <x:c r="G426" t="str">
        <x:v>ESS-filtered raw NPE-MCMC interval [0, q95]</x:v>
      </x:c>
      <x:c r="H426" t="n">
        <x:v>0</x:v>
      </x:c>
      <x:c r="I426" t="n">
        <x:v>0.21910810231067512</x:v>
      </x:c>
      <x:c r="J426" t="n">
        <x:v>13</x:v>
      </x:c>
      <x:c r="K426" t="n">
        <x:v>2</x:v>
      </x:c>
      <x:c r="L426" t="n">
        <x:v>1</x:v>
      </x:c>
      <x:c r="M426" t="n">
        <x:v>1</x:v>
      </x:c>
      <x:c r="N426" t="n">
        <x:v>17</x:v>
      </x:c>
      <x:c r="O426" t="n">
        <x:v>0.07142857142857142</x:v>
      </x:c>
      <x:c r="P426" t="n">
        <x:v>0.6666666666666666</x:v>
      </x:c>
      <x:c r="Q426" t="n">
        <x:v>0.896551724137931</x:v>
      </x:c>
      <x:c r="R426" t="n">
        <x:v>0.6904761904761905</x:v>
      </x:c>
    </x:row>
    <x:row r="427">
      <x:c r="A427" t="str">
        <x:v>Diffusion</x:v>
      </x:c>
      <x:c r="B427" t="str">
        <x:v>empirical</x:v>
      </x:c>
      <x:c r="C427" t="str">
        <x:v>linf</x:v>
      </x:c>
      <x:c r="D427" t="str">
        <x:v>m2</x:v>
      </x:c>
      <x:c r="E427" t="str">
        <x:v>S=4D</x:v>
      </x:c>
      <x:c r="F427" t="str">
        <x:v>posterior_mmd</x:v>
      </x:c>
      <x:c r="G427" t="str">
        <x:v>ESS-filtered raw NPE-MCMC interval [0, q95]</x:v>
      </x:c>
      <x:c r="H427" t="n">
        <x:v>0</x:v>
      </x:c>
      <x:c r="I427" t="n">
        <x:v>0.21910810231067512</x:v>
      </x:c>
      <x:c r="J427" t="n">
        <x:v>13</x:v>
      </x:c>
      <x:c r="K427" t="n">
        <x:v>2</x:v>
      </x:c>
      <x:c r="L427" t="n">
        <x:v>1</x:v>
      </x:c>
      <x:c r="M427" t="n">
        <x:v>1</x:v>
      </x:c>
      <x:c r="N427" t="n">
        <x:v>17</x:v>
      </x:c>
      <x:c r="O427" t="n">
        <x:v>0.07142857142857142</x:v>
      </x:c>
      <x:c r="P427" t="n">
        <x:v>0.6666666666666666</x:v>
      </x:c>
      <x:c r="Q427" t="n">
        <x:v>0.896551724137931</x:v>
      </x:c>
      <x:c r="R427" t="n">
        <x:v>0.8571428571428571</x:v>
      </x:c>
    </x:row>
    <x:row r="428">
      <x:c r="A428" t="str">
        <x:v>Diffusion</x:v>
      </x:c>
      <x:c r="B428" t="str">
        <x:v>empirical</x:v>
      </x:c>
      <x:c r="C428" t="str">
        <x:v>density</x:v>
      </x:c>
      <x:c r="D428" t="str">
        <x:v>m2</x:v>
      </x:c>
      <x:c r="E428" t="str">
        <x:v>S=4D</x:v>
      </x:c>
      <x:c r="F428" t="str">
        <x:v>posterior_mmd</x:v>
      </x:c>
      <x:c r="G428" t="str">
        <x:v>ESS-filtered raw NPE-MCMC interval [0, q95]</x:v>
      </x:c>
      <x:c r="H428" t="n">
        <x:v>0</x:v>
      </x:c>
      <x:c r="I428" t="n">
        <x:v>0.21910810231067512</x:v>
      </x:c>
      <x:c r="J428" t="n">
        <x:v>14</x:v>
      </x:c>
      <x:c r="K428" t="n">
        <x:v>3</x:v>
      </x:c>
      <x:c r="L428" t="n">
        <x:v>0</x:v>
      </x:c>
      <x:c r="M428" t="n">
        <x:v>0</x:v>
      </x:c>
      <x:c r="N428" t="n">
        <x:v>17</x:v>
      </x:c>
      <x:c r="O428" t="n">
        <x:v>0</x:v>
      </x:c>
      <x:c r="P428" t="n">
        <x:v>1</x:v>
      </x:c>
      <x:c r="Q428" t="n">
        <x:v>0.9032258064516129</x:v>
      </x:c>
      <x:c r="R428" t="n">
        <x:v>0.8809523809523809</x:v>
      </x:c>
    </x:row>
    <x:row r="429">
      <x:c r="A429" t="str">
        <x:v>Diffusion</x:v>
      </x:c>
      <x:c r="B429" t="str">
        <x:v>empirical</x:v>
      </x:c>
      <x:c r="C429" t="str">
        <x:v>mmd</x:v>
      </x:c>
      <x:c r="D429" t="str">
        <x:v>m2</x:v>
      </x:c>
      <x:c r="E429" t="str">
        <x:v>S=4D</x:v>
      </x:c>
      <x:c r="F429" t="str">
        <x:v>posterior_mmd</x:v>
      </x:c>
      <x:c r="G429" t="str">
        <x:v>ESS-filtered raw NPE-MCMC interval [0, q95]</x:v>
      </x:c>
      <x:c r="H429" t="n">
        <x:v>0</x:v>
      </x:c>
      <x:c r="I429" t="n">
        <x:v>0.21910810231067512</x:v>
      </x:c>
      <x:c r="J429" t="n">
        <x:v>1</x:v>
      </x:c>
      <x:c r="K429" t="n">
        <x:v>0</x:v>
      </x:c>
      <x:c r="L429" t="n">
        <x:v>13</x:v>
      </x:c>
      <x:c r="M429" t="n">
        <x:v>3</x:v>
      </x:c>
      <x:c r="N429" t="n">
        <x:v>17</x:v>
      </x:c>
      <x:c r="O429" t="n">
        <x:v>0.9285714285714286</x:v>
      </x:c>
      <x:c r="P429" t="n">
        <x:v>0</x:v>
      </x:c>
      <x:c r="Q429" t="n">
        <x:v>0.13333333333333333</x:v>
      </x:c>
      <x:c r="R429" t="n">
        <x:v>0.5476190476190477</x:v>
      </x:c>
    </x:row>
    <x:row r="430">
      <x:c r="A430" t="str">
        <x:v>Diffusion</x:v>
      </x:c>
      <x:c r="B430" t="str">
        <x:v>empirical</x:v>
      </x:c>
      <x:c r="C430" t="str">
        <x:v>l2</x:v>
      </x:c>
      <x:c r="D430" t="str">
        <x:v>m2</x:v>
      </x:c>
      <x:c r="E430" t="str">
        <x:v>S=6D</x:v>
      </x:c>
      <x:c r="F430" t="str">
        <x:v>posterior_mmd</x:v>
      </x:c>
      <x:c r="G430" t="str">
        <x:v>ESS-filtered raw NPE-MCMC interval [0, q95]</x:v>
      </x:c>
      <x:c r="H430" t="n">
        <x:v>0</x:v>
      </x:c>
      <x:c r="I430" t="n">
        <x:v>0.20673585905516229</x:v>
      </x:c>
      <x:c r="J430" t="n">
        <x:v>9</x:v>
      </x:c>
      <x:c r="K430" t="n">
        <x:v>1</x:v>
      </x:c>
      <x:c r="L430" t="n">
        <x:v>6</x:v>
      </x:c>
      <x:c r="M430" t="n">
        <x:v>1</x:v>
      </x:c>
      <x:c r="N430" t="n">
        <x:v>17</x:v>
      </x:c>
      <x:c r="O430" t="n">
        <x:v>0.4</x:v>
      </x:c>
      <x:c r="P430" t="n">
        <x:v>0.5</x:v>
      </x:c>
      <x:c r="Q430" t="n">
        <x:v>0.72</x:v>
      </x:c>
      <x:c r="R430" t="n">
        <x:v>0.5333333333333333</x:v>
      </x:c>
    </x:row>
    <x:row r="431">
      <x:c r="A431" t="str">
        <x:v>Diffusion</x:v>
      </x:c>
      <x:c r="B431" t="str">
        <x:v>empirical</x:v>
      </x:c>
      <x:c r="C431" t="str">
        <x:v>linf</x:v>
      </x:c>
      <x:c r="D431" t="str">
        <x:v>m2</x:v>
      </x:c>
      <x:c r="E431" t="str">
        <x:v>S=6D</x:v>
      </x:c>
      <x:c r="F431" t="str">
        <x:v>posterior_mmd</x:v>
      </x:c>
      <x:c r="G431" t="str">
        <x:v>ESS-filtered raw NPE-MCMC interval [0, q95]</x:v>
      </x:c>
      <x:c r="H431" t="n">
        <x:v>0</x:v>
      </x:c>
      <x:c r="I431" t="n">
        <x:v>0.20673585905516229</x:v>
      </x:c>
      <x:c r="J431" t="n">
        <x:v>3</x:v>
      </x:c>
      <x:c r="K431" t="n">
        <x:v>0</x:v>
      </x:c>
      <x:c r="L431" t="n">
        <x:v>12</x:v>
      </x:c>
      <x:c r="M431" t="n">
        <x:v>2</x:v>
      </x:c>
      <x:c r="N431" t="n">
        <x:v>17</x:v>
      </x:c>
      <x:c r="O431" t="n">
        <x:v>0.8</x:v>
      </x:c>
      <x:c r="P431" t="n">
        <x:v>0</x:v>
      </x:c>
      <x:c r="Q431" t="n">
        <x:v>0.3333333333333333</x:v>
      </x:c>
      <x:c r="R431" t="n">
        <x:v>0.4666666666666667</x:v>
      </x:c>
    </x:row>
    <x:row r="432">
      <x:c r="A432" t="str">
        <x:v>Diffusion</x:v>
      </x:c>
      <x:c r="B432" t="str">
        <x:v>empirical</x:v>
      </x:c>
      <x:c r="C432" t="str">
        <x:v>density</x:v>
      </x:c>
      <x:c r="D432" t="str">
        <x:v>m2</x:v>
      </x:c>
      <x:c r="E432" t="str">
        <x:v>S=6D</x:v>
      </x:c>
      <x:c r="F432" t="str">
        <x:v>posterior_mmd</x:v>
      </x:c>
      <x:c r="G432" t="str">
        <x:v>ESS-filtered raw NPE-MCMC interval [0, q95]</x:v>
      </x:c>
      <x:c r="H432" t="n">
        <x:v>0</x:v>
      </x:c>
      <x:c r="I432" t="n">
        <x:v>0.20673585905516229</x:v>
      </x:c>
      <x:c r="J432" t="n">
        <x:v>15</x:v>
      </x:c>
      <x:c r="K432" t="n">
        <x:v>2</x:v>
      </x:c>
      <x:c r="L432" t="n">
        <x:v>0</x:v>
      </x:c>
      <x:c r="M432" t="n">
        <x:v>0</x:v>
      </x:c>
      <x:c r="N432" t="n">
        <x:v>17</x:v>
      </x:c>
      <x:c r="O432" t="n">
        <x:v>0</x:v>
      </x:c>
      <x:c r="P432" t="n">
        <x:v>1</x:v>
      </x:c>
      <x:c r="Q432" t="n">
        <x:v>0.9375</x:v>
      </x:c>
      <x:c r="R432" t="n">
        <x:v>0.6</x:v>
      </x:c>
    </x:row>
    <x:row r="433">
      <x:c r="A433" t="str">
        <x:v>Diffusion</x:v>
      </x:c>
      <x:c r="B433" t="str">
        <x:v>empirical</x:v>
      </x:c>
      <x:c r="C433" t="str">
        <x:v>mmd</x:v>
      </x:c>
      <x:c r="D433" t="str">
        <x:v>m2</x:v>
      </x:c>
      <x:c r="E433" t="str">
        <x:v>S=6D</x:v>
      </x:c>
      <x:c r="F433" t="str">
        <x:v>posterior_mmd</x:v>
      </x:c>
      <x:c r="G433" t="str">
        <x:v>ESS-filtered raw NPE-MCMC interval [0, q95]</x:v>
      </x:c>
      <x:c r="H433" t="n">
        <x:v>0</x:v>
      </x:c>
      <x:c r="I433" t="n">
        <x:v>0.20673585905516229</x:v>
      </x:c>
      <x:c r="J433" t="n">
        <x:v>1</x:v>
      </x:c>
      <x:c r="K433" t="n">
        <x:v>0</x:v>
      </x:c>
      <x:c r="L433" t="n">
        <x:v>14</x:v>
      </x:c>
      <x:c r="M433" t="n">
        <x:v>2</x:v>
      </x:c>
      <x:c r="N433" t="n">
        <x:v>17</x:v>
      </x:c>
      <x:c r="O433" t="n">
        <x:v>0.9333333333333333</x:v>
      </x:c>
      <x:c r="P433" t="n">
        <x:v>0</x:v>
      </x:c>
      <x:c r="Q433" t="n">
        <x:v>0.125</x:v>
      </x:c>
      <x:c r="R433" t="n">
        <x:v>0.6</x:v>
      </x:c>
    </x:row>
    <x:row r="434">
      <x:c r="A434" t="str">
        <x:v>Diffusion</x:v>
      </x:c>
      <x:c r="B434" t="str">
        <x:v>simulated</x:v>
      </x:c>
      <x:c r="C434" t="str">
        <x:v>l2</x:v>
      </x:c>
      <x:c r="D434" t="str">
        <x:v>m0</x:v>
      </x:c>
      <x:c r="E434" t="str">
        <x:v>S=D</x:v>
      </x:c>
      <x:c r="F434" t="str">
        <x:v>log10_ml_error</x:v>
      </x:c>
      <x:c r="G434" t="str">
        <x:v>ESS-filtered raw NPE-MCMC central 90% interval [q5, q95]</x:v>
      </x:c>
      <x:c r="H434" t="n">
        <x:v>-0.012131076974167647</x:v>
      </x:c>
      <x:c r="I434" t="n">
        <x:v>0.01070301303850429</x:v>
      </x:c>
      <x:c r="J434" t="n">
        <x:v>55</x:v>
      </x:c>
      <x:c r="K434" t="n">
        <x:v>7</x:v>
      </x:c>
      <x:c r="L434" t="n">
        <x:v>15</x:v>
      </x:c>
      <x:c r="M434" t="n">
        <x:v>42</x:v>
      </x:c>
      <x:c r="N434" t="n">
        <x:v>119</x:v>
      </x:c>
      <x:c r="O434" t="n">
        <x:v>0.21428571428571427</x:v>
      </x:c>
      <x:c r="P434" t="n">
        <x:v>0.14285714285714285</x:v>
      </x:c>
      <x:c r="Q434" t="n">
        <x:v>0.8333333333333334</x:v>
      </x:c>
      <x:c r="R434" t="n">
        <x:v>0.88600583090379</x:v>
      </x:c>
    </x:row>
    <x:row r="435">
      <x:c r="A435" t="str">
        <x:v>Diffusion</x:v>
      </x:c>
      <x:c r="B435" t="str">
        <x:v>simulated</x:v>
      </x:c>
      <x:c r="C435" t="str">
        <x:v>linf</x:v>
      </x:c>
      <x:c r="D435" t="str">
        <x:v>m0</x:v>
      </x:c>
      <x:c r="E435" t="str">
        <x:v>S=D</x:v>
      </x:c>
      <x:c r="F435" t="str">
        <x:v>log10_ml_error</x:v>
      </x:c>
      <x:c r="G435" t="str">
        <x:v>ESS-filtered raw NPE-MCMC central 90% interval [q5, q95]</x:v>
      </x:c>
      <x:c r="H435" t="n">
        <x:v>-0.012131076974167647</x:v>
      </x:c>
      <x:c r="I435" t="n">
        <x:v>0.01070301303850429</x:v>
      </x:c>
      <x:c r="J435" t="n">
        <x:v>48</x:v>
      </x:c>
      <x:c r="K435" t="n">
        <x:v>4</x:v>
      </x:c>
      <x:c r="L435" t="n">
        <x:v>22</x:v>
      </x:c>
      <x:c r="M435" t="n">
        <x:v>45</x:v>
      </x:c>
      <x:c r="N435" t="n">
        <x:v>119</x:v>
      </x:c>
      <x:c r="O435" t="n">
        <x:v>0.3142857142857143</x:v>
      </x:c>
      <x:c r="P435" t="n">
        <x:v>0.08163265306122448</x:v>
      </x:c>
      <x:c r="Q435" t="n">
        <x:v>0.7868852459016393</x:v>
      </x:c>
      <x:c r="R435" t="n">
        <x:v>0.867930029154519</x:v>
      </x:c>
    </x:row>
    <x:row r="436">
      <x:c r="A436" t="str">
        <x:v>Diffusion</x:v>
      </x:c>
      <x:c r="B436" t="str">
        <x:v>simulated</x:v>
      </x:c>
      <x:c r="C436" t="str">
        <x:v>density</x:v>
      </x:c>
      <x:c r="D436" t="str">
        <x:v>m0</x:v>
      </x:c>
      <x:c r="E436" t="str">
        <x:v>S=D</x:v>
      </x:c>
      <x:c r="F436" t="str">
        <x:v>log10_ml_error</x:v>
      </x:c>
      <x:c r="G436" t="str">
        <x:v>ESS-filtered raw NPE-MCMC central 90% interval [q5, q95]</x:v>
      </x:c>
      <x:c r="H436" t="n">
        <x:v>-0.012131076974167647</x:v>
      </x:c>
      <x:c r="I436" t="n">
        <x:v>0.01070301303850429</x:v>
      </x:c>
      <x:c r="J436" t="n">
        <x:v>58</x:v>
      </x:c>
      <x:c r="K436" t="n">
        <x:v>17</x:v>
      </x:c>
      <x:c r="L436" t="n">
        <x:v>12</x:v>
      </x:c>
      <x:c r="M436" t="n">
        <x:v>32</x:v>
      </x:c>
      <x:c r="N436" t="n">
        <x:v>119</x:v>
      </x:c>
      <x:c r="O436" t="n">
        <x:v>0.17142857142857143</x:v>
      </x:c>
      <x:c r="P436" t="n">
        <x:v>0.3469387755102041</x:v>
      </x:c>
      <x:c r="Q436" t="n">
        <x:v>0.8</x:v>
      </x:c>
      <x:c r="R436" t="n">
        <x:v>0.8440233236151603</x:v>
      </x:c>
    </x:row>
    <x:row r="437">
      <x:c r="A437" t="str">
        <x:v>Diffusion</x:v>
      </x:c>
      <x:c r="B437" t="str">
        <x:v>simulated</x:v>
      </x:c>
      <x:c r="C437" t="str">
        <x:v>mmd</x:v>
      </x:c>
      <x:c r="D437" t="str">
        <x:v>m0</x:v>
      </x:c>
      <x:c r="E437" t="str">
        <x:v>S=D</x:v>
      </x:c>
      <x:c r="F437" t="str">
        <x:v>log10_ml_error</x:v>
      </x:c>
      <x:c r="G437" t="str">
        <x:v>ESS-filtered raw NPE-MCMC central 90% interval [q5, q95]</x:v>
      </x:c>
      <x:c r="H437" t="n">
        <x:v>-0.012131076974167647</x:v>
      </x:c>
      <x:c r="I437" t="n">
        <x:v>0.01070301303850429</x:v>
      </x:c>
      <x:c r="J437" t="n">
        <x:v>35</x:v>
      </x:c>
      <x:c r="K437" t="n">
        <x:v>3</x:v>
      </x:c>
      <x:c r="L437" t="n">
        <x:v>35</x:v>
      </x:c>
      <x:c r="M437" t="n">
        <x:v>46</x:v>
      </x:c>
      <x:c r="N437" t="n">
        <x:v>119</x:v>
      </x:c>
      <x:c r="O437" t="n">
        <x:v>0.5</x:v>
      </x:c>
      <x:c r="P437" t="n">
        <x:v>0.061224489795918366</x:v>
      </x:c>
      <x:c r="Q437" t="n">
        <x:v>0.6481481481481481</x:v>
      </x:c>
      <x:c r="R437" t="n">
        <x:v>0.841399416909621</x:v>
      </x:c>
    </x:row>
    <x:row r="438">
      <x:c r="A438" t="str">
        <x:v>Diffusion</x:v>
      </x:c>
      <x:c r="B438" t="str">
        <x:v>simulated</x:v>
      </x:c>
      <x:c r="C438" t="str">
        <x:v>l2</x:v>
      </x:c>
      <x:c r="D438" t="str">
        <x:v>m0</x:v>
      </x:c>
      <x:c r="E438" t="str">
        <x:v>S=2D</x:v>
      </x:c>
      <x:c r="F438" t="str">
        <x:v>log10_ml_error</x:v>
      </x:c>
      <x:c r="G438" t="str">
        <x:v>ESS-filtered raw NPE-MCMC central 90% interval [q5, q95]</x:v>
      </x:c>
      <x:c r="H438" t="n">
        <x:v>-0.010061009565064857</x:v>
      </x:c>
      <x:c r="I438" t="n">
        <x:v>0.010379221634216233</x:v>
      </x:c>
      <x:c r="J438" t="n">
        <x:v>46</x:v>
      </x:c>
      <x:c r="K438" t="n">
        <x:v>14</x:v>
      </x:c>
      <x:c r="L438" t="n">
        <x:v>15</x:v>
      </x:c>
      <x:c r="M438" t="n">
        <x:v>44</x:v>
      </x:c>
      <x:c r="N438" t="n">
        <x:v>119</x:v>
      </x:c>
      <x:c r="O438" t="n">
        <x:v>0.2459016393442623</x:v>
      </x:c>
      <x:c r="P438" t="n">
        <x:v>0.2413793103448276</x:v>
      </x:c>
      <x:c r="Q438" t="n">
        <x:v>0.7603305785123967</x:v>
      </x:c>
      <x:c r="R438" t="n">
        <x:v>0.8332391181458451</x:v>
      </x:c>
    </x:row>
    <x:row r="439">
      <x:c r="A439" t="str">
        <x:v>Diffusion</x:v>
      </x:c>
      <x:c r="B439" t="str">
        <x:v>simulated</x:v>
      </x:c>
      <x:c r="C439" t="str">
        <x:v>linf</x:v>
      </x:c>
      <x:c r="D439" t="str">
        <x:v>m0</x:v>
      </x:c>
      <x:c r="E439" t="str">
        <x:v>S=2D</x:v>
      </x:c>
      <x:c r="F439" t="str">
        <x:v>log10_ml_error</x:v>
      </x:c>
      <x:c r="G439" t="str">
        <x:v>ESS-filtered raw NPE-MCMC central 90% interval [q5, q95]</x:v>
      </x:c>
      <x:c r="H439" t="n">
        <x:v>-0.010061009565064857</x:v>
      </x:c>
      <x:c r="I439" t="n">
        <x:v>0.010379221634216233</x:v>
      </x:c>
      <x:c r="J439" t="n">
        <x:v>44</x:v>
      </x:c>
      <x:c r="K439" t="n">
        <x:v>14</x:v>
      </x:c>
      <x:c r="L439" t="n">
        <x:v>17</x:v>
      </x:c>
      <x:c r="M439" t="n">
        <x:v>44</x:v>
      </x:c>
      <x:c r="N439" t="n">
        <x:v>119</x:v>
      </x:c>
      <x:c r="O439" t="n">
        <x:v>0.2786885245901639</x:v>
      </x:c>
      <x:c r="P439" t="n">
        <x:v>0.2413793103448276</x:v>
      </x:c>
      <x:c r="Q439" t="n">
        <x:v>0.7394957983193278</x:v>
      </x:c>
      <x:c r="R439" t="n">
        <x:v>0.817976257772753</x:v>
      </x:c>
    </x:row>
    <x:row r="440">
      <x:c r="A440" t="str">
        <x:v>Diffusion</x:v>
      </x:c>
      <x:c r="B440" t="str">
        <x:v>simulated</x:v>
      </x:c>
      <x:c r="C440" t="str">
        <x:v>density</x:v>
      </x:c>
      <x:c r="D440" t="str">
        <x:v>m0</x:v>
      </x:c>
      <x:c r="E440" t="str">
        <x:v>S=2D</x:v>
      </x:c>
      <x:c r="F440" t="str">
        <x:v>log10_ml_error</x:v>
      </x:c>
      <x:c r="G440" t="str">
        <x:v>ESS-filtered raw NPE-MCMC central 90% interval [q5, q95]</x:v>
      </x:c>
      <x:c r="H440" t="n">
        <x:v>-0.010061009565064857</x:v>
      </x:c>
      <x:c r="I440" t="n">
        <x:v>0.010379221634216233</x:v>
      </x:c>
      <x:c r="J440" t="n">
        <x:v>52</x:v>
      </x:c>
      <x:c r="K440" t="n">
        <x:v>33</x:v>
      </x:c>
      <x:c r="L440" t="n">
        <x:v>9</x:v>
      </x:c>
      <x:c r="M440" t="n">
        <x:v>25</x:v>
      </x:c>
      <x:c r="N440" t="n">
        <x:v>119</x:v>
      </x:c>
      <x:c r="O440" t="n">
        <x:v>0.14754098360655737</x:v>
      </x:c>
      <x:c r="P440" t="n">
        <x:v>0.5689655172413793</x:v>
      </x:c>
      <x:c r="Q440" t="n">
        <x:v>0.7123287671232876</x:v>
      </x:c>
      <x:c r="R440" t="n">
        <x:v>0.814584511023177</x:v>
      </x:c>
    </x:row>
    <x:row r="441">
      <x:c r="A441" t="str">
        <x:v>Diffusion</x:v>
      </x:c>
      <x:c r="B441" t="str">
        <x:v>simulated</x:v>
      </x:c>
      <x:c r="C441" t="str">
        <x:v>mmd</x:v>
      </x:c>
      <x:c r="D441" t="str">
        <x:v>m0</x:v>
      </x:c>
      <x:c r="E441" t="str">
        <x:v>S=2D</x:v>
      </x:c>
      <x:c r="F441" t="str">
        <x:v>log10_ml_error</x:v>
      </x:c>
      <x:c r="G441" t="str">
        <x:v>ESS-filtered raw NPE-MCMC central 90% interval [q5, q95]</x:v>
      </x:c>
      <x:c r="H441" t="n">
        <x:v>-0.010061009565064857</x:v>
      </x:c>
      <x:c r="I441" t="n">
        <x:v>0.010379221634216233</x:v>
      </x:c>
      <x:c r="J441" t="n">
        <x:v>35</x:v>
      </x:c>
      <x:c r="K441" t="n">
        <x:v>6</x:v>
      </x:c>
      <x:c r="L441" t="n">
        <x:v>26</x:v>
      </x:c>
      <x:c r="M441" t="n">
        <x:v>52</x:v>
      </x:c>
      <x:c r="N441" t="n">
        <x:v>119</x:v>
      </x:c>
      <x:c r="O441" t="n">
        <x:v>0.4262295081967213</x:v>
      </x:c>
      <x:c r="P441" t="n">
        <x:v>0.10344827586206896</x:v>
      </x:c>
      <x:c r="Q441" t="n">
        <x:v>0.6862745098039216</x:v>
      </x:c>
      <x:c r="R441" t="n">
        <x:v>0.8256076879592991</x:v>
      </x:c>
    </x:row>
    <x:row r="442">
      <x:c r="A442" t="str">
        <x:v>Diffusion</x:v>
      </x:c>
      <x:c r="B442" t="str">
        <x:v>simulated</x:v>
      </x:c>
      <x:c r="C442" t="str">
        <x:v>l2</x:v>
      </x:c>
      <x:c r="D442" t="str">
        <x:v>m0</x:v>
      </x:c>
      <x:c r="E442" t="str">
        <x:v>S=4D</x:v>
      </x:c>
      <x:c r="F442" t="str">
        <x:v>log10_ml_error</x:v>
      </x:c>
      <x:c r="G442" t="str">
        <x:v>ESS-filtered raw NPE-MCMC central 90% interval [q5, q95]</x:v>
      </x:c>
      <x:c r="H442" t="n">
        <x:v>-0.01059100664032299</x:v>
      </x:c>
      <x:c r="I442" t="n">
        <x:v>0.005728294844700863</x:v>
      </x:c>
      <x:c r="J442" t="n">
        <x:v>49</x:v>
      </x:c>
      <x:c r="K442" t="n">
        <x:v>14</x:v>
      </x:c>
      <x:c r="L442" t="n">
        <x:v>18</x:v>
      </x:c>
      <x:c r="M442" t="n">
        <x:v>38</x:v>
      </x:c>
      <x:c r="N442" t="n">
        <x:v>119</x:v>
      </x:c>
      <x:c r="O442" t="n">
        <x:v>0.26865671641791045</x:v>
      </x:c>
      <x:c r="P442" t="n">
        <x:v>0.2692307692307692</x:v>
      </x:c>
      <x:c r="Q442" t="n">
        <x:v>0.7538461538461538</x:v>
      </x:c>
      <x:c r="R442" t="n">
        <x:v>0.8045350172215844</x:v>
      </x:c>
    </x:row>
    <x:row r="443">
      <x:c r="A443" t="str">
        <x:v>Diffusion</x:v>
      </x:c>
      <x:c r="B443" t="str">
        <x:v>simulated</x:v>
      </x:c>
      <x:c r="C443" t="str">
        <x:v>linf</x:v>
      </x:c>
      <x:c r="D443" t="str">
        <x:v>m0</x:v>
      </x:c>
      <x:c r="E443" t="str">
        <x:v>S=4D</x:v>
      </x:c>
      <x:c r="F443" t="str">
        <x:v>log10_ml_error</x:v>
      </x:c>
      <x:c r="G443" t="str">
        <x:v>ESS-filtered raw NPE-MCMC central 90% interval [q5, q95]</x:v>
      </x:c>
      <x:c r="H443" t="n">
        <x:v>-0.01059100664032299</x:v>
      </x:c>
      <x:c r="I443" t="n">
        <x:v>0.005728294844700863</x:v>
      </x:c>
      <x:c r="J443" t="n">
        <x:v>47</x:v>
      </x:c>
      <x:c r="K443" t="n">
        <x:v>11</x:v>
      </x:c>
      <x:c r="L443" t="n">
        <x:v>20</x:v>
      </x:c>
      <x:c r="M443" t="n">
        <x:v>41</x:v>
      </x:c>
      <x:c r="N443" t="n">
        <x:v>119</x:v>
      </x:c>
      <x:c r="O443" t="n">
        <x:v>0.29850746268656714</x:v>
      </x:c>
      <x:c r="P443" t="n">
        <x:v>0.21153846153846154</x:v>
      </x:c>
      <x:c r="Q443" t="n">
        <x:v>0.752</x:v>
      </x:c>
      <x:c r="R443" t="n">
        <x:v>0.8005166475315729</x:v>
      </x:c>
    </x:row>
    <x:row r="444">
      <x:c r="A444" t="str">
        <x:v>Diffusion</x:v>
      </x:c>
      <x:c r="B444" t="str">
        <x:v>simulated</x:v>
      </x:c>
      <x:c r="C444" t="str">
        <x:v>density</x:v>
      </x:c>
      <x:c r="D444" t="str">
        <x:v>m0</x:v>
      </x:c>
      <x:c r="E444" t="str">
        <x:v>S=4D</x:v>
      </x:c>
      <x:c r="F444" t="str">
        <x:v>log10_ml_error</x:v>
      </x:c>
      <x:c r="G444" t="str">
        <x:v>ESS-filtered raw NPE-MCMC central 90% interval [q5, q95]</x:v>
      </x:c>
      <x:c r="H444" t="n">
        <x:v>-0.01059100664032299</x:v>
      </x:c>
      <x:c r="I444" t="n">
        <x:v>0.005728294844700863</x:v>
      </x:c>
      <x:c r="J444" t="n">
        <x:v>57</x:v>
      </x:c>
      <x:c r="K444" t="n">
        <x:v>32</x:v>
      </x:c>
      <x:c r="L444" t="n">
        <x:v>10</x:v>
      </x:c>
      <x:c r="M444" t="n">
        <x:v>20</x:v>
      </x:c>
      <x:c r="N444" t="n">
        <x:v>119</x:v>
      </x:c>
      <x:c r="O444" t="n">
        <x:v>0.14925373134328357</x:v>
      </x:c>
      <x:c r="P444" t="n">
        <x:v>0.6153846153846154</x:v>
      </x:c>
      <x:c r="Q444" t="n">
        <x:v>0.7307692307692307</x:v>
      </x:c>
      <x:c r="R444" t="n">
        <x:v>0.7623421354764638</x:v>
      </x:c>
    </x:row>
    <x:row r="445">
      <x:c r="A445" t="str">
        <x:v>Diffusion</x:v>
      </x:c>
      <x:c r="B445" t="str">
        <x:v>simulated</x:v>
      </x:c>
      <x:c r="C445" t="str">
        <x:v>mmd</x:v>
      </x:c>
      <x:c r="D445" t="str">
        <x:v>m0</x:v>
      </x:c>
      <x:c r="E445" t="str">
        <x:v>S=4D</x:v>
      </x:c>
      <x:c r="F445" t="str">
        <x:v>log10_ml_error</x:v>
      </x:c>
      <x:c r="G445" t="str">
        <x:v>ESS-filtered raw NPE-MCMC central 90% interval [q5, q95]</x:v>
      </x:c>
      <x:c r="H445" t="n">
        <x:v>-0.01059100664032299</x:v>
      </x:c>
      <x:c r="I445" t="n">
        <x:v>0.005728294844700863</x:v>
      </x:c>
      <x:c r="J445" t="n">
        <x:v>38</x:v>
      </x:c>
      <x:c r="K445" t="n">
        <x:v>8</x:v>
      </x:c>
      <x:c r="L445" t="n">
        <x:v>29</x:v>
      </x:c>
      <x:c r="M445" t="n">
        <x:v>44</x:v>
      </x:c>
      <x:c r="N445" t="n">
        <x:v>119</x:v>
      </x:c>
      <x:c r="O445" t="n">
        <x:v>0.43283582089552236</x:v>
      </x:c>
      <x:c r="P445" t="n">
        <x:v>0.15384615384615385</x:v>
      </x:c>
      <x:c r="Q445" t="n">
        <x:v>0.672566371681416</x:v>
      </x:c>
      <x:c r="R445" t="n">
        <x:v>0.7985074626865671</x:v>
      </x:c>
    </x:row>
    <x:row r="446">
      <x:c r="A446" t="str">
        <x:v>Diffusion</x:v>
      </x:c>
      <x:c r="B446" t="str">
        <x:v>simulated</x:v>
      </x:c>
      <x:c r="C446" t="str">
        <x:v>l2</x:v>
      </x:c>
      <x:c r="D446" t="str">
        <x:v>m0</x:v>
      </x:c>
      <x:c r="E446" t="str">
        <x:v>S=6D</x:v>
      </x:c>
      <x:c r="F446" t="str">
        <x:v>log10_ml_error</x:v>
      </x:c>
      <x:c r="G446" t="str">
        <x:v>ESS-filtered raw NPE-MCMC central 90% interval [q5, q95]</x:v>
      </x:c>
      <x:c r="H446" t="n">
        <x:v>-0.014556794270741065</x:v>
      </x:c>
      <x:c r="I446" t="n">
        <x:v>0.006523495480156247</x:v>
      </x:c>
      <x:c r="J446" t="n">
        <x:v>54</x:v>
      </x:c>
      <x:c r="K446" t="n">
        <x:v>17</x:v>
      </x:c>
      <x:c r="L446" t="n">
        <x:v>3</x:v>
      </x:c>
      <x:c r="M446" t="n">
        <x:v>45</x:v>
      </x:c>
      <x:c r="N446" t="n">
        <x:v>119</x:v>
      </x:c>
      <x:c r="O446" t="n">
        <x:v>0.05263157894736842</x:v>
      </x:c>
      <x:c r="P446" t="n">
        <x:v>0.27419354838709675</x:v>
      </x:c>
      <x:c r="Q446" t="n">
        <x:v>0.84375</x:v>
      </x:c>
      <x:c r="R446" t="n">
        <x:v>0.9558573853989814</x:v>
      </x:c>
    </x:row>
    <x:row r="447">
      <x:c r="A447" t="str">
        <x:v>Diffusion</x:v>
      </x:c>
      <x:c r="B447" t="str">
        <x:v>simulated</x:v>
      </x:c>
      <x:c r="C447" t="str">
        <x:v>linf</x:v>
      </x:c>
      <x:c r="D447" t="str">
        <x:v>m0</x:v>
      </x:c>
      <x:c r="E447" t="str">
        <x:v>S=6D</x:v>
      </x:c>
      <x:c r="F447" t="str">
        <x:v>log10_ml_error</x:v>
      </x:c>
      <x:c r="G447" t="str">
        <x:v>ESS-filtered raw NPE-MCMC central 90% interval [q5, q95]</x:v>
      </x:c>
      <x:c r="H447" t="n">
        <x:v>-0.014556794270741065</x:v>
      </x:c>
      <x:c r="I447" t="n">
        <x:v>0.006523495480156247</x:v>
      </x:c>
      <x:c r="J447" t="n">
        <x:v>55</x:v>
      </x:c>
      <x:c r="K447" t="n">
        <x:v>18</x:v>
      </x:c>
      <x:c r="L447" t="n">
        <x:v>2</x:v>
      </x:c>
      <x:c r="M447" t="n">
        <x:v>44</x:v>
      </x:c>
      <x:c r="N447" t="n">
        <x:v>119</x:v>
      </x:c>
      <x:c r="O447" t="n">
        <x:v>0.03508771929824561</x:v>
      </x:c>
      <x:c r="P447" t="n">
        <x:v>0.2903225806451613</x:v>
      </x:c>
      <x:c r="Q447" t="n">
        <x:v>0.8461538461538461</x:v>
      </x:c>
      <x:c r="R447" t="n">
        <x:v>0.9527447651386531</x:v>
      </x:c>
    </x:row>
    <x:row r="448">
      <x:c r="A448" t="str">
        <x:v>Diffusion</x:v>
      </x:c>
      <x:c r="B448" t="str">
        <x:v>simulated</x:v>
      </x:c>
      <x:c r="C448" t="str">
        <x:v>density</x:v>
      </x:c>
      <x:c r="D448" t="str">
        <x:v>m0</x:v>
      </x:c>
      <x:c r="E448" t="str">
        <x:v>S=6D</x:v>
      </x:c>
      <x:c r="F448" t="str">
        <x:v>log10_ml_error</x:v>
      </x:c>
      <x:c r="G448" t="str">
        <x:v>ESS-filtered raw NPE-MCMC central 90% interval [q5, q95]</x:v>
      </x:c>
      <x:c r="H448" t="n">
        <x:v>-0.014556794270741065</x:v>
      </x:c>
      <x:c r="I448" t="n">
        <x:v>0.006523495480156247</x:v>
      </x:c>
      <x:c r="J448" t="n">
        <x:v>55</x:v>
      </x:c>
      <x:c r="K448" t="n">
        <x:v>34</x:v>
      </x:c>
      <x:c r="L448" t="n">
        <x:v>2</x:v>
      </x:c>
      <x:c r="M448" t="n">
        <x:v>28</x:v>
      </x:c>
      <x:c r="N448" t="n">
        <x:v>119</x:v>
      </x:c>
      <x:c r="O448" t="n">
        <x:v>0.03508771929824561</x:v>
      </x:c>
      <x:c r="P448" t="n">
        <x:v>0.5483870967741935</x:v>
      </x:c>
      <x:c r="Q448" t="n">
        <x:v>0.7534246575342466</x:v>
      </x:c>
      <x:c r="R448" t="n">
        <x:v>0.9581211092246746</x:v>
      </x:c>
    </x:row>
    <x:row r="449">
      <x:c r="A449" t="str">
        <x:v>Diffusion</x:v>
      </x:c>
      <x:c r="B449" t="str">
        <x:v>simulated</x:v>
      </x:c>
      <x:c r="C449" t="str">
        <x:v>mmd</x:v>
      </x:c>
      <x:c r="D449" t="str">
        <x:v>m0</x:v>
      </x:c>
      <x:c r="E449" t="str">
        <x:v>S=6D</x:v>
      </x:c>
      <x:c r="F449" t="str">
        <x:v>log10_ml_error</x:v>
      </x:c>
      <x:c r="G449" t="str">
        <x:v>ESS-filtered raw NPE-MCMC central 90% interval [q5, q95]</x:v>
      </x:c>
      <x:c r="H449" t="n">
        <x:v>-0.014556794270741065</x:v>
      </x:c>
      <x:c r="I449" t="n">
        <x:v>0.006523495480156247</x:v>
      </x:c>
      <x:c r="J449" t="n">
        <x:v>38</x:v>
      </x:c>
      <x:c r="K449" t="n">
        <x:v>3</x:v>
      </x:c>
      <x:c r="L449" t="n">
        <x:v>19</x:v>
      </x:c>
      <x:c r="M449" t="n">
        <x:v>59</x:v>
      </x:c>
      <x:c r="N449" t="n">
        <x:v>119</x:v>
      </x:c>
      <x:c r="O449" t="n">
        <x:v>0.3333333333333333</x:v>
      </x:c>
      <x:c r="P449" t="n">
        <x:v>0.04838709677419355</x:v>
      </x:c>
      <x:c r="Q449" t="n">
        <x:v>0.7755102040816326</x:v>
      </x:c>
      <x:c r="R449" t="n">
        <x:v>0.9284097340124505</x:v>
      </x:c>
    </x:row>
    <x:row r="450">
      <x:c r="A450" t="str">
        <x:v>Diffusion</x:v>
      </x:c>
      <x:c r="B450" t="str">
        <x:v>simulated</x:v>
      </x:c>
      <x:c r="C450" t="str">
        <x:v>l2</x:v>
      </x:c>
      <x:c r="D450" t="str">
        <x:v>m2</x:v>
      </x:c>
      <x:c r="E450" t="str">
        <x:v>S=D</x:v>
      </x:c>
      <x:c r="F450" t="str">
        <x:v>log10_ml_error</x:v>
      </x:c>
      <x:c r="G450" t="str">
        <x:v>ESS-filtered raw NPE-MCMC central 90% interval [q5, q95]</x:v>
      </x:c>
      <x:c r="H450" t="n">
        <x:v>-0.10340499618694932</x:v>
      </x:c>
      <x:c r="I450" t="n">
        <x:v>0.007791586997038212</x:v>
      </x:c>
      <x:c r="J450" t="n">
        <x:v>24</x:v>
      </x:c>
      <x:c r="K450" t="n">
        <x:v>17</x:v>
      </x:c>
      <x:c r="L450" t="n">
        <x:v>11</x:v>
      </x:c>
      <x:c r="M450" t="n">
        <x:v>67</x:v>
      </x:c>
      <x:c r="N450" t="n">
        <x:v>119</x:v>
      </x:c>
      <x:c r="O450" t="n">
        <x:v>0.3142857142857143</x:v>
      </x:c>
      <x:c r="P450" t="n">
        <x:v>0.20238095238095238</x:v>
      </x:c>
      <x:c r="Q450" t="n">
        <x:v>0.631578947368421</x:v>
      </x:c>
      <x:c r="R450" t="n">
        <x:v>0.8363945578231292</x:v>
      </x:c>
    </x:row>
    <x:row r="451">
      <x:c r="A451" t="str">
        <x:v>Diffusion</x:v>
      </x:c>
      <x:c r="B451" t="str">
        <x:v>simulated</x:v>
      </x:c>
      <x:c r="C451" t="str">
        <x:v>linf</x:v>
      </x:c>
      <x:c r="D451" t="str">
        <x:v>m2</x:v>
      </x:c>
      <x:c r="E451" t="str">
        <x:v>S=D</x:v>
      </x:c>
      <x:c r="F451" t="str">
        <x:v>log10_ml_error</x:v>
      </x:c>
      <x:c r="G451" t="str">
        <x:v>ESS-filtered raw NPE-MCMC central 90% interval [q5, q95]</x:v>
      </x:c>
      <x:c r="H451" t="n">
        <x:v>-0.10340499618694932</x:v>
      </x:c>
      <x:c r="I451" t="n">
        <x:v>0.007791586997038212</x:v>
      </x:c>
      <x:c r="J451" t="n">
        <x:v>24</x:v>
      </x:c>
      <x:c r="K451" t="n">
        <x:v>14</x:v>
      </x:c>
      <x:c r="L451" t="n">
        <x:v>11</x:v>
      </x:c>
      <x:c r="M451" t="n">
        <x:v>70</x:v>
      </x:c>
      <x:c r="N451" t="n">
        <x:v>119</x:v>
      </x:c>
      <x:c r="O451" t="n">
        <x:v>0.3142857142857143</x:v>
      </x:c>
      <x:c r="P451" t="n">
        <x:v>0.16666666666666666</x:v>
      </x:c>
      <x:c r="Q451" t="n">
        <x:v>0.6575342465753424</x:v>
      </x:c>
      <x:c r="R451" t="n">
        <x:v>0.7908163265306123</x:v>
      </x:c>
    </x:row>
    <x:row r="452">
      <x:c r="A452" t="str">
        <x:v>Diffusion</x:v>
      </x:c>
      <x:c r="B452" t="str">
        <x:v>simulated</x:v>
      </x:c>
      <x:c r="C452" t="str">
        <x:v>density</x:v>
      </x:c>
      <x:c r="D452" t="str">
        <x:v>m2</x:v>
      </x:c>
      <x:c r="E452" t="str">
        <x:v>S=D</x:v>
      </x:c>
      <x:c r="F452" t="str">
        <x:v>log10_ml_error</x:v>
      </x:c>
      <x:c r="G452" t="str">
        <x:v>ESS-filtered raw NPE-MCMC central 90% interval [q5, q95]</x:v>
      </x:c>
      <x:c r="H452" t="n">
        <x:v>-0.10340499618694932</x:v>
      </x:c>
      <x:c r="I452" t="n">
        <x:v>0.007791586997038212</x:v>
      </x:c>
      <x:c r="J452" t="n">
        <x:v>20</x:v>
      </x:c>
      <x:c r="K452" t="n">
        <x:v>29</x:v>
      </x:c>
      <x:c r="L452" t="n">
        <x:v>15</x:v>
      </x:c>
      <x:c r="M452" t="n">
        <x:v>55</x:v>
      </x:c>
      <x:c r="N452" t="n">
        <x:v>119</x:v>
      </x:c>
      <x:c r="O452" t="n">
        <x:v>0.42857142857142855</x:v>
      </x:c>
      <x:c r="P452" t="n">
        <x:v>0.34523809523809523</x:v>
      </x:c>
      <x:c r="Q452" t="n">
        <x:v>0.47619047619047616</x:v>
      </x:c>
      <x:c r="R452" t="n">
        <x:v>0.7503401360544217</x:v>
      </x:c>
    </x:row>
    <x:row r="453">
      <x:c r="A453" t="str">
        <x:v>Diffusion</x:v>
      </x:c>
      <x:c r="B453" t="str">
        <x:v>simulated</x:v>
      </x:c>
      <x:c r="C453" t="str">
        <x:v>mmd</x:v>
      </x:c>
      <x:c r="D453" t="str">
        <x:v>m2</x:v>
      </x:c>
      <x:c r="E453" t="str">
        <x:v>S=D</x:v>
      </x:c>
      <x:c r="F453" t="str">
        <x:v>log10_ml_error</x:v>
      </x:c>
      <x:c r="G453" t="str">
        <x:v>ESS-filtered raw NPE-MCMC central 90% interval [q5, q95]</x:v>
      </x:c>
      <x:c r="H453" t="n">
        <x:v>-0.10340499618694932</x:v>
      </x:c>
      <x:c r="I453" t="n">
        <x:v>0.007791586997038212</x:v>
      </x:c>
      <x:c r="J453" t="n">
        <x:v>9</x:v>
      </x:c>
      <x:c r="K453" t="n">
        <x:v>4</x:v>
      </x:c>
      <x:c r="L453" t="n">
        <x:v>26</x:v>
      </x:c>
      <x:c r="M453" t="n">
        <x:v>80</x:v>
      </x:c>
      <x:c r="N453" t="n">
        <x:v>119</x:v>
      </x:c>
      <x:c r="O453" t="n">
        <x:v>0.7428571428571429</x:v>
      </x:c>
      <x:c r="P453" t="n">
        <x:v>0.047619047619047616</x:v>
      </x:c>
      <x:c r="Q453" t="n">
        <x:v>0.375</x:v>
      </x:c>
      <x:c r="R453" t="n">
        <x:v>0.8197278911564626</x:v>
      </x:c>
    </x:row>
    <x:row r="454">
      <x:c r="A454" t="str">
        <x:v>Diffusion</x:v>
      </x:c>
      <x:c r="B454" t="str">
        <x:v>simulated</x:v>
      </x:c>
      <x:c r="C454" t="str">
        <x:v>l2</x:v>
      </x:c>
      <x:c r="D454" t="str">
        <x:v>m2</x:v>
      </x:c>
      <x:c r="E454" t="str">
        <x:v>S=2D</x:v>
      </x:c>
      <x:c r="F454" t="str">
        <x:v>log10_ml_error</x:v>
      </x:c>
      <x:c r="G454" t="str">
        <x:v>ESS-filtered raw NPE-MCMC central 90% interval [q5, q95]</x:v>
      </x:c>
      <x:c r="H454" t="n">
        <x:v>-0.11020758218839817</x:v>
      </x:c>
      <x:c r="I454" t="n">
        <x:v>0.002189062413752622</x:v>
      </x:c>
      <x:c r="J454" t="n">
        <x:v>23</x:v>
      </x:c>
      <x:c r="K454" t="n">
        <x:v>22</x:v>
      </x:c>
      <x:c r="L454" t="n">
        <x:v>23</x:v>
      </x:c>
      <x:c r="M454" t="n">
        <x:v>51</x:v>
      </x:c>
      <x:c r="N454" t="n">
        <x:v>119</x:v>
      </x:c>
      <x:c r="O454" t="n">
        <x:v>0.5</x:v>
      </x:c>
      <x:c r="P454" t="n">
        <x:v>0.3013698630136986</x:v>
      </x:c>
      <x:c r="Q454" t="n">
        <x:v>0.5054945054945055</x:v>
      </x:c>
      <x:c r="R454" t="n">
        <x:v>0.6116736152471709</x:v>
      </x:c>
    </x:row>
    <x:row r="455">
      <x:c r="A455" t="str">
        <x:v>Diffusion</x:v>
      </x:c>
      <x:c r="B455" t="str">
        <x:v>simulated</x:v>
      </x:c>
      <x:c r="C455" t="str">
        <x:v>linf</x:v>
      </x:c>
      <x:c r="D455" t="str">
        <x:v>m2</x:v>
      </x:c>
      <x:c r="E455" t="str">
        <x:v>S=2D</x:v>
      </x:c>
      <x:c r="F455" t="str">
        <x:v>log10_ml_error</x:v>
      </x:c>
      <x:c r="G455" t="str">
        <x:v>ESS-filtered raw NPE-MCMC central 90% interval [q5, q95]</x:v>
      </x:c>
      <x:c r="H455" t="n">
        <x:v>-0.11020758218839817</x:v>
      </x:c>
      <x:c r="I455" t="n">
        <x:v>0.002189062413752622</x:v>
      </x:c>
      <x:c r="J455" t="n">
        <x:v>21</x:v>
      </x:c>
      <x:c r="K455" t="n">
        <x:v>16</x:v>
      </x:c>
      <x:c r="L455" t="n">
        <x:v>25</x:v>
      </x:c>
      <x:c r="M455" t="n">
        <x:v>57</x:v>
      </x:c>
      <x:c r="N455" t="n">
        <x:v>119</x:v>
      </x:c>
      <x:c r="O455" t="n">
        <x:v>0.5434782608695652</x:v>
      </x:c>
      <x:c r="P455" t="n">
        <x:v>0.2191780821917808</x:v>
      </x:c>
      <x:c r="Q455" t="n">
        <x:v>0.5060240963855421</x:v>
      </x:c>
      <x:c r="R455" t="n">
        <x:v>0.6405598570577725</x:v>
      </x:c>
    </x:row>
    <x:row r="456">
      <x:c r="A456" t="str">
        <x:v>Diffusion</x:v>
      </x:c>
      <x:c r="B456" t="str">
        <x:v>simulated</x:v>
      </x:c>
      <x:c r="C456" t="str">
        <x:v>density</x:v>
      </x:c>
      <x:c r="D456" t="str">
        <x:v>m2</x:v>
      </x:c>
      <x:c r="E456" t="str">
        <x:v>S=2D</x:v>
      </x:c>
      <x:c r="F456" t="str">
        <x:v>log10_ml_error</x:v>
      </x:c>
      <x:c r="G456" t="str">
        <x:v>ESS-filtered raw NPE-MCMC central 90% interval [q5, q95]</x:v>
      </x:c>
      <x:c r="H456" t="n">
        <x:v>-0.11020758218839817</x:v>
      </x:c>
      <x:c r="I456" t="n">
        <x:v>0.002189062413752622</x:v>
      </x:c>
      <x:c r="J456" t="n">
        <x:v>36</x:v>
      </x:c>
      <x:c r="K456" t="n">
        <x:v>45</x:v>
      </x:c>
      <x:c r="L456" t="n">
        <x:v>10</x:v>
      </x:c>
      <x:c r="M456" t="n">
        <x:v>28</x:v>
      </x:c>
      <x:c r="N456" t="n">
        <x:v>119</x:v>
      </x:c>
      <x:c r="O456" t="n">
        <x:v>0.21739130434782608</x:v>
      </x:c>
      <x:c r="P456" t="n">
        <x:v>0.6164383561643836</x:v>
      </x:c>
      <x:c r="Q456" t="n">
        <x:v>0.5669291338582677</x:v>
      </x:c>
      <x:c r="R456" t="n">
        <x:v>0.6891006551518761</x:v>
      </x:c>
    </x:row>
    <x:row r="457">
      <x:c r="A457" t="str">
        <x:v>Diffusion</x:v>
      </x:c>
      <x:c r="B457" t="str">
        <x:v>simulated</x:v>
      </x:c>
      <x:c r="C457" t="str">
        <x:v>mmd</x:v>
      </x:c>
      <x:c r="D457" t="str">
        <x:v>m2</x:v>
      </x:c>
      <x:c r="E457" t="str">
        <x:v>S=2D</x:v>
      </x:c>
      <x:c r="F457" t="str">
        <x:v>log10_ml_error</x:v>
      </x:c>
      <x:c r="G457" t="str">
        <x:v>ESS-filtered raw NPE-MCMC central 90% interval [q5, q95]</x:v>
      </x:c>
      <x:c r="H457" t="n">
        <x:v>-0.11020758218839817</x:v>
      </x:c>
      <x:c r="I457" t="n">
        <x:v>0.002189062413752622</x:v>
      </x:c>
      <x:c r="J457" t="n">
        <x:v>16</x:v>
      </x:c>
      <x:c r="K457" t="n">
        <x:v>15</x:v>
      </x:c>
      <x:c r="L457" t="n">
        <x:v>30</x:v>
      </x:c>
      <x:c r="M457" t="n">
        <x:v>58</x:v>
      </x:c>
      <x:c r="N457" t="n">
        <x:v>119</x:v>
      </x:c>
      <x:c r="O457" t="n">
        <x:v>0.6521739130434783</x:v>
      </x:c>
      <x:c r="P457" t="n">
        <x:v>0.2054794520547945</x:v>
      </x:c>
      <x:c r="Q457" t="n">
        <x:v>0.4155844155844156</x:v>
      </x:c>
      <x:c r="R457" t="n">
        <x:v>0.5556879094699225</x:v>
      </x:c>
    </x:row>
    <x:row r="458">
      <x:c r="A458" t="str">
        <x:v>Diffusion</x:v>
      </x:c>
      <x:c r="B458" t="str">
        <x:v>simulated</x:v>
      </x:c>
      <x:c r="C458" t="str">
        <x:v>l2</x:v>
      </x:c>
      <x:c r="D458" t="str">
        <x:v>m2</x:v>
      </x:c>
      <x:c r="E458" t="str">
        <x:v>S=4D</x:v>
      </x:c>
      <x:c r="F458" t="str">
        <x:v>log10_ml_error</x:v>
      </x:c>
      <x:c r="G458" t="str">
        <x:v>ESS-filtered raw NPE-MCMC central 90% interval [q5, q95]</x:v>
      </x:c>
      <x:c r="H458" t="n">
        <x:v>-0.10886465838790597</x:v>
      </x:c>
      <x:c r="I458" t="n">
        <x:v>0.005299073208575744</x:v>
      </x:c>
      <x:c r="J458" t="n">
        <x:v>20</x:v>
      </x:c>
      <x:c r="K458" t="n">
        <x:v>25</x:v>
      </x:c>
      <x:c r="L458" t="n">
        <x:v>14</x:v>
      </x:c>
      <x:c r="M458" t="n">
        <x:v>60</x:v>
      </x:c>
      <x:c r="N458" t="n">
        <x:v>119</x:v>
      </x:c>
      <x:c r="O458" t="n">
        <x:v>0.4117647058823529</x:v>
      </x:c>
      <x:c r="P458" t="n">
        <x:v>0.29411764705882354</x:v>
      </x:c>
      <x:c r="Q458" t="n">
        <x:v>0.5063291139240507</x:v>
      </x:c>
      <x:c r="R458" t="n">
        <x:v>0.6951557093425605</x:v>
      </x:c>
    </x:row>
    <x:row r="459">
      <x:c r="A459" t="str">
        <x:v>Diffusion</x:v>
      </x:c>
      <x:c r="B459" t="str">
        <x:v>simulated</x:v>
      </x:c>
      <x:c r="C459" t="str">
        <x:v>linf</x:v>
      </x:c>
      <x:c r="D459" t="str">
        <x:v>m2</x:v>
      </x:c>
      <x:c r="E459" t="str">
        <x:v>S=4D</x:v>
      </x:c>
      <x:c r="F459" t="str">
        <x:v>log10_ml_error</x:v>
      </x:c>
      <x:c r="G459" t="str">
        <x:v>ESS-filtered raw NPE-MCMC central 90% interval [q5, q95]</x:v>
      </x:c>
      <x:c r="H459" t="n">
        <x:v>-0.10886465838790597</x:v>
      </x:c>
      <x:c r="I459" t="n">
        <x:v>0.005299073208575744</x:v>
      </x:c>
      <x:c r="J459" t="n">
        <x:v>20</x:v>
      </x:c>
      <x:c r="K459" t="n">
        <x:v>26</x:v>
      </x:c>
      <x:c r="L459" t="n">
        <x:v>14</x:v>
      </x:c>
      <x:c r="M459" t="n">
        <x:v>59</x:v>
      </x:c>
      <x:c r="N459" t="n">
        <x:v>119</x:v>
      </x:c>
      <x:c r="O459" t="n">
        <x:v>0.4117647058823529</x:v>
      </x:c>
      <x:c r="P459" t="n">
        <x:v>0.3058823529411765</x:v>
      </x:c>
      <x:c r="Q459" t="n">
        <x:v>0.5</x:v>
      </x:c>
      <x:c r="R459" t="n">
        <x:v>0.6795847750865052</x:v>
      </x:c>
    </x:row>
    <x:row r="460">
      <x:c r="A460" t="str">
        <x:v>Diffusion</x:v>
      </x:c>
      <x:c r="B460" t="str">
        <x:v>simulated</x:v>
      </x:c>
      <x:c r="C460" t="str">
        <x:v>density</x:v>
      </x:c>
      <x:c r="D460" t="str">
        <x:v>m2</x:v>
      </x:c>
      <x:c r="E460" t="str">
        <x:v>S=4D</x:v>
      </x:c>
      <x:c r="F460" t="str">
        <x:v>log10_ml_error</x:v>
      </x:c>
      <x:c r="G460" t="str">
        <x:v>ESS-filtered raw NPE-MCMC central 90% interval [q5, q95]</x:v>
      </x:c>
      <x:c r="H460" t="n">
        <x:v>-0.10886465838790597</x:v>
      </x:c>
      <x:c r="I460" t="n">
        <x:v>0.005299073208575744</x:v>
      </x:c>
      <x:c r="J460" t="n">
        <x:v>29</x:v>
      </x:c>
      <x:c r="K460" t="n">
        <x:v>46</x:v>
      </x:c>
      <x:c r="L460" t="n">
        <x:v>5</x:v>
      </x:c>
      <x:c r="M460" t="n">
        <x:v>39</x:v>
      </x:c>
      <x:c r="N460" t="n">
        <x:v>119</x:v>
      </x:c>
      <x:c r="O460" t="n">
        <x:v>0.14705882352941177</x:v>
      </x:c>
      <x:c r="P460" t="n">
        <x:v>0.5411764705882353</x:v>
      </x:c>
      <x:c r="Q460" t="n">
        <x:v>0.5321100917431193</x:v>
      </x:c>
      <x:c r="R460" t="n">
        <x:v>0.6955017301038062</x:v>
      </x:c>
    </x:row>
    <x:row r="461">
      <x:c r="A461" t="str">
        <x:v>Diffusion</x:v>
      </x:c>
      <x:c r="B461" t="str">
        <x:v>simulated</x:v>
      </x:c>
      <x:c r="C461" t="str">
        <x:v>mmd</x:v>
      </x:c>
      <x:c r="D461" t="str">
        <x:v>m2</x:v>
      </x:c>
      <x:c r="E461" t="str">
        <x:v>S=4D</x:v>
      </x:c>
      <x:c r="F461" t="str">
        <x:v>log10_ml_error</x:v>
      </x:c>
      <x:c r="G461" t="str">
        <x:v>ESS-filtered raw NPE-MCMC central 90% interval [q5, q95]</x:v>
      </x:c>
      <x:c r="H461" t="n">
        <x:v>-0.10886465838790597</x:v>
      </x:c>
      <x:c r="I461" t="n">
        <x:v>0.005299073208575744</x:v>
      </x:c>
      <x:c r="J461" t="n">
        <x:v>14</x:v>
      </x:c>
      <x:c r="K461" t="n">
        <x:v>20</x:v>
      </x:c>
      <x:c r="L461" t="n">
        <x:v>20</x:v>
      </x:c>
      <x:c r="M461" t="n">
        <x:v>65</x:v>
      </x:c>
      <x:c r="N461" t="n">
        <x:v>119</x:v>
      </x:c>
      <x:c r="O461" t="n">
        <x:v>0.5882352941176471</x:v>
      </x:c>
      <x:c r="P461" t="n">
        <x:v>0.23529411764705882</x:v>
      </x:c>
      <x:c r="Q461" t="n">
        <x:v>0.4117647058823529</x:v>
      </x:c>
      <x:c r="R461" t="n">
        <x:v>0.6259515570934256</x:v>
      </x:c>
    </x:row>
    <x:row r="462">
      <x:c r="A462" t="str">
        <x:v>Diffusion</x:v>
      </x:c>
      <x:c r="B462" t="str">
        <x:v>simulated</x:v>
      </x:c>
      <x:c r="C462" t="str">
        <x:v>l2</x:v>
      </x:c>
      <x:c r="D462" t="str">
        <x:v>m2</x:v>
      </x:c>
      <x:c r="E462" t="str">
        <x:v>S=6D</x:v>
      </x:c>
      <x:c r="F462" t="str">
        <x:v>log10_ml_error</x:v>
      </x:c>
      <x:c r="G462" t="str">
        <x:v>ESS-filtered raw NPE-MCMC central 90% interval [q5, q95]</x:v>
      </x:c>
      <x:c r="H462" t="n">
        <x:v>-0.0970482843011841</x:v>
      </x:c>
      <x:c r="I462" t="n">
        <x:v>0.004105673586133214</x:v>
      </x:c>
      <x:c r="J462" t="n">
        <x:v>27</x:v>
      </x:c>
      <x:c r="K462" t="n">
        <x:v>24</x:v>
      </x:c>
      <x:c r="L462" t="n">
        <x:v>16</x:v>
      </x:c>
      <x:c r="M462" t="n">
        <x:v>52</x:v>
      </x:c>
      <x:c r="N462" t="n">
        <x:v>119</x:v>
      </x:c>
      <x:c r="O462" t="n">
        <x:v>0.37209302325581395</x:v>
      </x:c>
      <x:c r="P462" t="n">
        <x:v>0.3157894736842105</x:v>
      </x:c>
      <x:c r="Q462" t="n">
        <x:v>0.574468085106383</x:v>
      </x:c>
      <x:c r="R462" t="n">
        <x:v>0.6967564259485924</x:v>
      </x:c>
    </x:row>
    <x:row r="463">
      <x:c r="A463" t="str">
        <x:v>Diffusion</x:v>
      </x:c>
      <x:c r="B463" t="str">
        <x:v>simulated</x:v>
      </x:c>
      <x:c r="C463" t="str">
        <x:v>linf</x:v>
      </x:c>
      <x:c r="D463" t="str">
        <x:v>m2</x:v>
      </x:c>
      <x:c r="E463" t="str">
        <x:v>S=6D</x:v>
      </x:c>
      <x:c r="F463" t="str">
        <x:v>log10_ml_error</x:v>
      </x:c>
      <x:c r="G463" t="str">
        <x:v>ESS-filtered raw NPE-MCMC central 90% interval [q5, q95]</x:v>
      </x:c>
      <x:c r="H463" t="n">
        <x:v>-0.0970482843011841</x:v>
      </x:c>
      <x:c r="I463" t="n">
        <x:v>0.004105673586133214</x:v>
      </x:c>
      <x:c r="J463" t="n">
        <x:v>27</x:v>
      </x:c>
      <x:c r="K463" t="n">
        <x:v>23</x:v>
      </x:c>
      <x:c r="L463" t="n">
        <x:v>16</x:v>
      </x:c>
      <x:c r="M463" t="n">
        <x:v>53</x:v>
      </x:c>
      <x:c r="N463" t="n">
        <x:v>119</x:v>
      </x:c>
      <x:c r="O463" t="n">
        <x:v>0.37209302325581395</x:v>
      </x:c>
      <x:c r="P463" t="n">
        <x:v>0.3026315789473684</x:v>
      </x:c>
      <x:c r="Q463" t="n">
        <x:v>0.5806451612903226</x:v>
      </x:c>
      <x:c r="R463" t="n">
        <x:v>0.6891064871481029</x:v>
      </x:c>
    </x:row>
    <x:row r="464">
      <x:c r="A464" t="str">
        <x:v>Diffusion</x:v>
      </x:c>
      <x:c r="B464" t="str">
        <x:v>simulated</x:v>
      </x:c>
      <x:c r="C464" t="str">
        <x:v>density</x:v>
      </x:c>
      <x:c r="D464" t="str">
        <x:v>m2</x:v>
      </x:c>
      <x:c r="E464" t="str">
        <x:v>S=6D</x:v>
      </x:c>
      <x:c r="F464" t="str">
        <x:v>log10_ml_error</x:v>
      </x:c>
      <x:c r="G464" t="str">
        <x:v>ESS-filtered raw NPE-MCMC central 90% interval [q5, q95]</x:v>
      </x:c>
      <x:c r="H464" t="n">
        <x:v>-0.0970482843011841</x:v>
      </x:c>
      <x:c r="I464" t="n">
        <x:v>0.004105673586133214</x:v>
      </x:c>
      <x:c r="J464" t="n">
        <x:v>34</x:v>
      </x:c>
      <x:c r="K464" t="n">
        <x:v>45</x:v>
      </x:c>
      <x:c r="L464" t="n">
        <x:v>9</x:v>
      </x:c>
      <x:c r="M464" t="n">
        <x:v>31</x:v>
      </x:c>
      <x:c r="N464" t="n">
        <x:v>119</x:v>
      </x:c>
      <x:c r="O464" t="n">
        <x:v>0.20930232558139536</x:v>
      </x:c>
      <x:c r="P464" t="n">
        <x:v>0.5921052631578947</x:v>
      </x:c>
      <x:c r="Q464" t="n">
        <x:v>0.5573770491803278</x:v>
      </x:c>
      <x:c r="R464" t="n">
        <x:v>0.671358629130967</x:v>
      </x:c>
    </x:row>
    <x:row r="465">
      <x:c r="A465" t="str">
        <x:v>Diffusion</x:v>
      </x:c>
      <x:c r="B465" t="str">
        <x:v>simulated</x:v>
      </x:c>
      <x:c r="C465" t="str">
        <x:v>mmd</x:v>
      </x:c>
      <x:c r="D465" t="str">
        <x:v>m2</x:v>
      </x:c>
      <x:c r="E465" t="str">
        <x:v>S=6D</x:v>
      </x:c>
      <x:c r="F465" t="str">
        <x:v>log10_ml_error</x:v>
      </x:c>
      <x:c r="G465" t="str">
        <x:v>ESS-filtered raw NPE-MCMC central 90% interval [q5, q95]</x:v>
      </x:c>
      <x:c r="H465" t="n">
        <x:v>-0.0970482843011841</x:v>
      </x:c>
      <x:c r="I465" t="n">
        <x:v>0.004105673586133214</x:v>
      </x:c>
      <x:c r="J465" t="n">
        <x:v>21</x:v>
      </x:c>
      <x:c r="K465" t="n">
        <x:v>19</x:v>
      </x:c>
      <x:c r="L465" t="n">
        <x:v>22</x:v>
      </x:c>
      <x:c r="M465" t="n">
        <x:v>57</x:v>
      </x:c>
      <x:c r="N465" t="n">
        <x:v>119</x:v>
      </x:c>
      <x:c r="O465" t="n">
        <x:v>0.5116279069767442</x:v>
      </x:c>
      <x:c r="P465" t="n">
        <x:v>0.25</x:v>
      </x:c>
      <x:c r="Q465" t="n">
        <x:v>0.5060240963855421</x:v>
      </x:c>
      <x:c r="R465" t="n">
        <x:v>0.6753365973072215</x:v>
      </x:c>
    </x:row>
    <x:row r="466">
      <x:c r="A466" t="str">
        <x:v>Diffusion</x:v>
      </x:c>
      <x:c r="B466" t="str">
        <x:v>simulated</x:v>
      </x:c>
      <x:c r="C466" t="str">
        <x:v>l2</x:v>
      </x:c>
      <x:c r="D466" t="str">
        <x:v>m0</x:v>
      </x:c>
      <x:c r="E466" t="str">
        <x:v>S=D</x:v>
      </x:c>
      <x:c r="F466" t="str">
        <x:v>pmp_error</x:v>
      </x:c>
      <x:c r="G466" t="str">
        <x:v>ESS-filtered raw NPE-MCMC central 90% interval [q5, q95]</x:v>
      </x:c>
      <x:c r="H466" t="n">
        <x:v>-0.006791396706823725</x:v>
      </x:c>
      <x:c r="I466" t="n">
        <x:v>0.00412417635651127</x:v>
      </x:c>
      <x:c r="J466" t="n">
        <x:v>1</x:v>
      </x:c>
      <x:c r="K466" t="n">
        <x:v>61</x:v>
      </x:c>
      <x:c r="L466" t="n">
        <x:v>5</x:v>
      </x:c>
      <x:c r="M466" t="n">
        <x:v>52</x:v>
      </x:c>
      <x:c r="N466" t="n">
        <x:v>119</x:v>
      </x:c>
      <x:c r="O466" t="n">
        <x:v>0.8333333333333334</x:v>
      </x:c>
      <x:c r="P466" t="n">
        <x:v>0.5398230088495575</x:v>
      </x:c>
      <x:c r="Q466" t="n">
        <x:v>0.029411764705882353</x:v>
      </x:c>
      <x:c r="R466" t="n">
        <x:v>0.31710914454277284</x:v>
      </x:c>
    </x:row>
    <x:row r="467">
      <x:c r="A467" t="str">
        <x:v>Diffusion</x:v>
      </x:c>
      <x:c r="B467" t="str">
        <x:v>simulated</x:v>
      </x:c>
      <x:c r="C467" t="str">
        <x:v>linf</x:v>
      </x:c>
      <x:c r="D467" t="str">
        <x:v>m0</x:v>
      </x:c>
      <x:c r="E467" t="str">
        <x:v>S=D</x:v>
      </x:c>
      <x:c r="F467" t="str">
        <x:v>pmp_error</x:v>
      </x:c>
      <x:c r="G467" t="str">
        <x:v>ESS-filtered raw NPE-MCMC central 90% interval [q5, q95]</x:v>
      </x:c>
      <x:c r="H467" t="n">
        <x:v>-0.006791396706823725</x:v>
      </x:c>
      <x:c r="I467" t="n">
        <x:v>0.00412417635651127</x:v>
      </x:c>
      <x:c r="J467" t="n">
        <x:v>1</x:v>
      </x:c>
      <x:c r="K467" t="n">
        <x:v>51</x:v>
      </x:c>
      <x:c r="L467" t="n">
        <x:v>5</x:v>
      </x:c>
      <x:c r="M467" t="n">
        <x:v>62</x:v>
      </x:c>
      <x:c r="N467" t="n">
        <x:v>119</x:v>
      </x:c>
      <x:c r="O467" t="n">
        <x:v>0.8333333333333334</x:v>
      </x:c>
      <x:c r="P467" t="n">
        <x:v>0.45132743362831856</x:v>
      </x:c>
      <x:c r="Q467" t="n">
        <x:v>0.034482758620689655</x:v>
      </x:c>
      <x:c r="R467" t="n">
        <x:v>0.2743362831858407</x:v>
      </x:c>
    </x:row>
    <x:row r="468">
      <x:c r="A468" t="str">
        <x:v>Diffusion</x:v>
      </x:c>
      <x:c r="B468" t="str">
        <x:v>simulated</x:v>
      </x:c>
      <x:c r="C468" t="str">
        <x:v>density</x:v>
      </x:c>
      <x:c r="D468" t="str">
        <x:v>m0</x:v>
      </x:c>
      <x:c r="E468" t="str">
        <x:v>S=D</x:v>
      </x:c>
      <x:c r="F468" t="str">
        <x:v>pmp_error</x:v>
      </x:c>
      <x:c r="G468" t="str">
        <x:v>ESS-filtered raw NPE-MCMC central 90% interval [q5, q95]</x:v>
      </x:c>
      <x:c r="H468" t="n">
        <x:v>-0.006791396706823725</x:v>
      </x:c>
      <x:c r="I468" t="n">
        <x:v>0.00412417635651127</x:v>
      </x:c>
      <x:c r="J468" t="n">
        <x:v>1</x:v>
      </x:c>
      <x:c r="K468" t="n">
        <x:v>74</x:v>
      </x:c>
      <x:c r="L468" t="n">
        <x:v>5</x:v>
      </x:c>
      <x:c r="M468" t="n">
        <x:v>39</x:v>
      </x:c>
      <x:c r="N468" t="n">
        <x:v>119</x:v>
      </x:c>
      <x:c r="O468" t="n">
        <x:v>0.8333333333333334</x:v>
      </x:c>
      <x:c r="P468" t="n">
        <x:v>0.6548672566371682</x:v>
      </x:c>
      <x:c r="Q468" t="n">
        <x:v>0.024691358024691357</x:v>
      </x:c>
      <x:c r="R468" t="n">
        <x:v>0.2610619469026549</x:v>
      </x:c>
    </x:row>
    <x:row r="469">
      <x:c r="A469" t="str">
        <x:v>Diffusion</x:v>
      </x:c>
      <x:c r="B469" t="str">
        <x:v>simulated</x:v>
      </x:c>
      <x:c r="C469" t="str">
        <x:v>mmd</x:v>
      </x:c>
      <x:c r="D469" t="str">
        <x:v>m0</x:v>
      </x:c>
      <x:c r="E469" t="str">
        <x:v>S=D</x:v>
      </x:c>
      <x:c r="F469" t="str">
        <x:v>pmp_error</x:v>
      </x:c>
      <x:c r="G469" t="str">
        <x:v>ESS-filtered raw NPE-MCMC central 90% interval [q5, q95]</x:v>
      </x:c>
      <x:c r="H469" t="n">
        <x:v>-0.006791396706823725</x:v>
      </x:c>
      <x:c r="I469" t="n">
        <x:v>0.00412417635651127</x:v>
      </x:c>
      <x:c r="J469" t="n">
        <x:v>0</x:v>
      </x:c>
      <x:c r="K469" t="n">
        <x:v>38</x:v>
      </x:c>
      <x:c r="L469" t="n">
        <x:v>6</x:v>
      </x:c>
      <x:c r="M469" t="n">
        <x:v>75</x:v>
      </x:c>
      <x:c r="N469" t="n">
        <x:v>119</x:v>
      </x:c>
      <x:c r="O469" t="n">
        <x:v>1</x:v>
      </x:c>
      <x:c r="P469" t="n">
        <x:v>0.336283185840708</x:v>
      </x:c>
      <x:c r="Q469" t="n">
        <x:v>0</x:v>
      </x:c>
      <x:c r="R469" t="n">
        <x:v>0.4247787610619469</x:v>
      </x:c>
    </x:row>
    <x:row r="470">
      <x:c r="A470" t="str">
        <x:v>Diffusion</x:v>
      </x:c>
      <x:c r="B470" t="str">
        <x:v>simulated</x:v>
      </x:c>
      <x:c r="C470" t="str">
        <x:v>l2</x:v>
      </x:c>
      <x:c r="D470" t="str">
        <x:v>m0</x:v>
      </x:c>
      <x:c r="E470" t="str">
        <x:v>S=2D</x:v>
      </x:c>
      <x:c r="F470" t="str">
        <x:v>pmp_error</x:v>
      </x:c>
      <x:c r="G470" t="str">
        <x:v>ESS-filtered raw NPE-MCMC central 90% interval [q5, q95]</x:v>
      </x:c>
      <x:c r="H470" t="n">
        <x:v>-0.00386953519412154</x:v>
      </x:c>
      <x:c r="I470" t="n">
        <x:v>0.0037321581987419692</x:v>
      </x:c>
      <x:c r="J470" t="n">
        <x:v>1</x:v>
      </x:c>
      <x:c r="K470" t="n">
        <x:v>59</x:v>
      </x:c>
      <x:c r="L470" t="n">
        <x:v>3</x:v>
      </x:c>
      <x:c r="M470" t="n">
        <x:v>56</x:v>
      </x:c>
      <x:c r="N470" t="n">
        <x:v>119</x:v>
      </x:c>
      <x:c r="O470" t="n">
        <x:v>0.75</x:v>
      </x:c>
      <x:c r="P470" t="n">
        <x:v>0.5130434782608696</x:v>
      </x:c>
      <x:c r="Q470" t="n">
        <x:v>0.03125</x:v>
      </x:c>
      <x:c r="R470" t="n">
        <x:v>0.40217391304347827</x:v>
      </x:c>
    </x:row>
    <x:row r="471">
      <x:c r="A471" t="str">
        <x:v>Diffusion</x:v>
      </x:c>
      <x:c r="B471" t="str">
        <x:v>simulated</x:v>
      </x:c>
      <x:c r="C471" t="str">
        <x:v>linf</x:v>
      </x:c>
      <x:c r="D471" t="str">
        <x:v>m0</x:v>
      </x:c>
      <x:c r="E471" t="str">
        <x:v>S=2D</x:v>
      </x:c>
      <x:c r="F471" t="str">
        <x:v>pmp_error</x:v>
      </x:c>
      <x:c r="G471" t="str">
        <x:v>ESS-filtered raw NPE-MCMC central 90% interval [q5, q95]</x:v>
      </x:c>
      <x:c r="H471" t="n">
        <x:v>-0.00386953519412154</x:v>
      </x:c>
      <x:c r="I471" t="n">
        <x:v>0.0037321581987419692</x:v>
      </x:c>
      <x:c r="J471" t="n">
        <x:v>0</x:v>
      </x:c>
      <x:c r="K471" t="n">
        <x:v>58</x:v>
      </x:c>
      <x:c r="L471" t="n">
        <x:v>4</x:v>
      </x:c>
      <x:c r="M471" t="n">
        <x:v>57</x:v>
      </x:c>
      <x:c r="N471" t="n">
        <x:v>119</x:v>
      </x:c>
      <x:c r="O471" t="n">
        <x:v>1</x:v>
      </x:c>
      <x:c r="P471" t="n">
        <x:v>0.5043478260869565</x:v>
      </x:c>
      <x:c r="Q471" t="n">
        <x:v>0</x:v>
      </x:c>
      <x:c r="R471" t="n">
        <x:v>0.41304347826086957</x:v>
      </x:c>
    </x:row>
    <x:row r="472">
      <x:c r="A472" t="str">
        <x:v>Diffusion</x:v>
      </x:c>
      <x:c r="B472" t="str">
        <x:v>simulated</x:v>
      </x:c>
      <x:c r="C472" t="str">
        <x:v>density</x:v>
      </x:c>
      <x:c r="D472" t="str">
        <x:v>m0</x:v>
      </x:c>
      <x:c r="E472" t="str">
        <x:v>S=2D</x:v>
      </x:c>
      <x:c r="F472" t="str">
        <x:v>pmp_error</x:v>
      </x:c>
      <x:c r="G472" t="str">
        <x:v>ESS-filtered raw NPE-MCMC central 90% interval [q5, q95]</x:v>
      </x:c>
      <x:c r="H472" t="n">
        <x:v>-0.00386953519412154</x:v>
      </x:c>
      <x:c r="I472" t="n">
        <x:v>0.0037321581987419692</x:v>
      </x:c>
      <x:c r="J472" t="n">
        <x:v>1</x:v>
      </x:c>
      <x:c r="K472" t="n">
        <x:v>84</x:v>
      </x:c>
      <x:c r="L472" t="n">
        <x:v>3</x:v>
      </x:c>
      <x:c r="M472" t="n">
        <x:v>31</x:v>
      </x:c>
      <x:c r="N472" t="n">
        <x:v>119</x:v>
      </x:c>
      <x:c r="O472" t="n">
        <x:v>0.75</x:v>
      </x:c>
      <x:c r="P472" t="n">
        <x:v>0.7304347826086957</x:v>
      </x:c>
      <x:c r="Q472" t="n">
        <x:v>0.02247191011235955</x:v>
      </x:c>
      <x:c r="R472" t="n">
        <x:v>0.30434782608695654</x:v>
      </x:c>
    </x:row>
    <x:row r="473">
      <x:c r="A473" t="str">
        <x:v>Diffusion</x:v>
      </x:c>
      <x:c r="B473" t="str">
        <x:v>simulated</x:v>
      </x:c>
      <x:c r="C473" t="str">
        <x:v>mmd</x:v>
      </x:c>
      <x:c r="D473" t="str">
        <x:v>m0</x:v>
      </x:c>
      <x:c r="E473" t="str">
        <x:v>S=2D</x:v>
      </x:c>
      <x:c r="F473" t="str">
        <x:v>pmp_error</x:v>
      </x:c>
      <x:c r="G473" t="str">
        <x:v>ESS-filtered raw NPE-MCMC central 90% interval [q5, q95]</x:v>
      </x:c>
      <x:c r="H473" t="n">
        <x:v>-0.00386953519412154</x:v>
      </x:c>
      <x:c r="I473" t="n">
        <x:v>0.0037321581987419692</x:v>
      </x:c>
      <x:c r="J473" t="n">
        <x:v>0</x:v>
      </x:c>
      <x:c r="K473" t="n">
        <x:v>41</x:v>
      </x:c>
      <x:c r="L473" t="n">
        <x:v>4</x:v>
      </x:c>
      <x:c r="M473" t="n">
        <x:v>74</x:v>
      </x:c>
      <x:c r="N473" t="n">
        <x:v>119</x:v>
      </x:c>
      <x:c r="O473" t="n">
        <x:v>1</x:v>
      </x:c>
      <x:c r="P473" t="n">
        <x:v>0.3565217391304348</x:v>
      </x:c>
      <x:c r="Q473" t="n">
        <x:v>0</x:v>
      </x:c>
      <x:c r="R473" t="n">
        <x:v>0.5065217391304347</x:v>
      </x:c>
    </x:row>
    <x:row r="474">
      <x:c r="A474" t="str">
        <x:v>Diffusion</x:v>
      </x:c>
      <x:c r="B474" t="str">
        <x:v>simulated</x:v>
      </x:c>
      <x:c r="C474" t="str">
        <x:v>l2</x:v>
      </x:c>
      <x:c r="D474" t="str">
        <x:v>m0</x:v>
      </x:c>
      <x:c r="E474" t="str">
        <x:v>S=4D</x:v>
      </x:c>
      <x:c r="F474" t="str">
        <x:v>pmp_error</x:v>
      </x:c>
      <x:c r="G474" t="str">
        <x:v>ESS-filtered raw NPE-MCMC central 90% interval [q5, q95]</x:v>
      </x:c>
      <x:c r="H474" t="n">
        <x:v>-0.00302307531797234</x:v>
      </x:c>
      <x:c r="I474" t="n">
        <x:v>0.00347609580827904</x:v>
      </x:c>
      <x:c r="J474" t="n">
        <x:v>0</x:v>
      </x:c>
      <x:c r="K474" t="n">
        <x:v>63</x:v>
      </x:c>
      <x:c r="L474" t="n">
        <x:v>4</x:v>
      </x:c>
      <x:c r="M474" t="n">
        <x:v>52</x:v>
      </x:c>
      <x:c r="N474" t="n">
        <x:v>119</x:v>
      </x:c>
      <x:c r="O474" t="n">
        <x:v>1</x:v>
      </x:c>
      <x:c r="P474" t="n">
        <x:v>0.5478260869565217</x:v>
      </x:c>
      <x:c r="Q474" t="n">
        <x:v>0</x:v>
      </x:c>
      <x:c r="R474" t="n">
        <x:v>0.23478260869565218</x:v>
      </x:c>
    </x:row>
    <x:row r="475">
      <x:c r="A475" t="str">
        <x:v>Diffusion</x:v>
      </x:c>
      <x:c r="B475" t="str">
        <x:v>simulated</x:v>
      </x:c>
      <x:c r="C475" t="str">
        <x:v>linf</x:v>
      </x:c>
      <x:c r="D475" t="str">
        <x:v>m0</x:v>
      </x:c>
      <x:c r="E475" t="str">
        <x:v>S=4D</x:v>
      </x:c>
      <x:c r="F475" t="str">
        <x:v>pmp_error</x:v>
      </x:c>
      <x:c r="G475" t="str">
        <x:v>ESS-filtered raw NPE-MCMC central 90% interval [q5, q95]</x:v>
      </x:c>
      <x:c r="H475" t="n">
        <x:v>-0.00302307531797234</x:v>
      </x:c>
      <x:c r="I475" t="n">
        <x:v>0.00347609580827904</x:v>
      </x:c>
      <x:c r="J475" t="n">
        <x:v>0</x:v>
      </x:c>
      <x:c r="K475" t="n">
        <x:v>58</x:v>
      </x:c>
      <x:c r="L475" t="n">
        <x:v>4</x:v>
      </x:c>
      <x:c r="M475" t="n">
        <x:v>57</x:v>
      </x:c>
      <x:c r="N475" t="n">
        <x:v>119</x:v>
      </x:c>
      <x:c r="O475" t="n">
        <x:v>1</x:v>
      </x:c>
      <x:c r="P475" t="n">
        <x:v>0.5043478260869565</x:v>
      </x:c>
      <x:c r="Q475" t="n">
        <x:v>0</x:v>
      </x:c>
      <x:c r="R475" t="n">
        <x:v>0.21956521739130436</x:v>
      </x:c>
    </x:row>
    <x:row r="476">
      <x:c r="A476" t="str">
        <x:v>Diffusion</x:v>
      </x:c>
      <x:c r="B476" t="str">
        <x:v>simulated</x:v>
      </x:c>
      <x:c r="C476" t="str">
        <x:v>density</x:v>
      </x:c>
      <x:c r="D476" t="str">
        <x:v>m0</x:v>
      </x:c>
      <x:c r="E476" t="str">
        <x:v>S=4D</x:v>
      </x:c>
      <x:c r="F476" t="str">
        <x:v>pmp_error</x:v>
      </x:c>
      <x:c r="G476" t="str">
        <x:v>ESS-filtered raw NPE-MCMC central 90% interval [q5, q95]</x:v>
      </x:c>
      <x:c r="H476" t="n">
        <x:v>-0.00302307531797234</x:v>
      </x:c>
      <x:c r="I476" t="n">
        <x:v>0.00347609580827904</x:v>
      </x:c>
      <x:c r="J476" t="n">
        <x:v>0</x:v>
      </x:c>
      <x:c r="K476" t="n">
        <x:v>89</x:v>
      </x:c>
      <x:c r="L476" t="n">
        <x:v>4</x:v>
      </x:c>
      <x:c r="M476" t="n">
        <x:v>26</x:v>
      </x:c>
      <x:c r="N476" t="n">
        <x:v>119</x:v>
      </x:c>
      <x:c r="O476" t="n">
        <x:v>1</x:v>
      </x:c>
      <x:c r="P476" t="n">
        <x:v>0.7739130434782608</x:v>
      </x:c>
      <x:c r="Q476" t="n">
        <x:v>0</x:v>
      </x:c>
      <x:c r="R476" t="n">
        <x:v>0.1282608695652174</x:v>
      </x:c>
    </x:row>
    <x:row r="477">
      <x:c r="A477" t="str">
        <x:v>Diffusion</x:v>
      </x:c>
      <x:c r="B477" t="str">
        <x:v>simulated</x:v>
      </x:c>
      <x:c r="C477" t="str">
        <x:v>mmd</x:v>
      </x:c>
      <x:c r="D477" t="str">
        <x:v>m0</x:v>
      </x:c>
      <x:c r="E477" t="str">
        <x:v>S=4D</x:v>
      </x:c>
      <x:c r="F477" t="str">
        <x:v>pmp_error</x:v>
      </x:c>
      <x:c r="G477" t="str">
        <x:v>ESS-filtered raw NPE-MCMC central 90% interval [q5, q95]</x:v>
      </x:c>
      <x:c r="H477" t="n">
        <x:v>-0.00302307531797234</x:v>
      </x:c>
      <x:c r="I477" t="n">
        <x:v>0.00347609580827904</x:v>
      </x:c>
      <x:c r="J477" t="n">
        <x:v>0</x:v>
      </x:c>
      <x:c r="K477" t="n">
        <x:v>46</x:v>
      </x:c>
      <x:c r="L477" t="n">
        <x:v>4</x:v>
      </x:c>
      <x:c r="M477" t="n">
        <x:v>69</x:v>
      </x:c>
      <x:c r="N477" t="n">
        <x:v>119</x:v>
      </x:c>
      <x:c r="O477" t="n">
        <x:v>1</x:v>
      </x:c>
      <x:c r="P477" t="n">
        <x:v>0.4</x:v>
      </x:c>
      <x:c r="Q477" t="n">
        <x:v>0</x:v>
      </x:c>
      <x:c r="R477" t="n">
        <x:v>0.34782608695652173</x:v>
      </x:c>
    </x:row>
    <x:row r="478">
      <x:c r="A478" t="str">
        <x:v>Diffusion</x:v>
      </x:c>
      <x:c r="B478" t="str">
        <x:v>simulated</x:v>
      </x:c>
      <x:c r="C478" t="str">
        <x:v>l2</x:v>
      </x:c>
      <x:c r="D478" t="str">
        <x:v>m0</x:v>
      </x:c>
      <x:c r="E478" t="str">
        <x:v>S=6D</x:v>
      </x:c>
      <x:c r="F478" t="str">
        <x:v>pmp_error</x:v>
      </x:c>
      <x:c r="G478" t="str">
        <x:v>ESS-filtered raw NPE-MCMC central 90% interval [q5, q95]</x:v>
      </x:c>
      <x:c r="H478" t="n">
        <x:v>-0.004063745002287125</x:v>
      </x:c>
      <x:c r="I478" t="n">
        <x:v>0.0034081318829096</x:v>
      </x:c>
      <x:c r="J478" t="n">
        <x:v>1</x:v>
      </x:c>
      <x:c r="K478" t="n">
        <x:v>70</x:v>
      </x:c>
      <x:c r="L478" t="n">
        <x:v>1</x:v>
      </x:c>
      <x:c r="M478" t="n">
        <x:v>47</x:v>
      </x:c>
      <x:c r="N478" t="n">
        <x:v>119</x:v>
      </x:c>
      <x:c r="O478" t="n">
        <x:v>0.5</x:v>
      </x:c>
      <x:c r="P478" t="n">
        <x:v>0.5982905982905983</x:v>
      </x:c>
      <x:c r="Q478" t="n">
        <x:v>0.0273972602739726</x:v>
      </x:c>
      <x:c r="R478" t="n">
        <x:v>0.33760683760683763</x:v>
      </x:c>
    </x:row>
    <x:row r="479">
      <x:c r="A479" t="str">
        <x:v>Diffusion</x:v>
      </x:c>
      <x:c r="B479" t="str">
        <x:v>simulated</x:v>
      </x:c>
      <x:c r="C479" t="str">
        <x:v>linf</x:v>
      </x:c>
      <x:c r="D479" t="str">
        <x:v>m0</x:v>
      </x:c>
      <x:c r="E479" t="str">
        <x:v>S=6D</x:v>
      </x:c>
      <x:c r="F479" t="str">
        <x:v>pmp_error</x:v>
      </x:c>
      <x:c r="G479" t="str">
        <x:v>ESS-filtered raw NPE-MCMC central 90% interval [q5, q95]</x:v>
      </x:c>
      <x:c r="H479" t="n">
        <x:v>-0.004063745002287125</x:v>
      </x:c>
      <x:c r="I479" t="n">
        <x:v>0.0034081318829096</x:v>
      </x:c>
      <x:c r="J479" t="n">
        <x:v>1</x:v>
      </x:c>
      <x:c r="K479" t="n">
        <x:v>72</x:v>
      </x:c>
      <x:c r="L479" t="n">
        <x:v>1</x:v>
      </x:c>
      <x:c r="M479" t="n">
        <x:v>45</x:v>
      </x:c>
      <x:c r="N479" t="n">
        <x:v>119</x:v>
      </x:c>
      <x:c r="O479" t="n">
        <x:v>0.5</x:v>
      </x:c>
      <x:c r="P479" t="n">
        <x:v>0.6153846153846154</x:v>
      </x:c>
      <x:c r="Q479" t="n">
        <x:v>0.02666666666666667</x:v>
      </x:c>
      <x:c r="R479" t="n">
        <x:v>0.3034188034188034</x:v>
      </x:c>
    </x:row>
    <x:row r="480">
      <x:c r="A480" t="str">
        <x:v>Diffusion</x:v>
      </x:c>
      <x:c r="B480" t="str">
        <x:v>simulated</x:v>
      </x:c>
      <x:c r="C480" t="str">
        <x:v>density</x:v>
      </x:c>
      <x:c r="D480" t="str">
        <x:v>m0</x:v>
      </x:c>
      <x:c r="E480" t="str">
        <x:v>S=6D</x:v>
      </x:c>
      <x:c r="F480" t="str">
        <x:v>pmp_error</x:v>
      </x:c>
      <x:c r="G480" t="str">
        <x:v>ESS-filtered raw NPE-MCMC central 90% interval [q5, q95]</x:v>
      </x:c>
      <x:c r="H480" t="n">
        <x:v>-0.004063745002287125</x:v>
      </x:c>
      <x:c r="I480" t="n">
        <x:v>0.0034081318829096</x:v>
      </x:c>
      <x:c r="J480" t="n">
        <x:v>1</x:v>
      </x:c>
      <x:c r="K480" t="n">
        <x:v>88</x:v>
      </x:c>
      <x:c r="L480" t="n">
        <x:v>1</x:v>
      </x:c>
      <x:c r="M480" t="n">
        <x:v>29</x:v>
      </x:c>
      <x:c r="N480" t="n">
        <x:v>119</x:v>
      </x:c>
      <x:c r="O480" t="n">
        <x:v>0.5</x:v>
      </x:c>
      <x:c r="P480" t="n">
        <x:v>0.7521367521367521</x:v>
      </x:c>
      <x:c r="Q480" t="n">
        <x:v>0.02197802197802198</x:v>
      </x:c>
      <x:c r="R480" t="n">
        <x:v>0.3034188034188034</x:v>
      </x:c>
    </x:row>
    <x:row r="481">
      <x:c r="A481" t="str">
        <x:v>Diffusion</x:v>
      </x:c>
      <x:c r="B481" t="str">
        <x:v>simulated</x:v>
      </x:c>
      <x:c r="C481" t="str">
        <x:v>mmd</x:v>
      </x:c>
      <x:c r="D481" t="str">
        <x:v>m0</x:v>
      </x:c>
      <x:c r="E481" t="str">
        <x:v>S=6D</x:v>
      </x:c>
      <x:c r="F481" t="str">
        <x:v>pmp_error</x:v>
      </x:c>
      <x:c r="G481" t="str">
        <x:v>ESS-filtered raw NPE-MCMC central 90% interval [q5, q95]</x:v>
      </x:c>
      <x:c r="H481" t="n">
        <x:v>-0.004063745002287125</x:v>
      </x:c>
      <x:c r="I481" t="n">
        <x:v>0.0034081318829096</x:v>
      </x:c>
      <x:c r="J481" t="n">
        <x:v>0</x:v>
      </x:c>
      <x:c r="K481" t="n">
        <x:v>41</x:v>
      </x:c>
      <x:c r="L481" t="n">
        <x:v>2</x:v>
      </x:c>
      <x:c r="M481" t="n">
        <x:v>76</x:v>
      </x:c>
      <x:c r="N481" t="n">
        <x:v>119</x:v>
      </x:c>
      <x:c r="O481" t="n">
        <x:v>1</x:v>
      </x:c>
      <x:c r="P481" t="n">
        <x:v>0.3504273504273504</x:v>
      </x:c>
      <x:c r="Q481" t="n">
        <x:v>0</x:v>
      </x:c>
      <x:c r="R481" t="n">
        <x:v>0.4017094017094017</x:v>
      </x:c>
    </x:row>
    <x:row r="482">
      <x:c r="A482" t="str">
        <x:v>Diffusion</x:v>
      </x:c>
      <x:c r="B482" t="str">
        <x:v>simulated</x:v>
      </x:c>
      <x:c r="C482" t="str">
        <x:v>l2</x:v>
      </x:c>
      <x:c r="D482" t="str">
        <x:v>m2</x:v>
      </x:c>
      <x:c r="E482" t="str">
        <x:v>S=D</x:v>
      </x:c>
      <x:c r="F482" t="str">
        <x:v>pmp_error</x:v>
      </x:c>
      <x:c r="G482" t="str">
        <x:v>ESS-filtered raw NPE-MCMC central 90% interval [q5, q95]</x:v>
      </x:c>
      <x:c r="H482" t="n">
        <x:v>-0.00371394264412655</x:v>
      </x:c>
      <x:c r="I482" t="n">
        <x:v>0.0022905885690133695</x:v>
      </x:c>
      <x:c r="J482" t="n">
        <x:v>4</x:v>
      </x:c>
      <x:c r="K482" t="n">
        <x:v>37</x:v>
      </x:c>
      <x:c r="L482" t="n">
        <x:v>11</x:v>
      </x:c>
      <x:c r="M482" t="n">
        <x:v>67</x:v>
      </x:c>
      <x:c r="N482" t="n">
        <x:v>119</x:v>
      </x:c>
      <x:c r="O482" t="n">
        <x:v>0.7333333333333333</x:v>
      </x:c>
      <x:c r="P482" t="n">
        <x:v>0.3557692307692308</x:v>
      </x:c>
      <x:c r="Q482" t="n">
        <x:v>0.14285714285714285</x:v>
      </x:c>
      <x:c r="R482" t="n">
        <x:v>0.47692307692307695</x:v>
      </x:c>
    </x:row>
    <x:row r="483">
      <x:c r="A483" t="str">
        <x:v>Diffusion</x:v>
      </x:c>
      <x:c r="B483" t="str">
        <x:v>simulated</x:v>
      </x:c>
      <x:c r="C483" t="str">
        <x:v>linf</x:v>
      </x:c>
      <x:c r="D483" t="str">
        <x:v>m2</x:v>
      </x:c>
      <x:c r="E483" t="str">
        <x:v>S=D</x:v>
      </x:c>
      <x:c r="F483" t="str">
        <x:v>pmp_error</x:v>
      </x:c>
      <x:c r="G483" t="str">
        <x:v>ESS-filtered raw NPE-MCMC central 90% interval [q5, q95]</x:v>
      </x:c>
      <x:c r="H483" t="n">
        <x:v>-0.00371394264412655</x:v>
      </x:c>
      <x:c r="I483" t="n">
        <x:v>0.0022905885690133695</x:v>
      </x:c>
      <x:c r="J483" t="n">
        <x:v>5</x:v>
      </x:c>
      <x:c r="K483" t="n">
        <x:v>33</x:v>
      </x:c>
      <x:c r="L483" t="n">
        <x:v>10</x:v>
      </x:c>
      <x:c r="M483" t="n">
        <x:v>71</x:v>
      </x:c>
      <x:c r="N483" t="n">
        <x:v>119</x:v>
      </x:c>
      <x:c r="O483" t="n">
        <x:v>0.6666666666666666</x:v>
      </x:c>
      <x:c r="P483" t="n">
        <x:v>0.3173076923076923</x:v>
      </x:c>
      <x:c r="Q483" t="n">
        <x:v>0.18867924528301888</x:v>
      </x:c>
      <x:c r="R483" t="n">
        <x:v>0.47115384615384615</x:v>
      </x:c>
    </x:row>
    <x:row r="484">
      <x:c r="A484" t="str">
        <x:v>Diffusion</x:v>
      </x:c>
      <x:c r="B484" t="str">
        <x:v>simulated</x:v>
      </x:c>
      <x:c r="C484" t="str">
        <x:v>density</x:v>
      </x:c>
      <x:c r="D484" t="str">
        <x:v>m2</x:v>
      </x:c>
      <x:c r="E484" t="str">
        <x:v>S=D</x:v>
      </x:c>
      <x:c r="F484" t="str">
        <x:v>pmp_error</x:v>
      </x:c>
      <x:c r="G484" t="str">
        <x:v>ESS-filtered raw NPE-MCMC central 90% interval [q5, q95]</x:v>
      </x:c>
      <x:c r="H484" t="n">
        <x:v>-0.00371394264412655</x:v>
      </x:c>
      <x:c r="I484" t="n">
        <x:v>0.0022905885690133695</x:v>
      </x:c>
      <x:c r="J484" t="n">
        <x:v>6</x:v>
      </x:c>
      <x:c r="K484" t="n">
        <x:v>43</x:v>
      </x:c>
      <x:c r="L484" t="n">
        <x:v>9</x:v>
      </x:c>
      <x:c r="M484" t="n">
        <x:v>61</x:v>
      </x:c>
      <x:c r="N484" t="n">
        <x:v>119</x:v>
      </x:c>
      <x:c r="O484" t="n">
        <x:v>0.6</x:v>
      </x:c>
      <x:c r="P484" t="n">
        <x:v>0.41346153846153844</x:v>
      </x:c>
      <x:c r="Q484" t="n">
        <x:v>0.1875</x:v>
      </x:c>
      <x:c r="R484" t="n">
        <x:v>0.4897435897435897</x:v>
      </x:c>
    </x:row>
    <x:row r="485">
      <x:c r="A485" t="str">
        <x:v>Diffusion</x:v>
      </x:c>
      <x:c r="B485" t="str">
        <x:v>simulated</x:v>
      </x:c>
      <x:c r="C485" t="str">
        <x:v>mmd</x:v>
      </x:c>
      <x:c r="D485" t="str">
        <x:v>m2</x:v>
      </x:c>
      <x:c r="E485" t="str">
        <x:v>S=D</x:v>
      </x:c>
      <x:c r="F485" t="str">
        <x:v>pmp_error</x:v>
      </x:c>
      <x:c r="G485" t="str">
        <x:v>ESS-filtered raw NPE-MCMC central 90% interval [q5, q95]</x:v>
      </x:c>
      <x:c r="H485" t="n">
        <x:v>-0.00371394264412655</x:v>
      </x:c>
      <x:c r="I485" t="n">
        <x:v>0.0022905885690133695</x:v>
      </x:c>
      <x:c r="J485" t="n">
        <x:v>0</x:v>
      </x:c>
      <x:c r="K485" t="n">
        <x:v>13</x:v>
      </x:c>
      <x:c r="L485" t="n">
        <x:v>15</x:v>
      </x:c>
      <x:c r="M485" t="n">
        <x:v>91</x:v>
      </x:c>
      <x:c r="N485" t="n">
        <x:v>119</x:v>
      </x:c>
      <x:c r="O485" t="n">
        <x:v>1</x:v>
      </x:c>
      <x:c r="P485" t="n">
        <x:v>0.125</x:v>
      </x:c>
      <x:c r="Q485" t="n">
        <x:v>0</x:v>
      </x:c>
      <x:c r="R485" t="n">
        <x:v>0.5064102564102564</x:v>
      </x:c>
    </x:row>
    <x:row r="486">
      <x:c r="A486" t="str">
        <x:v>Diffusion</x:v>
      </x:c>
      <x:c r="B486" t="str">
        <x:v>simulated</x:v>
      </x:c>
      <x:c r="C486" t="str">
        <x:v>l2</x:v>
      </x:c>
      <x:c r="D486" t="str">
        <x:v>m2</x:v>
      </x:c>
      <x:c r="E486" t="str">
        <x:v>S=2D</x:v>
      </x:c>
      <x:c r="F486" t="str">
        <x:v>pmp_error</x:v>
      </x:c>
      <x:c r="G486" t="str">
        <x:v>ESS-filtered raw NPE-MCMC central 90% interval [q5, q95]</x:v>
      </x:c>
      <x:c r="H486" t="n">
        <x:v>-0.0010852033686972</x:v>
      </x:c>
      <x:c r="I486" t="n">
        <x:v>0.000882010005954</x:v>
      </x:c>
      <x:c r="J486" t="n">
        <x:v>7</x:v>
      </x:c>
      <x:c r="K486" t="n">
        <x:v>38</x:v>
      </x:c>
      <x:c r="L486" t="n">
        <x:v>12</x:v>
      </x:c>
      <x:c r="M486" t="n">
        <x:v>62</x:v>
      </x:c>
      <x:c r="N486" t="n">
        <x:v>119</x:v>
      </x:c>
      <x:c r="O486" t="n">
        <x:v>0.631578947368421</x:v>
      </x:c>
      <x:c r="P486" t="n">
        <x:v>0.38</x:v>
      </x:c>
      <x:c r="Q486" t="n">
        <x:v>0.21875</x:v>
      </x:c>
      <x:c r="R486" t="n">
        <x:v>0.43842105263157893</x:v>
      </x:c>
    </x:row>
    <x:row r="487">
      <x:c r="A487" t="str">
        <x:v>Diffusion</x:v>
      </x:c>
      <x:c r="B487" t="str">
        <x:v>simulated</x:v>
      </x:c>
      <x:c r="C487" t="str">
        <x:v>linf</x:v>
      </x:c>
      <x:c r="D487" t="str">
        <x:v>m2</x:v>
      </x:c>
      <x:c r="E487" t="str">
        <x:v>S=2D</x:v>
      </x:c>
      <x:c r="F487" t="str">
        <x:v>pmp_error</x:v>
      </x:c>
      <x:c r="G487" t="str">
        <x:v>ESS-filtered raw NPE-MCMC central 90% interval [q5, q95]</x:v>
      </x:c>
      <x:c r="H487" t="n">
        <x:v>-0.0010852033686972</x:v>
      </x:c>
      <x:c r="I487" t="n">
        <x:v>0.000882010005954</x:v>
      </x:c>
      <x:c r="J487" t="n">
        <x:v>5</x:v>
      </x:c>
      <x:c r="K487" t="n">
        <x:v>32</x:v>
      </x:c>
      <x:c r="L487" t="n">
        <x:v>14</x:v>
      </x:c>
      <x:c r="M487" t="n">
        <x:v>68</x:v>
      </x:c>
      <x:c r="N487" t="n">
        <x:v>119</x:v>
      </x:c>
      <x:c r="O487" t="n">
        <x:v>0.7368421052631579</x:v>
      </x:c>
      <x:c r="P487" t="n">
        <x:v>0.32</x:v>
      </x:c>
      <x:c r="Q487" t="n">
        <x:v>0.17857142857142858</x:v>
      </x:c>
      <x:c r="R487" t="n">
        <x:v>0.43894736842105264</x:v>
      </x:c>
    </x:row>
    <x:row r="488">
      <x:c r="A488" t="str">
        <x:v>Diffusion</x:v>
      </x:c>
      <x:c r="B488" t="str">
        <x:v>simulated</x:v>
      </x:c>
      <x:c r="C488" t="str">
        <x:v>density</x:v>
      </x:c>
      <x:c r="D488" t="str">
        <x:v>m2</x:v>
      </x:c>
      <x:c r="E488" t="str">
        <x:v>S=2D</x:v>
      </x:c>
      <x:c r="F488" t="str">
        <x:v>pmp_error</x:v>
      </x:c>
      <x:c r="G488" t="str">
        <x:v>ESS-filtered raw NPE-MCMC central 90% interval [q5, q95]</x:v>
      </x:c>
      <x:c r="H488" t="n">
        <x:v>-0.0010852033686972</x:v>
      </x:c>
      <x:c r="I488" t="n">
        <x:v>0.000882010005954</x:v>
      </x:c>
      <x:c r="J488" t="n">
        <x:v>7</x:v>
      </x:c>
      <x:c r="K488" t="n">
        <x:v>74</x:v>
      </x:c>
      <x:c r="L488" t="n">
        <x:v>12</x:v>
      </x:c>
      <x:c r="M488" t="n">
        <x:v>26</x:v>
      </x:c>
      <x:c r="N488" t="n">
        <x:v>119</x:v>
      </x:c>
      <x:c r="O488" t="n">
        <x:v>0.631578947368421</x:v>
      </x:c>
      <x:c r="P488" t="n">
        <x:v>0.74</x:v>
      </x:c>
      <x:c r="Q488" t="n">
        <x:v>0.14</x:v>
      </x:c>
      <x:c r="R488" t="n">
        <x:v>0.2768421052631579</x:v>
      </x:c>
    </x:row>
    <x:row r="489">
      <x:c r="A489" t="str">
        <x:v>Diffusion</x:v>
      </x:c>
      <x:c r="B489" t="str">
        <x:v>simulated</x:v>
      </x:c>
      <x:c r="C489" t="str">
        <x:v>mmd</x:v>
      </x:c>
      <x:c r="D489" t="str">
        <x:v>m2</x:v>
      </x:c>
      <x:c r="E489" t="str">
        <x:v>S=2D</x:v>
      </x:c>
      <x:c r="F489" t="str">
        <x:v>pmp_error</x:v>
      </x:c>
      <x:c r="G489" t="str">
        <x:v>ESS-filtered raw NPE-MCMC central 90% interval [q5, q95]</x:v>
      </x:c>
      <x:c r="H489" t="n">
        <x:v>-0.0010852033686972</x:v>
      </x:c>
      <x:c r="I489" t="n">
        <x:v>0.000882010005954</x:v>
      </x:c>
      <x:c r="J489" t="n">
        <x:v>3</x:v>
      </x:c>
      <x:c r="K489" t="n">
        <x:v>28</x:v>
      </x:c>
      <x:c r="L489" t="n">
        <x:v>16</x:v>
      </x:c>
      <x:c r="M489" t="n">
        <x:v>72</x:v>
      </x:c>
      <x:c r="N489" t="n">
        <x:v>119</x:v>
      </x:c>
      <x:c r="O489" t="n">
        <x:v>0.8421052631578947</x:v>
      </x:c>
      <x:c r="P489" t="n">
        <x:v>0.28</x:v>
      </x:c>
      <x:c r="Q489" t="n">
        <x:v>0.12</x:v>
      </x:c>
      <x:c r="R489" t="n">
        <x:v>0.4768421052631579</x:v>
      </x:c>
    </x:row>
    <x:row r="490">
      <x:c r="A490" t="str">
        <x:v>Diffusion</x:v>
      </x:c>
      <x:c r="B490" t="str">
        <x:v>simulated</x:v>
      </x:c>
      <x:c r="C490" t="str">
        <x:v>l2</x:v>
      </x:c>
      <x:c r="D490" t="str">
        <x:v>m2</x:v>
      </x:c>
      <x:c r="E490" t="str">
        <x:v>S=4D</x:v>
      </x:c>
      <x:c r="F490" t="str">
        <x:v>pmp_error</x:v>
      </x:c>
      <x:c r="G490" t="str">
        <x:v>ESS-filtered raw NPE-MCMC central 90% interval [q5, q95]</x:v>
      </x:c>
      <x:c r="H490" t="n">
        <x:v>-0.0013118886029695</x:v>
      </x:c>
      <x:c r="I490" t="n">
        <x:v>0.0011534500210914178</x:v>
      </x:c>
      <x:c r="J490" t="n">
        <x:v>5</x:v>
      </x:c>
      <x:c r="K490" t="n">
        <x:v>40</x:v>
      </x:c>
      <x:c r="L490" t="n">
        <x:v>12</x:v>
      </x:c>
      <x:c r="M490" t="n">
        <x:v>62</x:v>
      </x:c>
      <x:c r="N490" t="n">
        <x:v>119</x:v>
      </x:c>
      <x:c r="O490" t="n">
        <x:v>0.7058823529411765</x:v>
      </x:c>
      <x:c r="P490" t="n">
        <x:v>0.39215686274509803</x:v>
      </x:c>
      <x:c r="Q490" t="n">
        <x:v>0.16129032258064516</x:v>
      </x:c>
      <x:c r="R490" t="n">
        <x:v>0.395040369088812</x:v>
      </x:c>
    </x:row>
    <x:row r="491">
      <x:c r="A491" t="str">
        <x:v>Diffusion</x:v>
      </x:c>
      <x:c r="B491" t="str">
        <x:v>simulated</x:v>
      </x:c>
      <x:c r="C491" t="str">
        <x:v>linf</x:v>
      </x:c>
      <x:c r="D491" t="str">
        <x:v>m2</x:v>
      </x:c>
      <x:c r="E491" t="str">
        <x:v>S=4D</x:v>
      </x:c>
      <x:c r="F491" t="str">
        <x:v>pmp_error</x:v>
      </x:c>
      <x:c r="G491" t="str">
        <x:v>ESS-filtered raw NPE-MCMC central 90% interval [q5, q95]</x:v>
      </x:c>
      <x:c r="H491" t="n">
        <x:v>-0.0013118886029695</x:v>
      </x:c>
      <x:c r="I491" t="n">
        <x:v>0.0011534500210914178</x:v>
      </x:c>
      <x:c r="J491" t="n">
        <x:v>4</x:v>
      </x:c>
      <x:c r="K491" t="n">
        <x:v>42</x:v>
      </x:c>
      <x:c r="L491" t="n">
        <x:v>13</x:v>
      </x:c>
      <x:c r="M491" t="n">
        <x:v>60</x:v>
      </x:c>
      <x:c r="N491" t="n">
        <x:v>119</x:v>
      </x:c>
      <x:c r="O491" t="n">
        <x:v>0.7647058823529411</x:v>
      </x:c>
      <x:c r="P491" t="n">
        <x:v>0.4117647058823529</x:v>
      </x:c>
      <x:c r="Q491" t="n">
        <x:v>0.12698412698412698</x:v>
      </x:c>
      <x:c r="R491" t="n">
        <x:v>0.3863898500576701</x:v>
      </x:c>
    </x:row>
    <x:row r="492">
      <x:c r="A492" t="str">
        <x:v>Diffusion</x:v>
      </x:c>
      <x:c r="B492" t="str">
        <x:v>simulated</x:v>
      </x:c>
      <x:c r="C492" t="str">
        <x:v>density</x:v>
      </x:c>
      <x:c r="D492" t="str">
        <x:v>m2</x:v>
      </x:c>
      <x:c r="E492" t="str">
        <x:v>S=4D</x:v>
      </x:c>
      <x:c r="F492" t="str">
        <x:v>pmp_error</x:v>
      </x:c>
      <x:c r="G492" t="str">
        <x:v>ESS-filtered raw NPE-MCMC central 90% interval [q5, q95]</x:v>
      </x:c>
      <x:c r="H492" t="n">
        <x:v>-0.0013118886029695</x:v>
      </x:c>
      <x:c r="I492" t="n">
        <x:v>0.0011534500210914178</x:v>
      </x:c>
      <x:c r="J492" t="n">
        <x:v>5</x:v>
      </x:c>
      <x:c r="K492" t="n">
        <x:v>70</x:v>
      </x:c>
      <x:c r="L492" t="n">
        <x:v>12</x:v>
      </x:c>
      <x:c r="M492" t="n">
        <x:v>32</x:v>
      </x:c>
      <x:c r="N492" t="n">
        <x:v>119</x:v>
      </x:c>
      <x:c r="O492" t="n">
        <x:v>0.7058823529411765</x:v>
      </x:c>
      <x:c r="P492" t="n">
        <x:v>0.6862745098039216</x:v>
      </x:c>
      <x:c r="Q492" t="n">
        <x:v>0.10869565217391304</x:v>
      </x:c>
      <x:c r="R492" t="n">
        <x:v>0.3373702422145329</x:v>
      </x:c>
    </x:row>
    <x:row r="493">
      <x:c r="A493" t="str">
        <x:v>Diffusion</x:v>
      </x:c>
      <x:c r="B493" t="str">
        <x:v>simulated</x:v>
      </x:c>
      <x:c r="C493" t="str">
        <x:v>mmd</x:v>
      </x:c>
      <x:c r="D493" t="str">
        <x:v>m2</x:v>
      </x:c>
      <x:c r="E493" t="str">
        <x:v>S=4D</x:v>
      </x:c>
      <x:c r="F493" t="str">
        <x:v>pmp_error</x:v>
      </x:c>
      <x:c r="G493" t="str">
        <x:v>ESS-filtered raw NPE-MCMC central 90% interval [q5, q95]</x:v>
      </x:c>
      <x:c r="H493" t="n">
        <x:v>-0.0013118886029695</x:v>
      </x:c>
      <x:c r="I493" t="n">
        <x:v>0.0011534500210914178</x:v>
      </x:c>
      <x:c r="J493" t="n">
        <x:v>3</x:v>
      </x:c>
      <x:c r="K493" t="n">
        <x:v>31</x:v>
      </x:c>
      <x:c r="L493" t="n">
        <x:v>14</x:v>
      </x:c>
      <x:c r="M493" t="n">
        <x:v>71</x:v>
      </x:c>
      <x:c r="N493" t="n">
        <x:v>119</x:v>
      </x:c>
      <x:c r="O493" t="n">
        <x:v>0.8235294117647058</x:v>
      </x:c>
      <x:c r="P493" t="n">
        <x:v>0.30392156862745096</x:v>
      </x:c>
      <x:c r="Q493" t="n">
        <x:v>0.11764705882352941</x:v>
      </x:c>
      <x:c r="R493" t="n">
        <x:v>0.4688581314878893</x:v>
      </x:c>
    </x:row>
    <x:row r="494">
      <x:c r="A494" t="str">
        <x:v>Diffusion</x:v>
      </x:c>
      <x:c r="B494" t="str">
        <x:v>simulated</x:v>
      </x:c>
      <x:c r="C494" t="str">
        <x:v>l2</x:v>
      </x:c>
      <x:c r="D494" t="str">
        <x:v>m2</x:v>
      </x:c>
      <x:c r="E494" t="str">
        <x:v>S=6D</x:v>
      </x:c>
      <x:c r="F494" t="str">
        <x:v>pmp_error</x:v>
      </x:c>
      <x:c r="G494" t="str">
        <x:v>ESS-filtered raw NPE-MCMC central 90% interval [q5, q95]</x:v>
      </x:c>
      <x:c r="H494" t="n">
        <x:v>-0.001217893799258365</x:v>
      </x:c>
      <x:c r="I494" t="n">
        <x:v>0.000854365876923738</x:v>
      </x:c>
      <x:c r="J494" t="n">
        <x:v>6</x:v>
      </x:c>
      <x:c r="K494" t="n">
        <x:v>45</x:v>
      </x:c>
      <x:c r="L494" t="n">
        <x:v>14</x:v>
      </x:c>
      <x:c r="M494" t="n">
        <x:v>54</x:v>
      </x:c>
      <x:c r="N494" t="n">
        <x:v>119</x:v>
      </x:c>
      <x:c r="O494" t="n">
        <x:v>0.7</x:v>
      </x:c>
      <x:c r="P494" t="n">
        <x:v>0.45454545454545453</x:v>
      </x:c>
      <x:c r="Q494" t="n">
        <x:v>0.16901408450704225</x:v>
      </x:c>
      <x:c r="R494" t="n">
        <x:v>0.3378787878787879</x:v>
      </x:c>
    </x:row>
    <x:row r="495">
      <x:c r="A495" t="str">
        <x:v>Diffusion</x:v>
      </x:c>
      <x:c r="B495" t="str">
        <x:v>simulated</x:v>
      </x:c>
      <x:c r="C495" t="str">
        <x:v>linf</x:v>
      </x:c>
      <x:c r="D495" t="str">
        <x:v>m2</x:v>
      </x:c>
      <x:c r="E495" t="str">
        <x:v>S=6D</x:v>
      </x:c>
      <x:c r="F495" t="str">
        <x:v>pmp_error</x:v>
      </x:c>
      <x:c r="G495" t="str">
        <x:v>ESS-filtered raw NPE-MCMC central 90% interval [q5, q95]</x:v>
      </x:c>
      <x:c r="H495" t="n">
        <x:v>-0.001217893799258365</x:v>
      </x:c>
      <x:c r="I495" t="n">
        <x:v>0.000854365876923738</x:v>
      </x:c>
      <x:c r="J495" t="n">
        <x:v>6</x:v>
      </x:c>
      <x:c r="K495" t="n">
        <x:v>44</x:v>
      </x:c>
      <x:c r="L495" t="n">
        <x:v>14</x:v>
      </x:c>
      <x:c r="M495" t="n">
        <x:v>55</x:v>
      </x:c>
      <x:c r="N495" t="n">
        <x:v>119</x:v>
      </x:c>
      <x:c r="O495" t="n">
        <x:v>0.7</x:v>
      </x:c>
      <x:c r="P495" t="n">
        <x:v>0.4444444444444444</x:v>
      </x:c>
      <x:c r="Q495" t="n">
        <x:v>0.17142857142857143</x:v>
      </x:c>
      <x:c r="R495" t="n">
        <x:v>0.32727272727272727</x:v>
      </x:c>
    </x:row>
    <x:row r="496">
      <x:c r="A496" t="str">
        <x:v>Diffusion</x:v>
      </x:c>
      <x:c r="B496" t="str">
        <x:v>simulated</x:v>
      </x:c>
      <x:c r="C496" t="str">
        <x:v>density</x:v>
      </x:c>
      <x:c r="D496" t="str">
        <x:v>m2</x:v>
      </x:c>
      <x:c r="E496" t="str">
        <x:v>S=6D</x:v>
      </x:c>
      <x:c r="F496" t="str">
        <x:v>pmp_error</x:v>
      </x:c>
      <x:c r="G496" t="str">
        <x:v>ESS-filtered raw NPE-MCMC central 90% interval [q5, q95]</x:v>
      </x:c>
      <x:c r="H496" t="n">
        <x:v>-0.001217893799258365</x:v>
      </x:c>
      <x:c r="I496" t="n">
        <x:v>0.000854365876923738</x:v>
      </x:c>
      <x:c r="J496" t="n">
        <x:v>7</x:v>
      </x:c>
      <x:c r="K496" t="n">
        <x:v>72</x:v>
      </x:c>
      <x:c r="L496" t="n">
        <x:v>13</x:v>
      </x:c>
      <x:c r="M496" t="n">
        <x:v>27</x:v>
      </x:c>
      <x:c r="N496" t="n">
        <x:v>119</x:v>
      </x:c>
      <x:c r="O496" t="n">
        <x:v>0.65</x:v>
      </x:c>
      <x:c r="P496" t="n">
        <x:v>0.7272727272727273</x:v>
      </x:c>
      <x:c r="Q496" t="n">
        <x:v>0.1414141414141414</x:v>
      </x:c>
      <x:c r="R496" t="n">
        <x:v>0.3242424242424242</x:v>
      </x:c>
    </x:row>
    <x:row r="497">
      <x:c r="A497" t="str">
        <x:v>Diffusion</x:v>
      </x:c>
      <x:c r="B497" t="str">
        <x:v>simulated</x:v>
      </x:c>
      <x:c r="C497" t="str">
        <x:v>mmd</x:v>
      </x:c>
      <x:c r="D497" t="str">
        <x:v>m2</x:v>
      </x:c>
      <x:c r="E497" t="str">
        <x:v>S=6D</x:v>
      </x:c>
      <x:c r="F497" t="str">
        <x:v>pmp_error</x:v>
      </x:c>
      <x:c r="G497" t="str">
        <x:v>ESS-filtered raw NPE-MCMC central 90% interval [q5, q95]</x:v>
      </x:c>
      <x:c r="H497" t="n">
        <x:v>-0.001217893799258365</x:v>
      </x:c>
      <x:c r="I497" t="n">
        <x:v>0.000854365876923738</x:v>
      </x:c>
      <x:c r="J497" t="n">
        <x:v>4</x:v>
      </x:c>
      <x:c r="K497" t="n">
        <x:v>36</x:v>
      </x:c>
      <x:c r="L497" t="n">
        <x:v>16</x:v>
      </x:c>
      <x:c r="M497" t="n">
        <x:v>63</x:v>
      </x:c>
      <x:c r="N497" t="n">
        <x:v>119</x:v>
      </x:c>
      <x:c r="O497" t="n">
        <x:v>0.8</x:v>
      </x:c>
      <x:c r="P497" t="n">
        <x:v>0.36363636363636365</x:v>
      </x:c>
      <x:c r="Q497" t="n">
        <x:v>0.13333333333333333</x:v>
      </x:c>
      <x:c r="R497" t="n">
        <x:v>0.3974747474747475</x:v>
      </x:c>
    </x:row>
    <x:row r="498">
      <x:c r="A498" t="str">
        <x:v>Diffusion</x:v>
      </x:c>
      <x:c r="B498" t="str">
        <x:v>simulated</x:v>
      </x:c>
      <x:c r="C498" t="str">
        <x:v>l2</x:v>
      </x:c>
      <x:c r="D498" t="str">
        <x:v>m0</x:v>
      </x:c>
      <x:c r="E498" t="str">
        <x:v>S=D</x:v>
      </x:c>
      <x:c r="F498" t="str">
        <x:v>posterior_mmd</x:v>
      </x:c>
      <x:c r="G498" t="str">
        <x:v>ESS-filtered raw NPE-MCMC interval [0, q95]</x:v>
      </x:c>
      <x:c r="H498" t="n">
        <x:v>0</x:v>
      </x:c>
      <x:c r="I498" t="n">
        <x:v>0.19038547665839195</x:v>
      </x:c>
      <x:c r="J498" t="n">
        <x:v>58</x:v>
      </x:c>
      <x:c r="K498" t="n">
        <x:v>4</x:v>
      </x:c>
      <x:c r="L498" t="n">
        <x:v>18</x:v>
      </x:c>
      <x:c r="M498" t="n">
        <x:v>39</x:v>
      </x:c>
      <x:c r="N498" t="n">
        <x:v>119</x:v>
      </x:c>
      <x:c r="O498" t="n">
        <x:v>0.23684210526315788</x:v>
      </x:c>
      <x:c r="P498" t="n">
        <x:v>0.09302325581395349</x:v>
      </x:c>
      <x:c r="Q498" t="n">
        <x:v>0.8405797101449275</x:v>
      </x:c>
      <x:c r="R498" t="n">
        <x:v>0.9082007343941249</x:v>
      </x:c>
    </x:row>
    <x:row r="499">
      <x:c r="A499" t="str">
        <x:v>Diffusion</x:v>
      </x:c>
      <x:c r="B499" t="str">
        <x:v>simulated</x:v>
      </x:c>
      <x:c r="C499" t="str">
        <x:v>linf</x:v>
      </x:c>
      <x:c r="D499" t="str">
        <x:v>m0</x:v>
      </x:c>
      <x:c r="E499" t="str">
        <x:v>S=D</x:v>
      </x:c>
      <x:c r="F499" t="str">
        <x:v>posterior_mmd</x:v>
      </x:c>
      <x:c r="G499" t="str">
        <x:v>ESS-filtered raw NPE-MCMC interval [0, q95]</x:v>
      </x:c>
      <x:c r="H499" t="n">
        <x:v>0</x:v>
      </x:c>
      <x:c r="I499" t="n">
        <x:v>0.19038547665839195</x:v>
      </x:c>
      <x:c r="J499" t="n">
        <x:v>48</x:v>
      </x:c>
      <x:c r="K499" t="n">
        <x:v>4</x:v>
      </x:c>
      <x:c r="L499" t="n">
        <x:v>28</x:v>
      </x:c>
      <x:c r="M499" t="n">
        <x:v>39</x:v>
      </x:c>
      <x:c r="N499" t="n">
        <x:v>119</x:v>
      </x:c>
      <x:c r="O499" t="n">
        <x:v>0.3684210526315789</x:v>
      </x:c>
      <x:c r="P499" t="n">
        <x:v>0.09302325581395349</x:v>
      </x:c>
      <x:c r="Q499" t="n">
        <x:v>0.75</x:v>
      </x:c>
      <x:c r="R499" t="n">
        <x:v>0.8782129742962056</x:v>
      </x:c>
    </x:row>
    <x:row r="500">
      <x:c r="A500" t="str">
        <x:v>Diffusion</x:v>
      </x:c>
      <x:c r="B500" t="str">
        <x:v>simulated</x:v>
      </x:c>
      <x:c r="C500" t="str">
        <x:v>density</x:v>
      </x:c>
      <x:c r="D500" t="str">
        <x:v>m0</x:v>
      </x:c>
      <x:c r="E500" t="str">
        <x:v>S=D</x:v>
      </x:c>
      <x:c r="F500" t="str">
        <x:v>posterior_mmd</x:v>
      </x:c>
      <x:c r="G500" t="str">
        <x:v>ESS-filtered raw NPE-MCMC interval [0, q95]</x:v>
      </x:c>
      <x:c r="H500" t="n">
        <x:v>0</x:v>
      </x:c>
      <x:c r="I500" t="n">
        <x:v>0.19038547665839195</x:v>
      </x:c>
      <x:c r="J500" t="n">
        <x:v>62</x:v>
      </x:c>
      <x:c r="K500" t="n">
        <x:v>13</x:v>
      </x:c>
      <x:c r="L500" t="n">
        <x:v>14</x:v>
      </x:c>
      <x:c r="M500" t="n">
        <x:v>30</x:v>
      </x:c>
      <x:c r="N500" t="n">
        <x:v>119</x:v>
      </x:c>
      <x:c r="O500" t="n">
        <x:v>0.18421052631578946</x:v>
      </x:c>
      <x:c r="P500" t="n">
        <x:v>0.3023255813953488</x:v>
      </x:c>
      <x:c r="Q500" t="n">
        <x:v>0.8211920529801324</x:v>
      </x:c>
      <x:c r="R500" t="n">
        <x:v>0.8647490820073439</x:v>
      </x:c>
    </x:row>
    <x:row r="501">
      <x:c r="A501" t="str">
        <x:v>Diffusion</x:v>
      </x:c>
      <x:c r="B501" t="str">
        <x:v>simulated</x:v>
      </x:c>
      <x:c r="C501" t="str">
        <x:v>mmd</x:v>
      </x:c>
      <x:c r="D501" t="str">
        <x:v>m0</x:v>
      </x:c>
      <x:c r="E501" t="str">
        <x:v>S=D</x:v>
      </x:c>
      <x:c r="F501" t="str">
        <x:v>posterior_mmd</x:v>
      </x:c>
      <x:c r="G501" t="str">
        <x:v>ESS-filtered raw NPE-MCMC interval [0, q95]</x:v>
      </x:c>
      <x:c r="H501" t="n">
        <x:v>0</x:v>
      </x:c>
      <x:c r="I501" t="n">
        <x:v>0.19038547665839195</x:v>
      </x:c>
      <x:c r="J501" t="n">
        <x:v>37</x:v>
      </x:c>
      <x:c r="K501" t="n">
        <x:v>1</x:v>
      </x:c>
      <x:c r="L501" t="n">
        <x:v>39</x:v>
      </x:c>
      <x:c r="M501" t="n">
        <x:v>42</x:v>
      </x:c>
      <x:c r="N501" t="n">
        <x:v>119</x:v>
      </x:c>
      <x:c r="O501" t="n">
        <x:v>0.5131578947368421</x:v>
      </x:c>
      <x:c r="P501" t="n">
        <x:v>0.023255813953488372</x:v>
      </x:c>
      <x:c r="Q501" t="n">
        <x:v>0.6491228070175439</x:v>
      </x:c>
      <x:c r="R501" t="n">
        <x:v>0.8509791921664627</x:v>
      </x:c>
    </x:row>
    <x:row r="502">
      <x:c r="A502" t="str">
        <x:v>Diffusion</x:v>
      </x:c>
      <x:c r="B502" t="str">
        <x:v>simulated</x:v>
      </x:c>
      <x:c r="C502" t="str">
        <x:v>l2</x:v>
      </x:c>
      <x:c r="D502" t="str">
        <x:v>m0</x:v>
      </x:c>
      <x:c r="E502" t="str">
        <x:v>S=2D</x:v>
      </x:c>
      <x:c r="F502" t="str">
        <x:v>posterior_mmd</x:v>
      </x:c>
      <x:c r="G502" t="str">
        <x:v>ESS-filtered raw NPE-MCMC interval [0, q95]</x:v>
      </x:c>
      <x:c r="H502" t="n">
        <x:v>0</x:v>
      </x:c>
      <x:c r="I502" t="n">
        <x:v>0.20793813945746992</x:v>
      </x:c>
      <x:c r="J502" t="n">
        <x:v>56</x:v>
      </x:c>
      <x:c r="K502" t="n">
        <x:v>4</x:v>
      </x:c>
      <x:c r="L502" t="n">
        <x:v>12</x:v>
      </x:c>
      <x:c r="M502" t="n">
        <x:v>47</x:v>
      </x:c>
      <x:c r="N502" t="n">
        <x:v>119</x:v>
      </x:c>
      <x:c r="O502" t="n">
        <x:v>0.17647058823529413</x:v>
      </x:c>
      <x:c r="P502" t="n">
        <x:v>0.0784313725490196</x:v>
      </x:c>
      <x:c r="Q502" t="n">
        <x:v>0.875</x:v>
      </x:c>
      <x:c r="R502" t="n">
        <x:v>0.9452133794694348</x:v>
      </x:c>
    </x:row>
    <x:row r="503">
      <x:c r="A503" t="str">
        <x:v>Diffusion</x:v>
      </x:c>
      <x:c r="B503" t="str">
        <x:v>simulated</x:v>
      </x:c>
      <x:c r="C503" t="str">
        <x:v>linf</x:v>
      </x:c>
      <x:c r="D503" t="str">
        <x:v>m0</x:v>
      </x:c>
      <x:c r="E503" t="str">
        <x:v>S=2D</x:v>
      </x:c>
      <x:c r="F503" t="str">
        <x:v>posterior_mmd</x:v>
      </x:c>
      <x:c r="G503" t="str">
        <x:v>ESS-filtered raw NPE-MCMC interval [0, q95]</x:v>
      </x:c>
      <x:c r="H503" t="n">
        <x:v>0</x:v>
      </x:c>
      <x:c r="I503" t="n">
        <x:v>0.20793813945746992</x:v>
      </x:c>
      <x:c r="J503" t="n">
        <x:v>55</x:v>
      </x:c>
      <x:c r="K503" t="n">
        <x:v>3</x:v>
      </x:c>
      <x:c r="L503" t="n">
        <x:v>13</x:v>
      </x:c>
      <x:c r="M503" t="n">
        <x:v>48</x:v>
      </x:c>
      <x:c r="N503" t="n">
        <x:v>119</x:v>
      </x:c>
      <x:c r="O503" t="n">
        <x:v>0.19117647058823528</x:v>
      </x:c>
      <x:c r="P503" t="n">
        <x:v>0.058823529411764705</x:v>
      </x:c>
      <x:c r="Q503" t="n">
        <x:v>0.873015873015873</x:v>
      </x:c>
      <x:c r="R503" t="n">
        <x:v>0.9492502883506344</x:v>
      </x:c>
    </x:row>
    <x:row r="504">
      <x:c r="A504" t="str">
        <x:v>Diffusion</x:v>
      </x:c>
      <x:c r="B504" t="str">
        <x:v>simulated</x:v>
      </x:c>
      <x:c r="C504" t="str">
        <x:v>density</x:v>
      </x:c>
      <x:c r="D504" t="str">
        <x:v>m0</x:v>
      </x:c>
      <x:c r="E504" t="str">
        <x:v>S=2D</x:v>
      </x:c>
      <x:c r="F504" t="str">
        <x:v>posterior_mmd</x:v>
      </x:c>
      <x:c r="G504" t="str">
        <x:v>ESS-filtered raw NPE-MCMC interval [0, q95]</x:v>
      </x:c>
      <x:c r="H504" t="n">
        <x:v>0</x:v>
      </x:c>
      <x:c r="I504" t="n">
        <x:v>0.20793813945746992</x:v>
      </x:c>
      <x:c r="J504" t="n">
        <x:v>64</x:v>
      </x:c>
      <x:c r="K504" t="n">
        <x:v>21</x:v>
      </x:c>
      <x:c r="L504" t="n">
        <x:v>4</x:v>
      </x:c>
      <x:c r="M504" t="n">
        <x:v>30</x:v>
      </x:c>
      <x:c r="N504" t="n">
        <x:v>119</x:v>
      </x:c>
      <x:c r="O504" t="n">
        <x:v>0.058823529411764705</x:v>
      </x:c>
      <x:c r="P504" t="n">
        <x:v>0.4117647058823529</x:v>
      </x:c>
      <x:c r="Q504" t="n">
        <x:v>0.8366013071895425</x:v>
      </x:c>
      <x:c r="R504" t="n">
        <x:v>0.9449250288350635</x:v>
      </x:c>
    </x:row>
    <x:row r="505">
      <x:c r="A505" t="str">
        <x:v>Diffusion</x:v>
      </x:c>
      <x:c r="B505" t="str">
        <x:v>simulated</x:v>
      </x:c>
      <x:c r="C505" t="str">
        <x:v>mmd</x:v>
      </x:c>
      <x:c r="D505" t="str">
        <x:v>m0</x:v>
      </x:c>
      <x:c r="E505" t="str">
        <x:v>S=2D</x:v>
      </x:c>
      <x:c r="F505" t="str">
        <x:v>posterior_mmd</x:v>
      </x:c>
      <x:c r="G505" t="str">
        <x:v>ESS-filtered raw NPE-MCMC interval [0, q95]</x:v>
      </x:c>
      <x:c r="H505" t="n">
        <x:v>0</x:v>
      </x:c>
      <x:c r="I505" t="n">
        <x:v>0.20793813945746992</x:v>
      </x:c>
      <x:c r="J505" t="n">
        <x:v>39</x:v>
      </x:c>
      <x:c r="K505" t="n">
        <x:v>2</x:v>
      </x:c>
      <x:c r="L505" t="n">
        <x:v>29</x:v>
      </x:c>
      <x:c r="M505" t="n">
        <x:v>49</x:v>
      </x:c>
      <x:c r="N505" t="n">
        <x:v>119</x:v>
      </x:c>
      <x:c r="O505" t="n">
        <x:v>0.4264705882352941</x:v>
      </x:c>
      <x:c r="P505" t="n">
        <x:v>0.0392156862745098</x:v>
      </x:c>
      <x:c r="Q505" t="n">
        <x:v>0.7155963302752294</x:v>
      </x:c>
      <x:c r="R505" t="n">
        <x:v>0.908881199538639</x:v>
      </x:c>
    </x:row>
    <x:row r="506">
      <x:c r="A506" t="str">
        <x:v>Diffusion</x:v>
      </x:c>
      <x:c r="B506" t="str">
        <x:v>simulated</x:v>
      </x:c>
      <x:c r="C506" t="str">
        <x:v>l2</x:v>
      </x:c>
      <x:c r="D506" t="str">
        <x:v>m0</x:v>
      </x:c>
      <x:c r="E506" t="str">
        <x:v>S=4D</x:v>
      </x:c>
      <x:c r="F506" t="str">
        <x:v>posterior_mmd</x:v>
      </x:c>
      <x:c r="G506" t="str">
        <x:v>ESS-filtered raw NPE-MCMC interval [0, q95]</x:v>
      </x:c>
      <x:c r="H506" t="n">
        <x:v>0</x:v>
      </x:c>
      <x:c r="I506" t="n">
        <x:v>0.1991176450699111</x:v>
      </x:c>
      <x:c r="J506" t="n">
        <x:v>55</x:v>
      </x:c>
      <x:c r="K506" t="n">
        <x:v>8</x:v>
      </x:c>
      <x:c r="L506" t="n">
        <x:v>10</x:v>
      </x:c>
      <x:c r="M506" t="n">
        <x:v>46</x:v>
      </x:c>
      <x:c r="N506" t="n">
        <x:v>119</x:v>
      </x:c>
      <x:c r="O506" t="n">
        <x:v>0.15384615384615385</x:v>
      </x:c>
      <x:c r="P506" t="n">
        <x:v>0.14814814814814814</x:v>
      </x:c>
      <x:c r="Q506" t="n">
        <x:v>0.859375</x:v>
      </x:c>
      <x:c r="R506" t="n">
        <x:v>0.9427350427350427</x:v>
      </x:c>
    </x:row>
    <x:row r="507">
      <x:c r="A507" t="str">
        <x:v>Diffusion</x:v>
      </x:c>
      <x:c r="B507" t="str">
        <x:v>simulated</x:v>
      </x:c>
      <x:c r="C507" t="str">
        <x:v>linf</x:v>
      </x:c>
      <x:c r="D507" t="str">
        <x:v>m0</x:v>
      </x:c>
      <x:c r="E507" t="str">
        <x:v>S=4D</x:v>
      </x:c>
      <x:c r="F507" t="str">
        <x:v>posterior_mmd</x:v>
      </x:c>
      <x:c r="G507" t="str">
        <x:v>ESS-filtered raw NPE-MCMC interval [0, q95]</x:v>
      </x:c>
      <x:c r="H507" t="n">
        <x:v>0</x:v>
      </x:c>
      <x:c r="I507" t="n">
        <x:v>0.1991176450699111</x:v>
      </x:c>
      <x:c r="J507" t="n">
        <x:v>52</x:v>
      </x:c>
      <x:c r="K507" t="n">
        <x:v>6</x:v>
      </x:c>
      <x:c r="L507" t="n">
        <x:v>13</x:v>
      </x:c>
      <x:c r="M507" t="n">
        <x:v>48</x:v>
      </x:c>
      <x:c r="N507" t="n">
        <x:v>119</x:v>
      </x:c>
      <x:c r="O507" t="n">
        <x:v>0.2</x:v>
      </x:c>
      <x:c r="P507" t="n">
        <x:v>0.1111111111111111</x:v>
      </x:c>
      <x:c r="Q507" t="n">
        <x:v>0.8455284552845529</x:v>
      </x:c>
      <x:c r="R507" t="n">
        <x:v>0.9336182336182336</x:v>
      </x:c>
    </x:row>
    <x:row r="508">
      <x:c r="A508" t="str">
        <x:v>Diffusion</x:v>
      </x:c>
      <x:c r="B508" t="str">
        <x:v>simulated</x:v>
      </x:c>
      <x:c r="C508" t="str">
        <x:v>density</x:v>
      </x:c>
      <x:c r="D508" t="str">
        <x:v>m0</x:v>
      </x:c>
      <x:c r="E508" t="str">
        <x:v>S=4D</x:v>
      </x:c>
      <x:c r="F508" t="str">
        <x:v>posterior_mmd</x:v>
      </x:c>
      <x:c r="G508" t="str">
        <x:v>ESS-filtered raw NPE-MCMC interval [0, q95]</x:v>
      </x:c>
      <x:c r="H508" t="n">
        <x:v>0</x:v>
      </x:c>
      <x:c r="I508" t="n">
        <x:v>0.1991176450699111</x:v>
      </x:c>
      <x:c r="J508" t="n">
        <x:v>61</x:v>
      </x:c>
      <x:c r="K508" t="n">
        <x:v>28</x:v>
      </x:c>
      <x:c r="L508" t="n">
        <x:v>4</x:v>
      </x:c>
      <x:c r="M508" t="n">
        <x:v>26</x:v>
      </x:c>
      <x:c r="N508" t="n">
        <x:v>119</x:v>
      </x:c>
      <x:c r="O508" t="n">
        <x:v>0.06153846153846154</x:v>
      </x:c>
      <x:c r="P508" t="n">
        <x:v>0.5185185185185185</x:v>
      </x:c>
      <x:c r="Q508" t="n">
        <x:v>0.7922077922077922</x:v>
      </x:c>
      <x:c r="R508" t="n">
        <x:v>0.8903133903133903</x:v>
      </x:c>
    </x:row>
    <x:row r="509">
      <x:c r="A509" t="str">
        <x:v>Diffusion</x:v>
      </x:c>
      <x:c r="B509" t="str">
        <x:v>simulated</x:v>
      </x:c>
      <x:c r="C509" t="str">
        <x:v>mmd</x:v>
      </x:c>
      <x:c r="D509" t="str">
        <x:v>m0</x:v>
      </x:c>
      <x:c r="E509" t="str">
        <x:v>S=4D</x:v>
      </x:c>
      <x:c r="F509" t="str">
        <x:v>posterior_mmd</x:v>
      </x:c>
      <x:c r="G509" t="str">
        <x:v>ESS-filtered raw NPE-MCMC interval [0, q95]</x:v>
      </x:c>
      <x:c r="H509" t="n">
        <x:v>0</x:v>
      </x:c>
      <x:c r="I509" t="n">
        <x:v>0.1991176450699111</x:v>
      </x:c>
      <x:c r="J509" t="n">
        <x:v>45</x:v>
      </x:c>
      <x:c r="K509" t="n">
        <x:v>1</x:v>
      </x:c>
      <x:c r="L509" t="n">
        <x:v>20</x:v>
      </x:c>
      <x:c r="M509" t="n">
        <x:v>53</x:v>
      </x:c>
      <x:c r="N509" t="n">
        <x:v>119</x:v>
      </x:c>
      <x:c r="O509" t="n">
        <x:v>0.3076923076923077</x:v>
      </x:c>
      <x:c r="P509" t="n">
        <x:v>0.018518518518518517</x:v>
      </x:c>
      <x:c r="Q509" t="n">
        <x:v>0.8108108108108109</x:v>
      </x:c>
      <x:c r="R509" t="n">
        <x:v>0.9128205128205128</x:v>
      </x:c>
    </x:row>
    <x:row r="510">
      <x:c r="A510" t="str">
        <x:v>Diffusion</x:v>
      </x:c>
      <x:c r="B510" t="str">
        <x:v>simulated</x:v>
      </x:c>
      <x:c r="C510" t="str">
        <x:v>l2</x:v>
      </x:c>
      <x:c r="D510" t="str">
        <x:v>m0</x:v>
      </x:c>
      <x:c r="E510" t="str">
        <x:v>S=6D</x:v>
      </x:c>
      <x:c r="F510" t="str">
        <x:v>posterior_mmd</x:v>
      </x:c>
      <x:c r="G510" t="str">
        <x:v>ESS-filtered raw NPE-MCMC interval [0, q95]</x:v>
      </x:c>
      <x:c r="H510" t="n">
        <x:v>0</x:v>
      </x:c>
      <x:c r="I510" t="n">
        <x:v>0.1897398854607108</x:v>
      </x:c>
      <x:c r="J510" t="n">
        <x:v>63</x:v>
      </x:c>
      <x:c r="K510" t="n">
        <x:v>8</x:v>
      </x:c>
      <x:c r="L510" t="n">
        <x:v>9</x:v>
      </x:c>
      <x:c r="M510" t="n">
        <x:v>39</x:v>
      </x:c>
      <x:c r="N510" t="n">
        <x:v>119</x:v>
      </x:c>
      <x:c r="O510" t="n">
        <x:v>0.125</x:v>
      </x:c>
      <x:c r="P510" t="n">
        <x:v>0.1702127659574468</x:v>
      </x:c>
      <x:c r="Q510" t="n">
        <x:v>0.8811188811188811</x:v>
      </x:c>
      <x:c r="R510" t="n">
        <x:v>0.949468085106383</x:v>
      </x:c>
    </x:row>
    <x:row r="511">
      <x:c r="A511" t="str">
        <x:v>Diffusion</x:v>
      </x:c>
      <x:c r="B511" t="str">
        <x:v>simulated</x:v>
      </x:c>
      <x:c r="C511" t="str">
        <x:v>linf</x:v>
      </x:c>
      <x:c r="D511" t="str">
        <x:v>m0</x:v>
      </x:c>
      <x:c r="E511" t="str">
        <x:v>S=6D</x:v>
      </x:c>
      <x:c r="F511" t="str">
        <x:v>posterior_mmd</x:v>
      </x:c>
      <x:c r="G511" t="str">
        <x:v>ESS-filtered raw NPE-MCMC interval [0, q95]</x:v>
      </x:c>
      <x:c r="H511" t="n">
        <x:v>0</x:v>
      </x:c>
      <x:c r="I511" t="n">
        <x:v>0.1897398854607108</x:v>
      </x:c>
      <x:c r="J511" t="n">
        <x:v>64</x:v>
      </x:c>
      <x:c r="K511" t="n">
        <x:v>9</x:v>
      </x:c>
      <x:c r="L511" t="n">
        <x:v>8</x:v>
      </x:c>
      <x:c r="M511" t="n">
        <x:v>38</x:v>
      </x:c>
      <x:c r="N511" t="n">
        <x:v>119</x:v>
      </x:c>
      <x:c r="O511" t="n">
        <x:v>0.1111111111111111</x:v>
      </x:c>
      <x:c r="P511" t="n">
        <x:v>0.19148936170212766</x:v>
      </x:c>
      <x:c r="Q511" t="n">
        <x:v>0.8827586206896552</x:v>
      </x:c>
      <x:c r="R511" t="n">
        <x:v>0.9447399527186762</x:v>
      </x:c>
    </x:row>
    <x:row r="512">
      <x:c r="A512" t="str">
        <x:v>Diffusion</x:v>
      </x:c>
      <x:c r="B512" t="str">
        <x:v>simulated</x:v>
      </x:c>
      <x:c r="C512" t="str">
        <x:v>density</x:v>
      </x:c>
      <x:c r="D512" t="str">
        <x:v>m0</x:v>
      </x:c>
      <x:c r="E512" t="str">
        <x:v>S=6D</x:v>
      </x:c>
      <x:c r="F512" t="str">
        <x:v>posterior_mmd</x:v>
      </x:c>
      <x:c r="G512" t="str">
        <x:v>ESS-filtered raw NPE-MCMC interval [0, q95]</x:v>
      </x:c>
      <x:c r="H512" t="n">
        <x:v>0</x:v>
      </x:c>
      <x:c r="I512" t="n">
        <x:v>0.1897398854607108</x:v>
      </x:c>
      <x:c r="J512" t="n">
        <x:v>68</x:v>
      </x:c>
      <x:c r="K512" t="n">
        <x:v>21</x:v>
      </x:c>
      <x:c r="L512" t="n">
        <x:v>4</x:v>
      </x:c>
      <x:c r="M512" t="n">
        <x:v>26</x:v>
      </x:c>
      <x:c r="N512" t="n">
        <x:v>119</x:v>
      </x:c>
      <x:c r="O512" t="n">
        <x:v>0.05555555555555555</x:v>
      </x:c>
      <x:c r="P512" t="n">
        <x:v>0.44680851063829785</x:v>
      </x:c>
      <x:c r="Q512" t="n">
        <x:v>0.84472049689441</x:v>
      </x:c>
      <x:c r="R512" t="n">
        <x:v>0.9305555555555556</x:v>
      </x:c>
    </x:row>
    <x:row r="513">
      <x:c r="A513" t="str">
        <x:v>Diffusion</x:v>
      </x:c>
      <x:c r="B513" t="str">
        <x:v>simulated</x:v>
      </x:c>
      <x:c r="C513" t="str">
        <x:v>mmd</x:v>
      </x:c>
      <x:c r="D513" t="str">
        <x:v>m0</x:v>
      </x:c>
      <x:c r="E513" t="str">
        <x:v>S=6D</x:v>
      </x:c>
      <x:c r="F513" t="str">
        <x:v>posterior_mmd</x:v>
      </x:c>
      <x:c r="G513" t="str">
        <x:v>ESS-filtered raw NPE-MCMC interval [0, q95]</x:v>
      </x:c>
      <x:c r="H513" t="n">
        <x:v>0</x:v>
      </x:c>
      <x:c r="I513" t="n">
        <x:v>0.1897398854607108</x:v>
      </x:c>
      <x:c r="J513" t="n">
        <x:v>41</x:v>
      </x:c>
      <x:c r="K513" t="n">
        <x:v>0</x:v>
      </x:c>
      <x:c r="L513" t="n">
        <x:v>31</x:v>
      </x:c>
      <x:c r="M513" t="n">
        <x:v>47</x:v>
      </x:c>
      <x:c r="N513" t="n">
        <x:v>119</x:v>
      </x:c>
      <x:c r="O513" t="n">
        <x:v>0.4305555555555556</x:v>
      </x:c>
      <x:c r="P513" t="n">
        <x:v>0</x:v>
      </x:c>
      <x:c r="Q513" t="n">
        <x:v>0.7256637168141593</x:v>
      </x:c>
      <x:c r="R513" t="n">
        <x:v>0.908096926713948</x:v>
      </x:c>
    </x:row>
    <x:row r="514">
      <x:c r="A514" t="str">
        <x:v>Diffusion</x:v>
      </x:c>
      <x:c r="B514" t="str">
        <x:v>simulated</x:v>
      </x:c>
      <x:c r="C514" t="str">
        <x:v>l2</x:v>
      </x:c>
      <x:c r="D514" t="str">
        <x:v>m2</x:v>
      </x:c>
      <x:c r="E514" t="str">
        <x:v>S=D</x:v>
      </x:c>
      <x:c r="F514" t="str">
        <x:v>posterior_mmd</x:v>
      </x:c>
      <x:c r="G514" t="str">
        <x:v>ESS-filtered raw NPE-MCMC interval [0, q95]</x:v>
      </x:c>
      <x:c r="H514" t="n">
        <x:v>0</x:v>
      </x:c>
      <x:c r="I514" t="n">
        <x:v>0.1909956887320976</x:v>
      </x:c>
      <x:c r="J514" t="n">
        <x:v>36</x:v>
      </x:c>
      <x:c r="K514" t="n">
        <x:v>5</x:v>
      </x:c>
      <x:c r="L514" t="n">
        <x:v>19</x:v>
      </x:c>
      <x:c r="M514" t="n">
        <x:v>59</x:v>
      </x:c>
      <x:c r="N514" t="n">
        <x:v>119</x:v>
      </x:c>
      <x:c r="O514" t="n">
        <x:v>0.34545454545454546</x:v>
      </x:c>
      <x:c r="P514" t="n">
        <x:v>0.078125</x:v>
      </x:c>
      <x:c r="Q514" t="n">
        <x:v>0.75</x:v>
      </x:c>
      <x:c r="R514" t="n">
        <x:v>0.8548295454545455</x:v>
      </x:c>
    </x:row>
    <x:row r="515">
      <x:c r="A515" t="str">
        <x:v>Diffusion</x:v>
      </x:c>
      <x:c r="B515" t="str">
        <x:v>simulated</x:v>
      </x:c>
      <x:c r="C515" t="str">
        <x:v>linf</x:v>
      </x:c>
      <x:c r="D515" t="str">
        <x:v>m2</x:v>
      </x:c>
      <x:c r="E515" t="str">
        <x:v>S=D</x:v>
      </x:c>
      <x:c r="F515" t="str">
        <x:v>posterior_mmd</x:v>
      </x:c>
      <x:c r="G515" t="str">
        <x:v>ESS-filtered raw NPE-MCMC interval [0, q95]</x:v>
      </x:c>
      <x:c r="H515" t="n">
        <x:v>0</x:v>
      </x:c>
      <x:c r="I515" t="n">
        <x:v>0.1909956887320976</x:v>
      </x:c>
      <x:c r="J515" t="n">
        <x:v>33</x:v>
      </x:c>
      <x:c r="K515" t="n">
        <x:v>5</x:v>
      </x:c>
      <x:c r="L515" t="n">
        <x:v>22</x:v>
      </x:c>
      <x:c r="M515" t="n">
        <x:v>59</x:v>
      </x:c>
      <x:c r="N515" t="n">
        <x:v>119</x:v>
      </x:c>
      <x:c r="O515" t="n">
        <x:v>0.4</x:v>
      </x:c>
      <x:c r="P515" t="n">
        <x:v>0.078125</x:v>
      </x:c>
      <x:c r="Q515" t="n">
        <x:v>0.7096774193548387</x:v>
      </x:c>
      <x:c r="R515" t="n">
        <x:v>0.8269886363636364</x:v>
      </x:c>
    </x:row>
    <x:row r="516">
      <x:c r="A516" t="str">
        <x:v>Diffusion</x:v>
      </x:c>
      <x:c r="B516" t="str">
        <x:v>simulated</x:v>
      </x:c>
      <x:c r="C516" t="str">
        <x:v>density</x:v>
      </x:c>
      <x:c r="D516" t="str">
        <x:v>m2</x:v>
      </x:c>
      <x:c r="E516" t="str">
        <x:v>S=D</x:v>
      </x:c>
      <x:c r="F516" t="str">
        <x:v>posterior_mmd</x:v>
      </x:c>
      <x:c r="G516" t="str">
        <x:v>ESS-filtered raw NPE-MCMC interval [0, q95]</x:v>
      </x:c>
      <x:c r="H516" t="n">
        <x:v>0</x:v>
      </x:c>
      <x:c r="I516" t="n">
        <x:v>0.1909956887320976</x:v>
      </x:c>
      <x:c r="J516" t="n">
        <x:v>37</x:v>
      </x:c>
      <x:c r="K516" t="n">
        <x:v>12</x:v>
      </x:c>
      <x:c r="L516" t="n">
        <x:v>18</x:v>
      </x:c>
      <x:c r="M516" t="n">
        <x:v>52</x:v>
      </x:c>
      <x:c r="N516" t="n">
        <x:v>119</x:v>
      </x:c>
      <x:c r="O516" t="n">
        <x:v>0.32727272727272727</x:v>
      </x:c>
      <x:c r="P516" t="n">
        <x:v>0.1875</x:v>
      </x:c>
      <x:c r="Q516" t="n">
        <x:v>0.7115384615384616</x:v>
      </x:c>
      <x:c r="R516" t="n">
        <x:v>0.8394886363636364</x:v>
      </x:c>
    </x:row>
    <x:row r="517">
      <x:c r="A517" t="str">
        <x:v>Diffusion</x:v>
      </x:c>
      <x:c r="B517" t="str">
        <x:v>simulated</x:v>
      </x:c>
      <x:c r="C517" t="str">
        <x:v>mmd</x:v>
      </x:c>
      <x:c r="D517" t="str">
        <x:v>m2</x:v>
      </x:c>
      <x:c r="E517" t="str">
        <x:v>S=D</x:v>
      </x:c>
      <x:c r="F517" t="str">
        <x:v>posterior_mmd</x:v>
      </x:c>
      <x:c r="G517" t="str">
        <x:v>ESS-filtered raw NPE-MCMC interval [0, q95]</x:v>
      </x:c>
      <x:c r="H517" t="n">
        <x:v>0</x:v>
      </x:c>
      <x:c r="I517" t="n">
        <x:v>0.1909956887320976</x:v>
      </x:c>
      <x:c r="J517" t="n">
        <x:v>12</x:v>
      </x:c>
      <x:c r="K517" t="n">
        <x:v>1</x:v>
      </x:c>
      <x:c r="L517" t="n">
        <x:v>43</x:v>
      </x:c>
      <x:c r="M517" t="n">
        <x:v>63</x:v>
      </x:c>
      <x:c r="N517" t="n">
        <x:v>119</x:v>
      </x:c>
      <x:c r="O517" t="n">
        <x:v>0.7818181818181819</x:v>
      </x:c>
      <x:c r="P517" t="n">
        <x:v>0.015625</x:v>
      </x:c>
      <x:c r="Q517" t="n">
        <x:v>0.35294117647058826</x:v>
      </x:c>
      <x:c r="R517" t="n">
        <x:v>0.8014204545454545</x:v>
      </x:c>
    </x:row>
    <x:row r="518">
      <x:c r="A518" t="str">
        <x:v>Diffusion</x:v>
      </x:c>
      <x:c r="B518" t="str">
        <x:v>simulated</x:v>
      </x:c>
      <x:c r="C518" t="str">
        <x:v>l2</x:v>
      </x:c>
      <x:c r="D518" t="str">
        <x:v>m2</x:v>
      </x:c>
      <x:c r="E518" t="str">
        <x:v>S=2D</x:v>
      </x:c>
      <x:c r="F518" t="str">
        <x:v>posterior_mmd</x:v>
      </x:c>
      <x:c r="G518" t="str">
        <x:v>ESS-filtered raw NPE-MCMC interval [0, q95]</x:v>
      </x:c>
      <x:c r="H518" t="n">
        <x:v>0</x:v>
      </x:c>
      <x:c r="I518" t="n">
        <x:v>0.21258894362789607</x:v>
      </x:c>
      <x:c r="J518" t="n">
        <x:v>39</x:v>
      </x:c>
      <x:c r="K518" t="n">
        <x:v>6</x:v>
      </x:c>
      <x:c r="L518" t="n">
        <x:v>14</x:v>
      </x:c>
      <x:c r="M518" t="n">
        <x:v>60</x:v>
      </x:c>
      <x:c r="N518" t="n">
        <x:v>119</x:v>
      </x:c>
      <x:c r="O518" t="n">
        <x:v>0.2641509433962264</x:v>
      </x:c>
      <x:c r="P518" t="n">
        <x:v>0.09090909090909091</x:v>
      </x:c>
      <x:c r="Q518" t="n">
        <x:v>0.7959183673469388</x:v>
      </x:c>
      <x:c r="R518" t="n">
        <x:v>0.8979416809605489</x:v>
      </x:c>
    </x:row>
    <x:row r="519">
      <x:c r="A519" t="str">
        <x:v>Diffusion</x:v>
      </x:c>
      <x:c r="B519" t="str">
        <x:v>simulated</x:v>
      </x:c>
      <x:c r="C519" t="str">
        <x:v>linf</x:v>
      </x:c>
      <x:c r="D519" t="str">
        <x:v>m2</x:v>
      </x:c>
      <x:c r="E519" t="str">
        <x:v>S=2D</x:v>
      </x:c>
      <x:c r="F519" t="str">
        <x:v>posterior_mmd</x:v>
      </x:c>
      <x:c r="G519" t="str">
        <x:v>ESS-filtered raw NPE-MCMC interval [0, q95]</x:v>
      </x:c>
      <x:c r="H519" t="n">
        <x:v>0</x:v>
      </x:c>
      <x:c r="I519" t="n">
        <x:v>0.21258894362789607</x:v>
      </x:c>
      <x:c r="J519" t="n">
        <x:v>31</x:v>
      </x:c>
      <x:c r="K519" t="n">
        <x:v>6</x:v>
      </x:c>
      <x:c r="L519" t="n">
        <x:v>22</x:v>
      </x:c>
      <x:c r="M519" t="n">
        <x:v>60</x:v>
      </x:c>
      <x:c r="N519" t="n">
        <x:v>119</x:v>
      </x:c>
      <x:c r="O519" t="n">
        <x:v>0.41509433962264153</x:v>
      </x:c>
      <x:c r="P519" t="n">
        <x:v>0.09090909090909091</x:v>
      </x:c>
      <x:c r="Q519" t="n">
        <x:v>0.6888888888888889</x:v>
      </x:c>
      <x:c r="R519" t="n">
        <x:v>0.8653516295025729</x:v>
      </x:c>
    </x:row>
    <x:row r="520">
      <x:c r="A520" t="str">
        <x:v>Diffusion</x:v>
      </x:c>
      <x:c r="B520" t="str">
        <x:v>simulated</x:v>
      </x:c>
      <x:c r="C520" t="str">
        <x:v>density</x:v>
      </x:c>
      <x:c r="D520" t="str">
        <x:v>m2</x:v>
      </x:c>
      <x:c r="E520" t="str">
        <x:v>S=2D</x:v>
      </x:c>
      <x:c r="F520" t="str">
        <x:v>posterior_mmd</x:v>
      </x:c>
      <x:c r="G520" t="str">
        <x:v>ESS-filtered raw NPE-MCMC interval [0, q95]</x:v>
      </x:c>
      <x:c r="H520" t="n">
        <x:v>0</x:v>
      </x:c>
      <x:c r="I520" t="n">
        <x:v>0.21258894362789607</x:v>
      </x:c>
      <x:c r="J520" t="n">
        <x:v>47</x:v>
      </x:c>
      <x:c r="K520" t="n">
        <x:v>34</x:v>
      </x:c>
      <x:c r="L520" t="n">
        <x:v>6</x:v>
      </x:c>
      <x:c r="M520" t="n">
        <x:v>32</x:v>
      </x:c>
      <x:c r="N520" t="n">
        <x:v>119</x:v>
      </x:c>
      <x:c r="O520" t="n">
        <x:v>0.11320754716981132</x:v>
      </x:c>
      <x:c r="P520" t="n">
        <x:v>0.5151515151515151</x:v>
      </x:c>
      <x:c r="Q520" t="n">
        <x:v>0.7014925373134329</x:v>
      </x:c>
      <x:c r="R520" t="n">
        <x:v>0.7793024585477416</x:v>
      </x:c>
    </x:row>
    <x:row r="521">
      <x:c r="A521" t="str">
        <x:v>Diffusion</x:v>
      </x:c>
      <x:c r="B521" t="str">
        <x:v>simulated</x:v>
      </x:c>
      <x:c r="C521" t="str">
        <x:v>mmd</x:v>
      </x:c>
      <x:c r="D521" t="str">
        <x:v>m2</x:v>
      </x:c>
      <x:c r="E521" t="str">
        <x:v>S=2D</x:v>
      </x:c>
      <x:c r="F521" t="str">
        <x:v>posterior_mmd</x:v>
      </x:c>
      <x:c r="G521" t="str">
        <x:v>ESS-filtered raw NPE-MCMC interval [0, q95]</x:v>
      </x:c>
      <x:c r="H521" t="n">
        <x:v>0</x:v>
      </x:c>
      <x:c r="I521" t="n">
        <x:v>0.21258894362789607</x:v>
      </x:c>
      <x:c r="J521" t="n">
        <x:v>28</x:v>
      </x:c>
      <x:c r="K521" t="n">
        <x:v>3</x:v>
      </x:c>
      <x:c r="L521" t="n">
        <x:v>25</x:v>
      </x:c>
      <x:c r="M521" t="n">
        <x:v>63</x:v>
      </x:c>
      <x:c r="N521" t="n">
        <x:v>119</x:v>
      </x:c>
      <x:c r="O521" t="n">
        <x:v>0.4716981132075472</x:v>
      </x:c>
      <x:c r="P521" t="n">
        <x:v>0.045454545454545456</x:v>
      </x:c>
      <x:c r="Q521" t="n">
        <x:v>0.6666666666666666</x:v>
      </x:c>
      <x:c r="R521" t="n">
        <x:v>0.8522012578616353</x:v>
      </x:c>
    </x:row>
    <x:row r="522">
      <x:c r="A522" t="str">
        <x:v>Diffusion</x:v>
      </x:c>
      <x:c r="B522" t="str">
        <x:v>simulated</x:v>
      </x:c>
      <x:c r="C522" t="str">
        <x:v>l2</x:v>
      </x:c>
      <x:c r="D522" t="str">
        <x:v>m2</x:v>
      </x:c>
      <x:c r="E522" t="str">
        <x:v>S=4D</x:v>
      </x:c>
      <x:c r="F522" t="str">
        <x:v>posterior_mmd</x:v>
      </x:c>
      <x:c r="G522" t="str">
        <x:v>ESS-filtered raw NPE-MCMC interval [0, q95]</x:v>
      </x:c>
      <x:c r="H522" t="n">
        <x:v>0</x:v>
      </x:c>
      <x:c r="I522" t="n">
        <x:v>0.21910810231067512</x:v>
      </x:c>
      <x:c r="J522" t="n">
        <x:v>38</x:v>
      </x:c>
      <x:c r="K522" t="n">
        <x:v>7</x:v>
      </x:c>
      <x:c r="L522" t="n">
        <x:v>6</x:v>
      </x:c>
      <x:c r="M522" t="n">
        <x:v>68</x:v>
      </x:c>
      <x:c r="N522" t="n">
        <x:v>119</x:v>
      </x:c>
      <x:c r="O522" t="n">
        <x:v>0.13636363636363635</x:v>
      </x:c>
      <x:c r="P522" t="n">
        <x:v>0.09333333333333334</x:v>
      </x:c>
      <x:c r="Q522" t="n">
        <x:v>0.8539325842696629</x:v>
      </x:c>
      <x:c r="R522" t="n">
        <x:v>0.9590909090909091</x:v>
      </x:c>
    </x:row>
    <x:row r="523">
      <x:c r="A523" t="str">
        <x:v>Diffusion</x:v>
      </x:c>
      <x:c r="B523" t="str">
        <x:v>simulated</x:v>
      </x:c>
      <x:c r="C523" t="str">
        <x:v>linf</x:v>
      </x:c>
      <x:c r="D523" t="str">
        <x:v>m2</x:v>
      </x:c>
      <x:c r="E523" t="str">
        <x:v>S=4D</x:v>
      </x:c>
      <x:c r="F523" t="str">
        <x:v>posterior_mmd</x:v>
      </x:c>
      <x:c r="G523" t="str">
        <x:v>ESS-filtered raw NPE-MCMC interval [0, q95]</x:v>
      </x:c>
      <x:c r="H523" t="n">
        <x:v>0</x:v>
      </x:c>
      <x:c r="I523" t="n">
        <x:v>0.21910810231067512</x:v>
      </x:c>
      <x:c r="J523" t="n">
        <x:v>38</x:v>
      </x:c>
      <x:c r="K523" t="n">
        <x:v>8</x:v>
      </x:c>
      <x:c r="L523" t="n">
        <x:v>6</x:v>
      </x:c>
      <x:c r="M523" t="n">
        <x:v>67</x:v>
      </x:c>
      <x:c r="N523" t="n">
        <x:v>119</x:v>
      </x:c>
      <x:c r="O523" t="n">
        <x:v>0.13636363636363635</x:v>
      </x:c>
      <x:c r="P523" t="n">
        <x:v>0.10666666666666667</x:v>
      </x:c>
      <x:c r="Q523" t="n">
        <x:v>0.8444444444444444</x:v>
      </x:c>
      <x:c r="R523" t="n">
        <x:v>0.9478787878787879</x:v>
      </x:c>
    </x:row>
    <x:row r="524">
      <x:c r="A524" t="str">
        <x:v>Diffusion</x:v>
      </x:c>
      <x:c r="B524" t="str">
        <x:v>simulated</x:v>
      </x:c>
      <x:c r="C524" t="str">
        <x:v>density</x:v>
      </x:c>
      <x:c r="D524" t="str">
        <x:v>m2</x:v>
      </x:c>
      <x:c r="E524" t="str">
        <x:v>S=4D</x:v>
      </x:c>
      <x:c r="F524" t="str">
        <x:v>posterior_mmd</x:v>
      </x:c>
      <x:c r="G524" t="str">
        <x:v>ESS-filtered raw NPE-MCMC interval [0, q95]</x:v>
      </x:c>
      <x:c r="H524" t="n">
        <x:v>0</x:v>
      </x:c>
      <x:c r="I524" t="n">
        <x:v>0.21910810231067512</x:v>
      </x:c>
      <x:c r="J524" t="n">
        <x:v>41</x:v>
      </x:c>
      <x:c r="K524" t="n">
        <x:v>34</x:v>
      </x:c>
      <x:c r="L524" t="n">
        <x:v>3</x:v>
      </x:c>
      <x:c r="M524" t="n">
        <x:v>41</x:v>
      </x:c>
      <x:c r="N524" t="n">
        <x:v>119</x:v>
      </x:c>
      <x:c r="O524" t="n">
        <x:v>0.06818181818181818</x:v>
      </x:c>
      <x:c r="P524" t="n">
        <x:v>0.4533333333333333</x:v>
      </x:c>
      <x:c r="Q524" t="n">
        <x:v>0.6890756302521008</x:v>
      </x:c>
      <x:c r="R524" t="n">
        <x:v>0.8654545454545455</x:v>
      </x:c>
    </x:row>
    <x:row r="525">
      <x:c r="A525" t="str">
        <x:v>Diffusion</x:v>
      </x:c>
      <x:c r="B525" t="str">
        <x:v>simulated</x:v>
      </x:c>
      <x:c r="C525" t="str">
        <x:v>mmd</x:v>
      </x:c>
      <x:c r="D525" t="str">
        <x:v>m2</x:v>
      </x:c>
      <x:c r="E525" t="str">
        <x:v>S=4D</x:v>
      </x:c>
      <x:c r="F525" t="str">
        <x:v>posterior_mmd</x:v>
      </x:c>
      <x:c r="G525" t="str">
        <x:v>ESS-filtered raw NPE-MCMC interval [0, q95]</x:v>
      </x:c>
      <x:c r="H525" t="n">
        <x:v>0</x:v>
      </x:c>
      <x:c r="I525" t="n">
        <x:v>0.21910810231067512</x:v>
      </x:c>
      <x:c r="J525" t="n">
        <x:v>32</x:v>
      </x:c>
      <x:c r="K525" t="n">
        <x:v>2</x:v>
      </x:c>
      <x:c r="L525" t="n">
        <x:v>12</x:v>
      </x:c>
      <x:c r="M525" t="n">
        <x:v>73</x:v>
      </x:c>
      <x:c r="N525" t="n">
        <x:v>119</x:v>
      </x:c>
      <x:c r="O525" t="n">
        <x:v>0.2727272727272727</x:v>
      </x:c>
      <x:c r="P525" t="n">
        <x:v>0.02666666666666667</x:v>
      </x:c>
      <x:c r="Q525" t="n">
        <x:v>0.8205128205128205</x:v>
      </x:c>
      <x:c r="R525" t="n">
        <x:v>0.9403030303030303</x:v>
      </x:c>
    </x:row>
    <x:row r="526">
      <x:c r="A526" t="str">
        <x:v>Diffusion</x:v>
      </x:c>
      <x:c r="B526" t="str">
        <x:v>simulated</x:v>
      </x:c>
      <x:c r="C526" t="str">
        <x:v>l2</x:v>
      </x:c>
      <x:c r="D526" t="str">
        <x:v>m2</x:v>
      </x:c>
      <x:c r="E526" t="str">
        <x:v>S=6D</x:v>
      </x:c>
      <x:c r="F526" t="str">
        <x:v>posterior_mmd</x:v>
      </x:c>
      <x:c r="G526" t="str">
        <x:v>ESS-filtered raw NPE-MCMC interval [0, q95]</x:v>
      </x:c>
      <x:c r="H526" t="n">
        <x:v>0</x:v>
      </x:c>
      <x:c r="I526" t="n">
        <x:v>0.20673585905516229</x:v>
      </x:c>
      <x:c r="J526" t="n">
        <x:v>46</x:v>
      </x:c>
      <x:c r="K526" t="n">
        <x:v>5</x:v>
      </x:c>
      <x:c r="L526" t="n">
        <x:v>11</x:v>
      </x:c>
      <x:c r="M526" t="n">
        <x:v>57</x:v>
      </x:c>
      <x:c r="N526" t="n">
        <x:v>119</x:v>
      </x:c>
      <x:c r="O526" t="n">
        <x:v>0.19298245614035087</x:v>
      </x:c>
      <x:c r="P526" t="n">
        <x:v>0.08064516129032258</x:v>
      </x:c>
      <x:c r="Q526" t="n">
        <x:v>0.8518518518518519</x:v>
      </x:c>
      <x:c r="R526" t="n">
        <x:v>0.922184493491794</x:v>
      </x:c>
    </x:row>
    <x:row r="527">
      <x:c r="A527" t="str">
        <x:v>Diffusion</x:v>
      </x:c>
      <x:c r="B527" t="str">
        <x:v>simulated</x:v>
      </x:c>
      <x:c r="C527" t="str">
        <x:v>linf</x:v>
      </x:c>
      <x:c r="D527" t="str">
        <x:v>m2</x:v>
      </x:c>
      <x:c r="E527" t="str">
        <x:v>S=6D</x:v>
      </x:c>
      <x:c r="F527" t="str">
        <x:v>posterior_mmd</x:v>
      </x:c>
      <x:c r="G527" t="str">
        <x:v>ESS-filtered raw NPE-MCMC interval [0, q95]</x:v>
      </x:c>
      <x:c r="H527" t="n">
        <x:v>0</x:v>
      </x:c>
      <x:c r="I527" t="n">
        <x:v>0.20673585905516229</x:v>
      </x:c>
      <x:c r="J527" t="n">
        <x:v>45</x:v>
      </x:c>
      <x:c r="K527" t="n">
        <x:v>5</x:v>
      </x:c>
      <x:c r="L527" t="n">
        <x:v>12</x:v>
      </x:c>
      <x:c r="M527" t="n">
        <x:v>57</x:v>
      </x:c>
      <x:c r="N527" t="n">
        <x:v>119</x:v>
      </x:c>
      <x:c r="O527" t="n">
        <x:v>0.21052631578947367</x:v>
      </x:c>
      <x:c r="P527" t="n">
        <x:v>0.08064516129032258</x:v>
      </x:c>
      <x:c r="Q527" t="n">
        <x:v>0.8411214953271028</x:v>
      </x:c>
      <x:c r="R527" t="n">
        <x:v>0.9108658743633277</x:v>
      </x:c>
    </x:row>
    <x:row r="528">
      <x:c r="A528" t="str">
        <x:v>Diffusion</x:v>
      </x:c>
      <x:c r="B528" t="str">
        <x:v>simulated</x:v>
      </x:c>
      <x:c r="C528" t="str">
        <x:v>density</x:v>
      </x:c>
      <x:c r="D528" t="str">
        <x:v>m2</x:v>
      </x:c>
      <x:c r="E528" t="str">
        <x:v>S=6D</x:v>
      </x:c>
      <x:c r="F528" t="str">
        <x:v>posterior_mmd</x:v>
      </x:c>
      <x:c r="G528" t="str">
        <x:v>ESS-filtered raw NPE-MCMC interval [0, q95]</x:v>
      </x:c>
      <x:c r="H528" t="n">
        <x:v>0</x:v>
      </x:c>
      <x:c r="I528" t="n">
        <x:v>0.20673585905516229</x:v>
      </x:c>
      <x:c r="J528" t="n">
        <x:v>53</x:v>
      </x:c>
      <x:c r="K528" t="n">
        <x:v>26</x:v>
      </x:c>
      <x:c r="L528" t="n">
        <x:v>4</x:v>
      </x:c>
      <x:c r="M528" t="n">
        <x:v>36</x:v>
      </x:c>
      <x:c r="N528" t="n">
        <x:v>119</x:v>
      </x:c>
      <x:c r="O528" t="n">
        <x:v>0.07017543859649122</x:v>
      </x:c>
      <x:c r="P528" t="n">
        <x:v>0.41935483870967744</x:v>
      </x:c>
      <x:c r="Q528" t="n">
        <x:v>0.7794117647058824</x:v>
      </x:c>
      <x:c r="R528" t="n">
        <x:v>0.8641765704584041</x:v>
      </x:c>
    </x:row>
    <x:row r="529">
      <x:c r="A529" t="str">
        <x:v>Diffusion</x:v>
      </x:c>
      <x:c r="B529" t="str">
        <x:v>simulated</x:v>
      </x:c>
      <x:c r="C529" t="str">
        <x:v>mmd</x:v>
      </x:c>
      <x:c r="D529" t="str">
        <x:v>m2</x:v>
      </x:c>
      <x:c r="E529" t="str">
        <x:v>S=6D</x:v>
      </x:c>
      <x:c r="F529" t="str">
        <x:v>posterior_mmd</x:v>
      </x:c>
      <x:c r="G529" t="str">
        <x:v>ESS-filtered raw NPE-MCMC interval [0, q95]</x:v>
      </x:c>
      <x:c r="H529" t="n">
        <x:v>0</x:v>
      </x:c>
      <x:c r="I529" t="n">
        <x:v>0.20673585905516229</x:v>
      </x:c>
      <x:c r="J529" t="n">
        <x:v>38</x:v>
      </x:c>
      <x:c r="K529" t="n">
        <x:v>2</x:v>
      </x:c>
      <x:c r="L529" t="n">
        <x:v>19</x:v>
      </x:c>
      <x:c r="M529" t="n">
        <x:v>60</x:v>
      </x:c>
      <x:c r="N529" t="n">
        <x:v>119</x:v>
      </x:c>
      <x:c r="O529" t="n">
        <x:v>0.3333333333333333</x:v>
      </x:c>
      <x:c r="P529" t="n">
        <x:v>0.03225806451612903</x:v>
      </x:c>
      <x:c r="Q529" t="n">
        <x:v>0.7835051546391752</x:v>
      </x:c>
      <x:c r="R529" t="n">
        <x:v>0.8769100169779287</x:v>
      </x:c>
    </x:row>
  </x:sheetData>
  <x:pageMargins left="0.7" right="0.7" top="0.75" bottom="0.75" header="0.3" footer="0.3"/>
  <x:tableParts count="1">
    <x:tablePart xmlns:r="http://schemas.openxmlformats.org/officeDocument/2006/relationships" r:id="R2e514bd5788a42a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178" t="str">
        <x:v>Without MMD loss (rerun1) — Simulated data</x:v>
      </x:c>
      <x:c r="B1" s="178"/>
      <x:c r="C1" s="178"/>
      <x:c r="D1" s="178"/>
      <x:c r="E1" s="178"/>
      <x:c r="F1" s="178"/>
      <x:c r="G1"/>
      <x:c r="H1"/>
      <x:c r="I1"/>
      <x:c r="J1"/>
    </x:row>
    <x:row r="2" ht="24" customHeight="1">
      <x:c r="A2" s="182" t="str">
        <x:v>All classifications use raw, network-specific well-specified reference thresholds. FNR=FN/(FN+TP); FPR=FP/(FP+TN); F1=2TP/(2TP+FP+FN). AUC=ROC-AUC(1[raw error &lt; L or raw error &gt; U], rho). N/A means AUC is undefined because only one error class is present.</x:v>
      </x:c>
      <x:c r="B2" s="182"/>
      <x:c r="C2" s="182"/>
      <x:c r="D2" s="182"/>
      <x:c r="E2" s="182"/>
      <x:c r="F2" s="182"/>
      <x:c r="G2"/>
      <x:c r="H2"/>
      <x:c r="I2"/>
      <x:c r="J2"/>
    </x:row>
    <x:row r="3" ht="24" customHeight="1">
      <x:c r="A3" s="182"/>
      <x:c r="B3" s="182"/>
      <x:c r="C3" s="182"/>
      <x:c r="D3" s="182"/>
      <x:c r="E3" s="182"/>
      <x:c r="F3" s="182"/>
    </x:row>
    <x:row r="4" ht="26" customHeight="1">
      <x:c r="A4" s="204"/>
      <x:c r="B4" s="204"/>
      <x:c r="C4" s="204"/>
      <x:c r="D4" s="204"/>
      <x:c r="E4" s="204"/>
      <x:c r="F4" s="204"/>
      <x:c r="G4"/>
      <x:c r="H4"/>
      <x:c r="I4"/>
      <x:c r="J4"/>
    </x:row>
    <x:row r="5" ht="22" customHeight="1">
      <x:c r="A5" s="187" t="str">
        <x:v>Signed log10 ML error — Assumed M1</x:v>
      </x:c>
      <x:c r="B5" s="187"/>
      <x:c r="C5" s="187"/>
      <x:c r="D5" s="187"/>
      <x:c r="E5" s="187"/>
      <x:c r="F5" s="187"/>
      <x:c r="G5"/>
      <x:c r="H5"/>
      <x:c r="I5"/>
      <x:c r="J5"/>
    </x:row>
    <x:row r="6" ht="22" customHeight="1">
      <x:c r="A6" s="205" t="str">
        <x:v>ESS-filtered raw, network-specific NPE-MCMC central 90% interval [q5, q95]</x:v>
      </x:c>
      <x:c r="B6" s="205"/>
      <x:c r="C6" s="205"/>
      <x:c r="D6" s="205"/>
      <x:c r="E6" s="205"/>
      <x:c r="F6" s="205"/>
      <x:c r="G6"/>
      <x:c r="H6"/>
      <x:c r="I6"/>
      <x:c r="J6"/>
    </x:row>
    <x:row r="7" ht="20" customHeight="1">
      <x:c r="A7" s="206" t="str">
        <x:v>Summary</x:v>
      </x:c>
      <x:c r="B7" s="206" t="str">
        <x:v>Statistic</x:v>
      </x:c>
      <x:c r="C7" s="206" t="str">
        <x:v>L2</x:v>
      </x:c>
      <x:c r="D7" s="206" t="str">
        <x:v>L∞</x:v>
      </x:c>
      <x:c r="E7" s="206" t="str">
        <x:v>Density</x:v>
      </x:c>
      <x:c r="F7" s="206" t="str">
        <x:v>MMD</x:v>
      </x:c>
      <x:c r="G7"/>
      <x:c r="H7"/>
      <x:c r="I7"/>
      <x:c r="J7"/>
    </x:row>
    <x:row r="8" ht="20" customHeight="1">
      <x:c r="A8" s="198" t="str">
        <x:v>S=D</x:v>
      </x:c>
      <x:c r="B8" s="198" t="str">
        <x:v>FNR</x:v>
      </x:c>
      <x:c r="C8" s="267" t="n">
        <x:f>'Source rates'!O98</x:f>
        <x:v>0.41935483870967744</x:v>
      </x:c>
      <x:c r="D8" s="267" t="n">
        <x:f>'Source rates'!O99</x:f>
        <x:v>0.43548387096774194</x:v>
      </x:c>
      <x:c r="E8" s="200" t="n">
        <x:f>'Source rates'!O100</x:f>
        <x:v>0.24193548387096775</x:v>
      </x:c>
      <x:c r="F8" s="267" t="n">
        <x:f>'Source rates'!O101</x:f>
        <x:v>0.6935483870967742</x:v>
      </x:c>
      <x:c r="G8"/>
      <x:c r="H8"/>
      <x:c r="I8"/>
      <x:c r="J8"/>
    </x:row>
    <x:row r="9" ht="20" customHeight="1">
      <x:c r="A9" s="198" t="str"/>
      <x:c r="B9" s="198" t="str">
        <x:v>FPR</x:v>
      </x:c>
      <x:c r="C9" s="267" t="n">
        <x:f>'Source rates'!P98</x:f>
        <x:v>0.14035087719298245</x:v>
      </x:c>
      <x:c r="D9" s="267" t="n">
        <x:f>'Source rates'!P99</x:f>
        <x:v>0.14035087719298245</x:v>
      </x:c>
      <x:c r="E9" s="267" t="n">
        <x:f>'Source rates'!P100</x:f>
        <x:v>0.21052631578947367</x:v>
      </x:c>
      <x:c r="F9" s="200" t="n">
        <x:f>'Source rates'!P101</x:f>
        <x:v>0.05263157894736842</x:v>
      </x:c>
      <x:c r="G9"/>
      <x:c r="H9"/>
      <x:c r="I9"/>
      <x:c r="J9"/>
    </x:row>
    <x:row r="10" ht="20" customHeight="1">
      <x:c r="A10" s="198" t="str"/>
      <x:c r="B10" s="198" t="str">
        <x:v>F1</x:v>
      </x:c>
      <x:c r="C10" s="267" t="n">
        <x:f>'Source rates'!Q98</x:f>
        <x:v>0.6792452830188679</x:v>
      </x:c>
      <x:c r="D10" s="267" t="n">
        <x:f>'Source rates'!Q99</x:f>
        <x:v>0.6666666666666666</x:v>
      </x:c>
      <x:c r="E10" s="200" t="n">
        <x:f>'Source rates'!Q100</x:f>
        <x:v>0.7768595041322314</x:v>
      </x:c>
      <x:c r="F10" s="267" t="n">
        <x:f>'Source rates'!Q101</x:f>
        <x:v>0.4523809523809524</x:v>
      </x:c>
      <x:c r="G10"/>
      <x:c r="H10"/>
      <x:c r="I10"/>
      <x:c r="J10"/>
    </x:row>
    <x:row r="11" ht="20" customHeight="1">
      <x:c r="A11" s="198" t="str"/>
      <x:c r="B11" s="198" t="str">
        <x:v>AUC</x:v>
      </x:c>
      <x:c r="C11" s="200" t="n">
        <x:f>'Source rates'!R98</x:f>
        <x:v>0.8259762308998303</x:v>
      </x:c>
      <x:c r="D11" s="267" t="n">
        <x:f>'Source rates'!R99</x:f>
        <x:v>0.808715336728919</x:v>
      </x:c>
      <x:c r="E11" s="267" t="n">
        <x:f>'Source rates'!R100</x:f>
        <x:v>0.8180531975099038</x:v>
      </x:c>
      <x:c r="F11" s="267" t="n">
        <x:f>'Source rates'!R101</x:f>
        <x:v>0.7883418222976797</x:v>
      </x:c>
      <x:c r="G11"/>
      <x:c r="H11"/>
      <x:c r="I11"/>
      <x:c r="J11"/>
    </x:row>
    <x:row r="12" ht="20" customHeight="1">
      <x:c r="A12" s="201" t="str">
        <x:v>S=2D</x:v>
      </x:c>
      <x:c r="B12" s="201" t="str">
        <x:v>FNR</x:v>
      </x:c>
      <x:c r="C12" s="268" t="n">
        <x:f>'Source rates'!O102</x:f>
        <x:v>0.2558139534883721</x:v>
      </x:c>
      <x:c r="D12" s="268" t="n">
        <x:f>'Source rates'!O103</x:f>
        <x:v>0.2558139534883721</x:v>
      </x:c>
      <x:c r="E12" s="203" t="n">
        <x:f>'Source rates'!O104</x:f>
        <x:v>0.06976744186046512</x:v>
      </x:c>
      <x:c r="F12" s="268" t="n">
        <x:f>'Source rates'!O105</x:f>
        <x:v>0.3488372093023256</x:v>
      </x:c>
      <x:c r="G12"/>
      <x:c r="H12"/>
      <x:c r="I12"/>
      <x:c r="J12"/>
    </x:row>
    <x:row r="13" ht="20" customHeight="1">
      <x:c r="A13" s="201" t="str"/>
      <x:c r="B13" s="201" t="str">
        <x:v>FPR</x:v>
      </x:c>
      <x:c r="C13" s="268" t="n">
        <x:f>'Source rates'!P102</x:f>
        <x:v>0.21052631578947367</x:v>
      </x:c>
      <x:c r="D13" s="268" t="n">
        <x:f>'Source rates'!P103</x:f>
        <x:v>0.2236842105263158</x:v>
      </x:c>
      <x:c r="E13" s="268" t="n">
        <x:f>'Source rates'!P104</x:f>
        <x:v>0.5131578947368421</x:v>
      </x:c>
      <x:c r="F13" s="203" t="n">
        <x:f>'Source rates'!P105</x:f>
        <x:v>0.11842105263157894</x:v>
      </x:c>
      <x:c r="G13"/>
      <x:c r="H13"/>
      <x:c r="I13"/>
      <x:c r="J13"/>
    </x:row>
    <x:row r="14" ht="20" customHeight="1">
      <x:c r="A14" s="201" t="str"/>
      <x:c r="B14" s="201" t="str">
        <x:v>F1</x:v>
      </x:c>
      <x:c r="C14" s="203" t="n">
        <x:f>'Source rates'!Q102</x:f>
        <x:v>0.7032967032967034</x:v>
      </x:c>
      <x:c r="D14" s="268" t="n">
        <x:f>'Source rates'!Q103</x:f>
        <x:v>0.6956521739130435</x:v>
      </x:c>
      <x:c r="E14" s="268" t="n">
        <x:f>'Source rates'!Q104</x:f>
        <x:v>0.6557377049180327</x:v>
      </x:c>
      <x:c r="F14" s="268" t="n">
        <x:f>'Source rates'!Q105</x:f>
        <x:v>0.7</x:v>
      </x:c>
      <x:c r="G14"/>
      <x:c r="H14"/>
      <x:c r="I14"/>
      <x:c r="J14"/>
    </x:row>
    <x:row r="15" ht="20" customHeight="1">
      <x:c r="A15" s="201" t="str"/>
      <x:c r="B15" s="201" t="str">
        <x:v>AUC</x:v>
      </x:c>
      <x:c r="C15" s="203" t="n">
        <x:f>'Source rates'!R102</x:f>
        <x:v>0.8638310893512852</x:v>
      </x:c>
      <x:c r="D15" s="268" t="n">
        <x:f>'Source rates'!R103</x:f>
        <x:v>0.8653610771113831</x:v>
      </x:c>
      <x:c r="E15" s="268" t="n">
        <x:f>'Source rates'!R104</x:f>
        <x:v>0.8424112607099143</x:v>
      </x:c>
      <x:c r="F15" s="268" t="n">
        <x:f>'Source rates'!R105</x:f>
        <x:v>0.8424112607099143</x:v>
      </x:c>
      <x:c r="G15"/>
      <x:c r="H15"/>
      <x:c r="I15"/>
      <x:c r="J15"/>
    </x:row>
    <x:row r="16" ht="20" customHeight="1">
      <x:c r="A16" s="198" t="str">
        <x:v>S=4D</x:v>
      </x:c>
      <x:c r="B16" s="198" t="str">
        <x:v>FNR</x:v>
      </x:c>
      <x:c r="C16" s="200" t="n">
        <x:f>'Source rates'!O106</x:f>
        <x:v>0.1509433962264151</x:v>
      </x:c>
      <x:c r="D16" s="267" t="n">
        <x:f>'Source rates'!O107</x:f>
        <x:v>0.22641509433962265</x:v>
      </x:c>
      <x:c r="E16" s="200" t="n">
        <x:f>'Source rates'!O108</x:f>
        <x:v>0.05660377358490566</x:v>
      </x:c>
      <x:c r="F16" s="267" t="n">
        <x:f>'Source rates'!O109</x:f>
        <x:v>0.6037735849056604</x:v>
      </x:c>
      <x:c r="G16"/>
      <x:c r="H16"/>
      <x:c r="I16"/>
      <x:c r="J16"/>
    </x:row>
    <x:row r="17" ht="20" customHeight="1">
      <x:c r="A17" s="198" t="str"/>
      <x:c r="B17" s="198" t="str">
        <x:v>FPR</x:v>
      </x:c>
      <x:c r="C17" s="267" t="n">
        <x:f>'Source rates'!P106</x:f>
        <x:v>0.30303030303030304</x:v>
      </x:c>
      <x:c r="D17" s="267" t="n">
        <x:f>'Source rates'!P107</x:f>
        <x:v>0.30303030303030304</x:v>
      </x:c>
      <x:c r="E17" s="267" t="n">
        <x:f>'Source rates'!P108</x:f>
        <x:v>0.45454545454545453</x:v>
      </x:c>
      <x:c r="F17" s="200" t="n">
        <x:f>'Source rates'!P109</x:f>
        <x:v>0.07575757575757576</x:v>
      </x:c>
      <x:c r="G17"/>
      <x:c r="H17"/>
      <x:c r="I17"/>
      <x:c r="J17"/>
    </x:row>
    <x:row r="18" ht="20" customHeight="1">
      <x:c r="A18" s="198" t="str"/>
      <x:c r="B18" s="198" t="str">
        <x:v>F1</x:v>
      </x:c>
      <x:c r="C18" s="267" t="n">
        <x:f>'Source rates'!Q106</x:f>
        <x:v>0.7627118644067796</x:v>
      </x:c>
      <x:c r="D18" s="267" t="n">
        <x:f>'Source rates'!Q107</x:f>
        <x:v>0.7192982456140351</x:v>
      </x:c>
      <x:c r="E18" s="267" t="n">
        <x:f>'Source rates'!Q108</x:f>
        <x:v>0.7518796992481203</x:v>
      </x:c>
      <x:c r="F18" s="200" t="n">
        <x:f>'Source rates'!Q109</x:f>
        <x:v>0.5316455696202531</x:v>
      </x:c>
      <x:c r="G18"/>
      <x:c r="H18"/>
      <x:c r="I18"/>
      <x:c r="J18"/>
    </x:row>
    <x:row r="19">
      <x:c r="A19" s="198" t="str"/>
      <x:c r="B19" s="198" t="str">
        <x:v>AUC</x:v>
      </x:c>
      <x:c r="C19" s="267" t="n">
        <x:f>'Source rates'!R106</x:f>
        <x:v>0.8576329331046313</x:v>
      </x:c>
      <x:c r="D19" s="267" t="n">
        <x:f>'Source rates'!R107</x:f>
        <x:v>0.8273299028016009</x:v>
      </x:c>
      <x:c r="E19" s="267" t="n">
        <x:f>'Source rates'!R108</x:f>
        <x:v>0.8121783876500859</x:v>
      </x:c>
      <x:c r="F19" s="200" t="n">
        <x:f>'Source rates'!R109</x:f>
        <x:v>0.7910234419668382</x:v>
      </x:c>
    </x:row>
    <x:row r="20" ht="26" customHeight="1">
      <x:c r="A20" s="201" t="str">
        <x:v>S=6D</x:v>
      </x:c>
      <x:c r="B20" s="201" t="str">
        <x:v>FNR</x:v>
      </x:c>
      <x:c r="C20" s="203" t="n">
        <x:f>'Source rates'!O110</x:f>
        <x:v>0.06521739130434782</x:v>
      </x:c>
      <x:c r="D20" s="203" t="n">
        <x:f>'Source rates'!O111</x:f>
        <x:v>0.10869565217391304</x:v>
      </x:c>
      <x:c r="E20" s="203" t="n">
        <x:f>'Source rates'!O112</x:f>
        <x:v>0</x:v>
      </x:c>
      <x:c r="F20" s="268" t="n">
        <x:f>'Source rates'!O113</x:f>
        <x:v>0.34782608695652173</x:v>
      </x:c>
      <x:c r="G20"/>
      <x:c r="H20"/>
      <x:c r="I20"/>
      <x:c r="J20"/>
    </x:row>
    <x:row r="21" ht="22" customHeight="1">
      <x:c r="A21" s="201" t="str"/>
      <x:c r="B21" s="201" t="str">
        <x:v>FPR</x:v>
      </x:c>
      <x:c r="C21" s="268" t="n">
        <x:f>'Source rates'!P110</x:f>
        <x:v>0.2602739726027397</x:v>
      </x:c>
      <x:c r="D21" s="268" t="n">
        <x:f>'Source rates'!P111</x:f>
        <x:v>0.2876712328767123</x:v>
      </x:c>
      <x:c r="E21" s="268" t="n">
        <x:f>'Source rates'!P112</x:f>
        <x:v>0.4794520547945205</x:v>
      </x:c>
      <x:c r="F21" s="203" t="n">
        <x:f>'Source rates'!P113</x:f>
        <x:v>0.0684931506849315</x:v>
      </x:c>
      <x:c r="G21"/>
      <x:c r="H21"/>
      <x:c r="I21"/>
      <x:c r="J21"/>
    </x:row>
    <x:row r="22" ht="22" customHeight="1">
      <x:c r="A22" s="201" t="str"/>
      <x:c r="B22" s="201" t="str">
        <x:v>F1</x:v>
      </x:c>
      <x:c r="C22" s="203" t="n">
        <x:f>'Source rates'!Q110</x:f>
        <x:v>0.7962962962962963</x:v>
      </x:c>
      <x:c r="D22" s="203" t="n">
        <x:f>'Source rates'!Q111</x:f>
        <x:v>0.7592592592592593</x:v>
      </x:c>
      <x:c r="E22" s="268" t="n">
        <x:f>'Source rates'!Q112</x:f>
        <x:v>0.7244094488188977</x:v>
      </x:c>
      <x:c r="F22" s="268" t="n">
        <x:f>'Source rates'!Q113</x:f>
        <x:v>0.7407407407407407</x:v>
      </x:c>
      <x:c r="G22"/>
      <x:c r="H22"/>
      <x:c r="I22"/>
      <x:c r="J22"/>
    </x:row>
    <x:row r="23" ht="20" customHeight="1">
      <x:c r="A23" s="201" t="str"/>
      <x:c r="B23" s="201" t="str">
        <x:v>AUC</x:v>
      </x:c>
      <x:c r="C23" s="268" t="n">
        <x:f>'Source rates'!R110</x:f>
        <x:v>0.9187016081000596</x:v>
      </x:c>
      <x:c r="D23" s="203" t="n">
        <x:f>'Source rates'!R111</x:f>
        <x:v>0.9187016081000595</x:v>
      </x:c>
      <x:c r="E23" s="268" t="n">
        <x:f>'Source rates'!R112</x:f>
        <x:v>0.870160810005956</x:v>
      </x:c>
      <x:c r="F23" s="268" t="n">
        <x:f>'Source rates'!R113</x:f>
        <x:v>0.8546754020250149</x:v>
      </x:c>
      <x:c r="G23"/>
      <x:c r="H23"/>
      <x:c r="I23"/>
      <x:c r="J23"/>
    </x:row>
    <x:row r="24" ht="20" customHeight="1">
      <x:c r="A24" s="204"/>
      <x:c r="B24" s="204"/>
      <x:c r="C24" s="204"/>
      <x:c r="D24" s="204"/>
      <x:c r="E24" s="204"/>
      <x:c r="F24" s="204"/>
      <x:c r="G24"/>
      <x:c r="H24"/>
      <x:c r="I24"/>
      <x:c r="J24"/>
    </x:row>
    <x:row r="25" ht="22" customHeight="1">
      <x:c r="A25" s="187" t="str">
        <x:v>Signed log10 ML error — Assumed M3</x:v>
      </x:c>
      <x:c r="B25" s="187"/>
      <x:c r="C25" s="187"/>
      <x:c r="D25" s="187"/>
      <x:c r="E25" s="187"/>
      <x:c r="F25" s="187"/>
      <x:c r="G25"/>
      <x:c r="H25"/>
      <x:c r="I25"/>
      <x:c r="J25"/>
    </x:row>
    <x:row r="26" ht="20" customHeight="1">
      <x:c r="A26" s="205" t="str">
        <x:v>ESS-filtered raw, network-specific NPE-MCMC central 90% interval [q5, q95]</x:v>
      </x:c>
      <x:c r="B26" s="205"/>
      <x:c r="C26" s="205"/>
      <x:c r="D26" s="205"/>
      <x:c r="E26" s="205"/>
      <x:c r="F26" s="205"/>
      <x:c r="G26"/>
      <x:c r="H26"/>
      <x:c r="I26"/>
      <x:c r="J26"/>
    </x:row>
    <x:row r="27" ht="20" customHeight="1">
      <x:c r="A27" s="206" t="str">
        <x:v>Summary</x:v>
      </x:c>
      <x:c r="B27" s="206" t="str">
        <x:v>Statistic</x:v>
      </x:c>
      <x:c r="C27" s="206" t="str">
        <x:v>L2</x:v>
      </x:c>
      <x:c r="D27" s="206" t="str">
        <x:v>L∞</x:v>
      </x:c>
      <x:c r="E27" s="206" t="str">
        <x:v>Density</x:v>
      </x:c>
      <x:c r="F27" s="206" t="str">
        <x:v>MMD</x:v>
      </x:c>
      <x:c r="G27"/>
      <x:c r="H27"/>
      <x:c r="I27"/>
      <x:c r="J27"/>
    </x:row>
    <x:row r="28" ht="20" customHeight="1">
      <x:c r="A28" s="198" t="str">
        <x:v>S=D</x:v>
      </x:c>
      <x:c r="B28" s="198" t="str">
        <x:v>FNR</x:v>
      </x:c>
      <x:c r="C28" s="200" t="n">
        <x:f>'Source rates'!O114</x:f>
        <x:v>0.48333333333333334</x:v>
      </x:c>
      <x:c r="D28" s="267" t="n">
        <x:f>'Source rates'!O115</x:f>
        <x:v>0.5</x:v>
      </x:c>
      <x:c r="E28" s="267" t="n">
        <x:f>'Source rates'!O116</x:f>
        <x:v>0.5333333333333333</x:v>
      </x:c>
      <x:c r="F28" s="200" t="n">
        <x:f>'Source rates'!O117</x:f>
        <x:v>0.5666666666666667</x:v>
      </x:c>
      <x:c r="G28"/>
      <x:c r="H28"/>
      <x:c r="I28"/>
      <x:c r="J28"/>
    </x:row>
    <x:row r="29" ht="20" customHeight="1">
      <x:c r="A29" s="198" t="str"/>
      <x:c r="B29" s="198" t="str">
        <x:v>FPR</x:v>
      </x:c>
      <x:c r="C29" s="267" t="n">
        <x:f>'Source rates'!P114</x:f>
        <x:v>0.1864406779661017</x:v>
      </x:c>
      <x:c r="D29" s="200" t="n">
        <x:f>'Source rates'!P115</x:f>
        <x:v>0.15254237288135594</x:v>
      </x:c>
      <x:c r="E29" s="267" t="n">
        <x:f>'Source rates'!P116</x:f>
        <x:v>0.1864406779661017</x:v>
      </x:c>
      <x:c r="F29" s="267" t="n">
        <x:f>'Source rates'!P117</x:f>
        <x:v>0.1016949152542373</x:v>
      </x:c>
      <x:c r="G29"/>
      <x:c r="H29"/>
      <x:c r="I29"/>
      <x:c r="J29"/>
    </x:row>
    <x:row r="30" ht="20" customHeight="1">
      <x:c r="A30" s="198" t="str"/>
      <x:c r="B30" s="198" t="str">
        <x:v>F1</x:v>
      </x:c>
      <x:c r="C30" s="200" t="n">
        <x:f>'Source rates'!Q114</x:f>
        <x:v>0.6078431372549019</x:v>
      </x:c>
      <x:c r="D30" s="267" t="n">
        <x:f>'Source rates'!Q115</x:f>
        <x:v>0.6060606060606061</x:v>
      </x:c>
      <x:c r="E30" s="267" t="n">
        <x:f>'Source rates'!Q116</x:f>
        <x:v>0.5656565656565656</x:v>
      </x:c>
      <x:c r="F30" s="200" t="n">
        <x:f>'Source rates'!Q117</x:f>
        <x:v>0.5652173913043478</x:v>
      </x:c>
      <x:c r="G30"/>
      <x:c r="H30"/>
      <x:c r="I30"/>
      <x:c r="J30"/>
    </x:row>
    <x:row r="31" ht="20" customHeight="1">
      <x:c r="A31" s="198" t="str"/>
      <x:c r="B31" s="198" t="str">
        <x:v>AUC</x:v>
      </x:c>
      <x:c r="C31" s="267" t="n">
        <x:f>'Source rates'!R114</x:f>
        <x:v>0.719774011299435</x:v>
      </x:c>
      <x:c r="D31" s="267" t="n">
        <x:f>'Source rates'!R115</x:f>
        <x:v>0.7203389830508473</x:v>
      </x:c>
      <x:c r="E31" s="267" t="n">
        <x:f>'Source rates'!R116</x:f>
        <x:v>0.7022598870056497</x:v>
      </x:c>
      <x:c r="F31" s="200" t="n">
        <x:f>'Source rates'!R117</x:f>
        <x:v>0.7189265536723164</x:v>
      </x:c>
      <x:c r="G31"/>
      <x:c r="H31"/>
      <x:c r="I31"/>
      <x:c r="J31"/>
    </x:row>
    <x:row r="32" ht="20" customHeight="1">
      <x:c r="A32" s="201" t="str">
        <x:v>S=2D</x:v>
      </x:c>
      <x:c r="B32" s="201" t="str">
        <x:v>FNR</x:v>
      </x:c>
      <x:c r="C32" s="268" t="n">
        <x:f>'Source rates'!O118</x:f>
        <x:v>0.42105263157894735</x:v>
      </x:c>
      <x:c r="D32" s="268" t="n">
        <x:f>'Source rates'!O119</x:f>
        <x:v>0.47368421052631576</x:v>
      </x:c>
      <x:c r="E32" s="268" t="n">
        <x:f>'Source rates'!O120</x:f>
        <x:v>0.2894736842105263</x:v>
      </x:c>
      <x:c r="F32" s="203" t="n">
        <x:f>'Source rates'!O121</x:f>
        <x:v>0.5263157894736842</x:v>
      </x:c>
      <x:c r="G32"/>
      <x:c r="H32"/>
      <x:c r="I32"/>
      <x:c r="J32"/>
    </x:row>
    <x:row r="33" ht="20" customHeight="1">
      <x:c r="A33" s="201" t="str"/>
      <x:c r="B33" s="201" t="str">
        <x:v>FPR</x:v>
      </x:c>
      <x:c r="C33" s="268" t="n">
        <x:f>'Source rates'!P118</x:f>
        <x:v>0.18518518518518517</x:v>
      </x:c>
      <x:c r="D33" s="268" t="n">
        <x:f>'Source rates'!P119</x:f>
        <x:v>0.20987654320987653</x:v>
      </x:c>
      <x:c r="E33" s="203" t="n">
        <x:f>'Source rates'!P120</x:f>
        <x:v>0.2962962962962963</x:v>
      </x:c>
      <x:c r="F33" s="268" t="n">
        <x:f>'Source rates'!P121</x:f>
        <x:v>0.14814814814814814</x:v>
      </x:c>
      <x:c r="G33"/>
      <x:c r="H33"/>
      <x:c r="I33"/>
      <x:c r="J33"/>
    </x:row>
    <x:row r="34" ht="20" customHeight="1">
      <x:c r="A34" s="201" t="str"/>
      <x:c r="B34" s="201" t="str">
        <x:v>F1</x:v>
      </x:c>
      <x:c r="C34" s="268" t="n">
        <x:f>'Source rates'!Q118</x:f>
        <x:v>0.5866666666666667</x:v>
      </x:c>
      <x:c r="D34" s="268" t="n">
        <x:f>'Source rates'!Q119</x:f>
        <x:v>0.5333333333333333</x:v>
      </x:c>
      <x:c r="E34" s="268" t="n">
        <x:f>'Source rates'!Q120</x:f>
        <x:v>0.6067415730337079</x:v>
      </x:c>
      <x:c r="F34" s="203" t="n">
        <x:f>'Source rates'!Q121</x:f>
        <x:v>0.5294117647058824</x:v>
      </x:c>
      <x:c r="G34"/>
      <x:c r="H34"/>
      <x:c r="I34"/>
      <x:c r="J34"/>
    </x:row>
    <x:row r="35">
      <x:c r="A35" s="201" t="str"/>
      <x:c r="B35" s="201" t="str">
        <x:v>AUC</x:v>
      </x:c>
      <x:c r="C35" s="268" t="n">
        <x:f>'Source rates'!R118</x:f>
        <x:v>0.7638076673164392</x:v>
      </x:c>
      <x:c r="D35" s="268" t="n">
        <x:f>'Source rates'!R119</x:f>
        <x:v>0.7683560753736192</x:v>
      </x:c>
      <x:c r="E35" s="268" t="n">
        <x:f>'Source rates'!R120</x:f>
        <x:v>0.7618583495776479</x:v>
      </x:c>
      <x:c r="F35" s="203" t="n">
        <x:f>'Source rates'!R121</x:f>
        <x:v>0.7316439246263807</x:v>
      </x:c>
    </x:row>
    <x:row r="36" ht="26" customHeight="1">
      <x:c r="A36" s="198" t="str">
        <x:v>S=4D</x:v>
      </x:c>
      <x:c r="B36" s="198" t="str">
        <x:v>FNR</x:v>
      </x:c>
      <x:c r="C36" s="200" t="n">
        <x:f>'Source rates'!O122</x:f>
        <x:v>0.3939393939393939</x:v>
      </x:c>
      <x:c r="D36" s="267" t="n">
        <x:f>'Source rates'!O123</x:f>
        <x:v>0.45454545454545453</x:v>
      </x:c>
      <x:c r="E36" s="267" t="n">
        <x:f>'Source rates'!O124</x:f>
        <x:v>0.36363636363636365</x:v>
      </x:c>
      <x:c r="F36" s="200" t="n">
        <x:f>'Source rates'!O125</x:f>
        <x:v>0.5151515151515151</x:v>
      </x:c>
      <x:c r="G36"/>
      <x:c r="H36"/>
      <x:c r="I36"/>
      <x:c r="J36"/>
    </x:row>
    <x:row r="37" ht="22" customHeight="1">
      <x:c r="A37" s="198" t="str"/>
      <x:c r="B37" s="198" t="str">
        <x:v>FPR</x:v>
      </x:c>
      <x:c r="C37" s="267" t="n">
        <x:f>'Source rates'!P122</x:f>
        <x:v>0.2441860465116279</x:v>
      </x:c>
      <x:c r="D37" s="200" t="n">
        <x:f>'Source rates'!P123</x:f>
        <x:v>0.2441860465116279</x:v>
      </x:c>
      <x:c r="E37" s="267" t="n">
        <x:f>'Source rates'!P124</x:f>
        <x:v>0.3488372093023256</x:v>
      </x:c>
      <x:c r="F37" s="267" t="n">
        <x:f>'Source rates'!P125</x:f>
        <x:v>0.22093023255813954</x:v>
      </x:c>
      <x:c r="G37"/>
      <x:c r="H37"/>
      <x:c r="I37"/>
      <x:c r="J37"/>
    </x:row>
    <x:row r="38" ht="22" customHeight="1">
      <x:c r="A38" s="198" t="str"/>
      <x:c r="B38" s="198" t="str">
        <x:v>F1</x:v>
      </x:c>
      <x:c r="C38" s="200" t="n">
        <x:f>'Source rates'!Q122</x:f>
        <x:v>0.5405405405405406</x:v>
      </x:c>
      <x:c r="D38" s="267" t="n">
        <x:f>'Source rates'!Q123</x:f>
        <x:v>0.5</x:v>
      </x:c>
      <x:c r="E38" s="267" t="n">
        <x:f>'Source rates'!Q124</x:f>
        <x:v>0.5</x:v>
      </x:c>
      <x:c r="F38" s="267" t="n">
        <x:f>'Source rates'!Q125</x:f>
        <x:v>0.47058823529411764</x:v>
      </x:c>
      <x:c r="G38"/>
      <x:c r="H38"/>
      <x:c r="I38"/>
      <x:c r="J38"/>
    </x:row>
    <x:row r="39" ht="20" customHeight="1">
      <x:c r="A39" s="198" t="str"/>
      <x:c r="B39" s="198" t="str">
        <x:v>AUC</x:v>
      </x:c>
      <x:c r="C39" s="267" t="n">
        <x:f>'Source rates'!R122</x:f>
        <x:v>0.7071881606765328</x:v>
      </x:c>
      <x:c r="D39" s="200" t="n">
        <x:f>'Source rates'!R123</x:f>
        <x:v>0.7142353770260748</x:v>
      </x:c>
      <x:c r="E39" s="267" t="n">
        <x:f>'Source rates'!R124</x:f>
        <x:v>0.6888653981677237</x:v>
      </x:c>
      <x:c r="F39" s="267" t="n">
        <x:f>'Source rates'!R125</x:f>
        <x:v>0.7107117688513037</x:v>
      </x:c>
      <x:c r="G39"/>
      <x:c r="H39"/>
      <x:c r="I39"/>
      <x:c r="J39"/>
    </x:row>
    <x:row r="40" ht="20" customHeight="1">
      <x:c r="A40" s="201" t="str">
        <x:v>S=6D</x:v>
      </x:c>
      <x:c r="B40" s="201" t="str">
        <x:v>FNR</x:v>
      </x:c>
      <x:c r="C40" s="203" t="n">
        <x:f>'Source rates'!O126</x:f>
        <x:v>0.43137254901960786</x:v>
      </x:c>
      <x:c r="D40" s="203" t="n">
        <x:f>'Source rates'!O127</x:f>
        <x:v>0.45098039215686275</x:v>
      </x:c>
      <x:c r="E40" s="203" t="n">
        <x:f>'Source rates'!O128</x:f>
        <x:v>0.35294117647058826</x:v>
      </x:c>
      <x:c r="F40" s="203" t="n">
        <x:f>'Source rates'!O129</x:f>
        <x:v>0.45098039215686275</x:v>
      </x:c>
      <x:c r="G40"/>
      <x:c r="H40"/>
      <x:c r="I40"/>
      <x:c r="J40"/>
    </x:row>
    <x:row r="41" ht="20" customHeight="1">
      <x:c r="A41" s="201" t="str"/>
      <x:c r="B41" s="201" t="str">
        <x:v>FPR</x:v>
      </x:c>
      <x:c r="C41" s="203" t="n">
        <x:f>'Source rates'!P126</x:f>
        <x:v>0.14705882352941177</x:v>
      </x:c>
      <x:c r="D41" s="203" t="n">
        <x:f>'Source rates'!P127</x:f>
        <x:v>0.10294117647058823</x:v>
      </x:c>
      <x:c r="E41" s="203" t="n">
        <x:f>'Source rates'!P128</x:f>
        <x:v>0.2647058823529412</x:v>
      </x:c>
      <x:c r="F41" s="268" t="n">
        <x:f>'Source rates'!P129</x:f>
        <x:v>0.1323529411764706</x:v>
      </x:c>
      <x:c r="G41"/>
      <x:c r="H41"/>
      <x:c r="I41"/>
      <x:c r="J41"/>
    </x:row>
    <x:row r="42" ht="20" customHeight="1">
      <x:c r="A42" s="201" t="str"/>
      <x:c r="B42" s="201" t="str">
        <x:v>F1</x:v>
      </x:c>
      <x:c r="C42" s="203" t="n">
        <x:f>'Source rates'!Q126</x:f>
        <x:v>0.6444444444444445</x:v>
      </x:c>
      <x:c r="D42" s="203" t="n">
        <x:f>'Source rates'!Q127</x:f>
        <x:v>0.6511627906976745</x:v>
      </x:c>
      <x:c r="E42" s="203" t="n">
        <x:f>'Source rates'!Q128</x:f>
        <x:v>0.6470588235294118</x:v>
      </x:c>
      <x:c r="F42" s="268" t="n">
        <x:f>'Source rates'!Q129</x:f>
        <x:v>0.6363636363636364</x:v>
      </x:c>
      <x:c r="G42"/>
      <x:c r="H42"/>
      <x:c r="I42"/>
      <x:c r="J42"/>
    </x:row>
    <x:row r="43" ht="20" customHeight="1">
      <x:c r="A43" s="201" t="str"/>
      <x:c r="B43" s="201" t="str">
        <x:v>AUC</x:v>
      </x:c>
      <x:c r="C43" s="203" t="n">
        <x:f>'Source rates'!R126</x:f>
        <x:v>0.7508650519031141</x:v>
      </x:c>
      <x:c r="D43" s="268" t="n">
        <x:f>'Source rates'!R127</x:f>
        <x:v>0.7335640138408305</x:v>
      </x:c>
      <x:c r="E43" s="268" t="n">
        <x:f>'Source rates'!R128</x:f>
        <x:v>0.7574971164936563</x:v>
      </x:c>
      <x:c r="F43" s="268" t="n">
        <x:f>'Source rates'!R129</x:f>
        <x:v>0.7246251441753173</x:v>
      </x:c>
      <x:c r="G43"/>
      <x:c r="H43"/>
      <x:c r="I43"/>
      <x:c r="J43"/>
    </x:row>
    <x:row r="44" ht="20" customHeight="1">
      <x:c r="A44" s="204"/>
      <x:c r="B44" s="204"/>
      <x:c r="C44" s="204"/>
      <x:c r="D44" s="204"/>
      <x:c r="E44" s="204"/>
      <x:c r="F44" s="204"/>
      <x:c r="G44"/>
      <x:c r="H44"/>
      <x:c r="I44"/>
      <x:c r="J44"/>
    </x:row>
    <x:row r="45" ht="22" customHeight="1">
      <x:c r="A45" s="187" t="str">
        <x:v>Signed PMP error — Assumed M1</x:v>
      </x:c>
      <x:c r="B45" s="187"/>
      <x:c r="C45" s="187"/>
      <x:c r="D45" s="187"/>
      <x:c r="E45" s="187"/>
      <x:c r="F45" s="187"/>
      <x:c r="G45"/>
      <x:c r="H45"/>
      <x:c r="I45"/>
      <x:c r="J45"/>
    </x:row>
    <x:row r="46" ht="20" customHeight="1">
      <x:c r="A46" s="205" t="str">
        <x:v>ESS-filtered raw, network-specific NPE-MCMC central 90% interval [q5, q95]</x:v>
      </x:c>
      <x:c r="B46" s="205"/>
      <x:c r="C46" s="205"/>
      <x:c r="D46" s="205"/>
      <x:c r="E46" s="205"/>
      <x:c r="F46" s="205"/>
      <x:c r="G46"/>
      <x:c r="H46"/>
      <x:c r="I46"/>
      <x:c r="J46"/>
    </x:row>
    <x:row r="47" ht="20" customHeight="1">
      <x:c r="A47" s="206" t="str">
        <x:v>Summary</x:v>
      </x:c>
      <x:c r="B47" s="206" t="str">
        <x:v>Statistic</x:v>
      </x:c>
      <x:c r="C47" s="206" t="str">
        <x:v>L2</x:v>
      </x:c>
      <x:c r="D47" s="206" t="str">
        <x:v>L∞</x:v>
      </x:c>
      <x:c r="E47" s="206" t="str">
        <x:v>Density</x:v>
      </x:c>
      <x:c r="F47" s="206" t="str">
        <x:v>MMD</x:v>
      </x:c>
      <x:c r="G47"/>
      <x:c r="H47"/>
      <x:c r="I47"/>
      <x:c r="J47"/>
    </x:row>
    <x:row r="48" ht="20" customHeight="1">
      <x:c r="A48" s="198" t="str">
        <x:v>S=D</x:v>
      </x:c>
      <x:c r="B48" s="198" t="str">
        <x:v>FNR</x:v>
      </x:c>
      <x:c r="C48" s="200" t="n">
        <x:f>'Source rates'!O130</x:f>
        <x:v>0.7142857142857143</x:v>
      </x:c>
      <x:c r="D48" s="200" t="n">
        <x:f>'Source rates'!O131</x:f>
        <x:v>0.6428571428571429</x:v>
      </x:c>
      <x:c r="E48" s="267" t="n">
        <x:f>'Source rates'!O132</x:f>
        <x:v>0.8571428571428571</x:v>
      </x:c>
      <x:c r="F48" s="200" t="n">
        <x:f>'Source rates'!O133</x:f>
        <x:v>0.8571428571428571</x:v>
      </x:c>
      <x:c r="G48"/>
      <x:c r="H48"/>
      <x:c r="I48"/>
      <x:c r="J48"/>
    </x:row>
    <x:row r="49" ht="20" customHeight="1">
      <x:c r="A49" s="198" t="str"/>
      <x:c r="B49" s="198" t="str">
        <x:v>FPR</x:v>
      </x:c>
      <x:c r="C49" s="267" t="n">
        <x:f>'Source rates'!P130</x:f>
        <x:v>0.38095238095238093</x:v>
      </x:c>
      <x:c r="D49" s="267" t="n">
        <x:f>'Source rates'!P131</x:f>
        <x:v>0.3619047619047619</x:v>
      </x:c>
      <x:c r="E49" s="267" t="n">
        <x:f>'Source rates'!P132</x:f>
        <x:v>0.5428571428571428</x:v>
      </x:c>
      <x:c r="F49" s="200" t="n">
        <x:f>'Source rates'!P133</x:f>
        <x:v>0.19047619047619047</x:v>
      </x:c>
      <x:c r="G49"/>
      <x:c r="H49"/>
      <x:c r="I49"/>
      <x:c r="J49"/>
    </x:row>
    <x:row r="50" ht="20" customHeight="1">
      <x:c r="A50" s="198" t="str"/>
      <x:c r="B50" s="198" t="str">
        <x:v>F1</x:v>
      </x:c>
      <x:c r="C50" s="267" t="n">
        <x:f>'Source rates'!Q130</x:f>
        <x:v>0.13793103448275862</x:v>
      </x:c>
      <x:c r="D50" s="267" t="n">
        <x:f>'Source rates'!Q131</x:f>
        <x:v>0.17543859649122806</x:v>
      </x:c>
      <x:c r="E50" s="267" t="n">
        <x:f>'Source rates'!Q132</x:f>
        <x:v>0.0547945205479452</x:v>
      </x:c>
      <x:c r="F50" s="200" t="n">
        <x:f>'Source rates'!Q133</x:f>
        <x:v>0.1111111111111111</x:v>
      </x:c>
      <x:c r="G50"/>
      <x:c r="H50"/>
      <x:c r="I50"/>
      <x:c r="J50"/>
    </x:row>
    <x:row r="51">
      <x:c r="A51" s="198" t="str"/>
      <x:c r="B51" s="198" t="str">
        <x:v>AUC</x:v>
      </x:c>
      <x:c r="C51" s="267" t="n">
        <x:f>'Source rates'!R130</x:f>
        <x:v>0.39727891156462586</x:v>
      </x:c>
      <x:c r="D51" s="267" t="n">
        <x:f>'Source rates'!R131</x:f>
        <x:v>0.3571428571428572</x:v>
      </x:c>
      <x:c r="E51" s="267" t="n">
        <x:f>'Source rates'!R132</x:f>
        <x:v>0.3414965986394558</x:v>
      </x:c>
      <x:c r="F51" s="200" t="n">
        <x:f>'Source rates'!R133</x:f>
        <x:v>0.40068027210884355</x:v>
      </x:c>
    </x:row>
    <x:row r="52" ht="26" customHeight="1">
      <x:c r="A52" s="201" t="str">
        <x:v>S=2D</x:v>
      </x:c>
      <x:c r="B52" s="201" t="str">
        <x:v>FNR</x:v>
      </x:c>
      <x:c r="C52" s="203" t="n">
        <x:f>'Source rates'!O134</x:f>
        <x:v>0.5</x:v>
      </x:c>
      <x:c r="D52" s="268" t="n">
        <x:f>'Source rates'!O135</x:f>
        <x:v>0.6</x:v>
      </x:c>
      <x:c r="E52" s="268" t="n">
        <x:f>'Source rates'!O136</x:f>
        <x:v>0.5</x:v>
      </x:c>
      <x:c r="F52" s="203" t="n">
        <x:f>'Source rates'!O137</x:f>
        <x:v>0.5</x:v>
      </x:c>
      <x:c r="G52"/>
      <x:c r="H52"/>
      <x:c r="I52"/>
      <x:c r="J52"/>
    </x:row>
    <x:row r="53" ht="22" customHeight="1">
      <x:c r="A53" s="201" t="str"/>
      <x:c r="B53" s="201" t="str">
        <x:v>FPR</x:v>
      </x:c>
      <x:c r="C53" s="268" t="n">
        <x:f>'Source rates'!P134</x:f>
        <x:v>0.3944954128440367</x:v>
      </x:c>
      <x:c r="D53" s="268" t="n">
        <x:f>'Source rates'!P135</x:f>
        <x:v>0.41284403669724773</x:v>
      </x:c>
      <x:c r="E53" s="268" t="n">
        <x:f>'Source rates'!P136</x:f>
        <x:v>0.6788990825688074</x:v>
      </x:c>
      <x:c r="F53" s="203" t="n">
        <x:f>'Source rates'!P137</x:f>
        <x:v>0.29357798165137616</x:v>
      </x:c>
      <x:c r="G53"/>
      <x:c r="H53"/>
      <x:c r="I53"/>
      <x:c r="J53"/>
    </x:row>
    <x:row r="54" ht="22" customHeight="1">
      <x:c r="A54" s="201" t="str"/>
      <x:c r="B54" s="201" t="str">
        <x:v>F1</x:v>
      </x:c>
      <x:c r="C54" s="268" t="n">
        <x:f>'Source rates'!Q134</x:f>
        <x:v>0.1724137931034483</x:v>
      </x:c>
      <x:c r="D54" s="268" t="n">
        <x:f>'Source rates'!Q135</x:f>
        <x:v>0.13559322033898305</x:v>
      </x:c>
      <x:c r="E54" s="268" t="n">
        <x:f>'Source rates'!Q136</x:f>
        <x:v>0.11235955056179775</x:v>
      </x:c>
      <x:c r="F54" s="203" t="n">
        <x:f>'Source rates'!Q137</x:f>
        <x:v>0.2127659574468085</x:v>
      </x:c>
      <x:c r="G54"/>
      <x:c r="H54"/>
      <x:c r="I54"/>
      <x:c r="J54"/>
    </x:row>
    <x:row r="55" ht="20" customHeight="1">
      <x:c r="A55" s="201" t="str"/>
      <x:c r="B55" s="201" t="str">
        <x:v>AUC</x:v>
      </x:c>
      <x:c r="C55" s="268" t="n">
        <x:f>'Source rates'!R134</x:f>
        <x:v>0.5477064220183486</x:v>
      </x:c>
      <x:c r="D55" s="268" t="n">
        <x:f>'Source rates'!R135</x:f>
        <x:v>0.5486238532110093</x:v>
      </x:c>
      <x:c r="E55" s="268" t="n">
        <x:f>'Source rates'!R136</x:f>
        <x:v>0.39449541284403666</x:v>
      </x:c>
      <x:c r="F55" s="203" t="n">
        <x:f>'Source rates'!R137</x:f>
        <x:v>0.6403669724770642</x:v>
      </x:c>
      <x:c r="G55"/>
      <x:c r="H55"/>
      <x:c r="I55"/>
      <x:c r="J55"/>
    </x:row>
    <x:row r="56" ht="20" customHeight="1">
      <x:c r="A56" s="198" t="str">
        <x:v>S=4D</x:v>
      </x:c>
      <x:c r="B56" s="198" t="str">
        <x:v>FNR</x:v>
      </x:c>
      <x:c r="C56" s="200" t="n">
        <x:f>'Source rates'!O138</x:f>
        <x:v>0.6875</x:v>
      </x:c>
      <x:c r="D56" s="200" t="n">
        <x:f>'Source rates'!O139</x:f>
        <x:v>0.6875</x:v>
      </x:c>
      <x:c r="E56" s="267" t="n">
        <x:f>'Source rates'!O140</x:f>
        <x:v>0.6875</x:v>
      </x:c>
      <x:c r="F56" s="200" t="n">
        <x:f>'Source rates'!O141</x:f>
        <x:v>0.75</x:v>
      </x:c>
      <x:c r="G56"/>
      <x:c r="H56"/>
      <x:c r="I56"/>
      <x:c r="J56"/>
    </x:row>
    <x:row r="57" ht="20" customHeight="1">
      <x:c r="A57" s="198" t="str"/>
      <x:c r="B57" s="198" t="str">
        <x:v>FPR</x:v>
      </x:c>
      <x:c r="C57" s="267" t="n">
        <x:f>'Source rates'!P138</x:f>
        <x:v>0.5825242718446602</x:v>
      </x:c>
      <x:c r="D57" s="267" t="n">
        <x:f>'Source rates'!P139</x:f>
        <x:v>0.5436893203883495</x:v>
      </x:c>
      <x:c r="E57" s="267" t="n">
        <x:f>'Source rates'!P140</x:f>
        <x:v>0.7281553398058253</x:v>
      </x:c>
      <x:c r="F57" s="200" t="n">
        <x:f>'Source rates'!P141</x:f>
        <x:v>0.21359223300970873</x:v>
      </x:c>
      <x:c r="G57"/>
      <x:c r="H57"/>
      <x:c r="I57"/>
      <x:c r="J57"/>
    </x:row>
    <x:row r="58" ht="20" customHeight="1">
      <x:c r="A58" s="198" t="str"/>
      <x:c r="B58" s="198" t="str">
        <x:v>F1</x:v>
      </x:c>
      <x:c r="C58" s="267" t="n">
        <x:f>'Source rates'!Q138</x:f>
        <x:v>0.12345679012345678</x:v>
      </x:c>
      <x:c r="D58" s="267" t="n">
        <x:f>'Source rates'!Q139</x:f>
        <x:v>0.12987012987012986</x:v>
      </x:c>
      <x:c r="E58" s="267" t="n">
        <x:f>'Source rates'!Q140</x:f>
        <x:v>0.10416666666666667</x:v>
      </x:c>
      <x:c r="F58" s="200" t="n">
        <x:f>'Source rates'!Q141</x:f>
        <x:v>0.19047619047619047</x:v>
      </x:c>
      <x:c r="G58"/>
      <x:c r="H58"/>
      <x:c r="I58"/>
      <x:c r="J58"/>
    </x:row>
    <x:row r="59" ht="20" customHeight="1">
      <x:c r="A59" s="198" t="str"/>
      <x:c r="B59" s="198" t="str">
        <x:v>AUC</x:v>
      </x:c>
      <x:c r="C59" s="267" t="n">
        <x:f>'Source rates'!R138</x:f>
        <x:v>0.33555825242718446</x:v>
      </x:c>
      <x:c r="D59" s="267" t="n">
        <x:f>'Source rates'!R139</x:f>
        <x:v>0.32281553398058255</x:v>
      </x:c>
      <x:c r="E59" s="267" t="n">
        <x:f>'Source rates'!R140</x:f>
        <x:v>0.22936893203883496</x:v>
      </x:c>
      <x:c r="F59" s="200" t="n">
        <x:f>'Source rates'!R141</x:f>
        <x:v>0.4635922330097087</x:v>
      </x:c>
      <x:c r="G59"/>
      <x:c r="H59"/>
      <x:c r="I59"/>
      <x:c r="J59"/>
    </x:row>
    <x:row r="60" ht="20" customHeight="1">
      <x:c r="A60" s="201" t="str">
        <x:v>S=6D</x:v>
      </x:c>
      <x:c r="B60" s="201" t="str">
        <x:v>FNR</x:v>
      </x:c>
      <x:c r="C60" s="268" t="n">
        <x:f>'Source rates'!O142</x:f>
        <x:v>0.7272727272727273</x:v>
      </x:c>
      <x:c r="D60" s="268" t="n">
        <x:f>'Source rates'!O143</x:f>
        <x:v>0.8181818181818182</x:v>
      </x:c>
      <x:c r="E60" s="268" t="n">
        <x:f>'Source rates'!O144</x:f>
        <x:v>0.5454545454545454</x:v>
      </x:c>
      <x:c r="F60" s="203" t="n">
        <x:f>'Source rates'!O145</x:f>
        <x:v>0.6363636363636364</x:v>
      </x:c>
      <x:c r="G60"/>
      <x:c r="H60"/>
      <x:c r="I60"/>
      <x:c r="J60"/>
    </x:row>
    <x:row r="61" ht="20" customHeight="1">
      <x:c r="A61" s="201" t="str"/>
      <x:c r="B61" s="201" t="str">
        <x:v>FPR</x:v>
      </x:c>
      <x:c r="C61" s="268" t="n">
        <x:f>'Source rates'!P142</x:f>
        <x:v>0.5462962962962963</x:v>
      </x:c>
      <x:c r="D61" s="268" t="n">
        <x:f>'Source rates'!P143</x:f>
        <x:v>0.5555555555555556</x:v>
      </x:c>
      <x:c r="E61" s="268" t="n">
        <x:f>'Source rates'!P144</x:f>
        <x:v>0.7037037037037037</x:v>
      </x:c>
      <x:c r="F61" s="203" t="n">
        <x:f>'Source rates'!P145</x:f>
        <x:v>0.28703703703703703</x:v>
      </x:c>
      <x:c r="G61"/>
      <x:c r="H61"/>
      <x:c r="I61"/>
      <x:c r="J61"/>
    </x:row>
    <x:row r="62" ht="20" customHeight="1">
      <x:c r="A62" s="201" t="str"/>
      <x:c r="B62" s="201" t="str">
        <x:v>F1</x:v>
      </x:c>
      <x:c r="C62" s="268" t="n">
        <x:f>'Source rates'!Q142</x:f>
        <x:v>0.0821917808219178</x:v>
      </x:c>
      <x:c r="D62" s="268" t="n">
        <x:f>'Source rates'!Q143</x:f>
        <x:v>0.0547945205479452</x:v>
      </x:c>
      <x:c r="E62" s="268" t="n">
        <x:f>'Source rates'!Q144</x:f>
        <x:v>0.10869565217391304</x:v>
      </x:c>
      <x:c r="F62" s="203" t="n">
        <x:f>'Source rates'!Q145</x:f>
        <x:v>0.17391304347826086</x:v>
      </x:c>
      <x:c r="G62"/>
      <x:c r="H62"/>
      <x:c r="I62"/>
      <x:c r="J62"/>
    </x:row>
    <x:row r="63" ht="20" customHeight="1">
      <x:c r="A63" s="201" t="str"/>
      <x:c r="B63" s="201" t="str">
        <x:v>AUC</x:v>
      </x:c>
      <x:c r="C63" s="268" t="n">
        <x:f>'Source rates'!R142</x:f>
        <x:v>0.36784511784511786</x:v>
      </x:c>
      <x:c r="D63" s="268" t="n">
        <x:f>'Source rates'!R143</x:f>
        <x:v>0.3341750841750842</x:v>
      </x:c>
      <x:c r="E63" s="268" t="n">
        <x:f>'Source rates'!R144</x:f>
        <x:v>0.3232323232323232</x:v>
      </x:c>
      <x:c r="F63" s="203" t="n">
        <x:f>'Source rates'!R145</x:f>
        <x:v>0.44612794612794615</x:v>
      </x:c>
      <x:c r="G63"/>
      <x:c r="H63"/>
      <x:c r="I63"/>
      <x:c r="J63"/>
    </x:row>
    <x:row r="64" ht="20" customHeight="1">
      <x:c r="A64" s="204"/>
      <x:c r="B64" s="204"/>
      <x:c r="C64" s="204"/>
      <x:c r="D64" s="204"/>
      <x:c r="E64" s="204"/>
      <x:c r="F64" s="204"/>
      <x:c r="G64"/>
      <x:c r="H64"/>
      <x:c r="I64"/>
      <x:c r="J64"/>
    </x:row>
    <x:row r="65" ht="22" customHeight="1">
      <x:c r="A65" s="187" t="str">
        <x:v>Signed PMP error — Assumed M3</x:v>
      </x:c>
      <x:c r="B65" s="187"/>
      <x:c r="C65" s="187"/>
      <x:c r="D65" s="187"/>
      <x:c r="E65" s="187"/>
      <x:c r="F65" s="187"/>
      <x:c r="G65"/>
      <x:c r="H65"/>
      <x:c r="I65"/>
      <x:c r="J65"/>
    </x:row>
    <x:row r="66" ht="20" customHeight="1">
      <x:c r="A66" s="205" t="str">
        <x:v>ESS-filtered raw, network-specific NPE-MCMC central 90% interval [q5, q95]</x:v>
      </x:c>
      <x:c r="B66" s="205"/>
      <x:c r="C66" s="205"/>
      <x:c r="D66" s="205"/>
      <x:c r="E66" s="205"/>
      <x:c r="F66" s="205"/>
      <x:c r="G66"/>
      <x:c r="H66"/>
      <x:c r="I66"/>
      <x:c r="J66"/>
    </x:row>
    <x:row r="67">
      <x:c r="A67" s="206" t="str">
        <x:v>Summary</x:v>
      </x:c>
      <x:c r="B67" s="206" t="str">
        <x:v>Statistic</x:v>
      </x:c>
      <x:c r="C67" s="206" t="str">
        <x:v>L2</x:v>
      </x:c>
      <x:c r="D67" s="206" t="str">
        <x:v>L∞</x:v>
      </x:c>
      <x:c r="E67" s="206" t="str">
        <x:v>Density</x:v>
      </x:c>
      <x:c r="F67" s="206" t="str">
        <x:v>MMD</x:v>
      </x:c>
    </x:row>
    <x:row r="68" ht="26" customHeight="1">
      <x:c r="A68" s="198" t="str">
        <x:v>S=D</x:v>
      </x:c>
      <x:c r="B68" s="198" t="str">
        <x:v>FNR</x:v>
      </x:c>
      <x:c r="C68" s="200" t="n">
        <x:f>'Source rates'!O146</x:f>
        <x:v>0.47368421052631576</x:v>
      </x:c>
      <x:c r="D68" s="267" t="n">
        <x:f>'Source rates'!O147</x:f>
        <x:v>0.5263157894736842</x:v>
      </x:c>
      <x:c r="E68" s="267" t="n">
        <x:f>'Source rates'!O148</x:f>
        <x:v>0.5263157894736842</x:v>
      </x:c>
      <x:c r="F68" s="200" t="n">
        <x:f>'Source rates'!O149</x:f>
        <x:v>0.7368421052631579</x:v>
      </x:c>
    </x:row>
    <x:row r="69" ht="22" customHeight="1">
      <x:c r="A69" s="198" t="str"/>
      <x:c r="B69" s="198" t="str">
        <x:v>FPR</x:v>
      </x:c>
      <x:c r="C69" s="267" t="n">
        <x:f>'Source rates'!P146</x:f>
        <x:v>0.32</x:v>
      </x:c>
      <x:c r="D69" s="267" t="n">
        <x:f>'Source rates'!P147</x:f>
        <x:v>0.3</x:v>
      </x:c>
      <x:c r="E69" s="200" t="n">
        <x:f>'Source rates'!P148</x:f>
        <x:v>0.3</x:v>
      </x:c>
      <x:c r="F69" s="267" t="n">
        <x:f>'Source rates'!P149</x:f>
        <x:v>0.27</x:v>
      </x:c>
    </x:row>
    <x:row r="70" ht="22" customHeight="1">
      <x:c r="A70" s="198" t="str"/>
      <x:c r="B70" s="198" t="str">
        <x:v>F1</x:v>
      </x:c>
      <x:c r="C70" s="200" t="n">
        <x:f>'Source rates'!Q146</x:f>
        <x:v>0.32786885245901637</x:v>
      </x:c>
      <x:c r="D70" s="267" t="n">
        <x:f>'Source rates'!Q147</x:f>
        <x:v>0.3103448275862069</x:v>
      </x:c>
      <x:c r="E70" s="267" t="n">
        <x:f>'Source rates'!Q148</x:f>
        <x:v>0.3103448275862069</x:v>
      </x:c>
      <x:c r="F70" s="200" t="n">
        <x:f>'Source rates'!Q149</x:f>
        <x:v>0.19607843137254902</x:v>
      </x:c>
    </x:row>
    <x:row r="71" ht="20" customHeight="1">
      <x:c r="A71" s="198" t="str"/>
      <x:c r="B71" s="198" t="str">
        <x:v>AUC</x:v>
      </x:c>
      <x:c r="C71" s="267" t="n">
        <x:f>'Source rates'!R146</x:f>
        <x:v>0.578421052631579</x:v>
      </x:c>
      <x:c r="D71" s="267" t="n">
        <x:f>'Source rates'!R147</x:f>
        <x:v>0.6205263157894736</x:v>
      </x:c>
      <x:c r="E71" s="200" t="n">
        <x:f>'Source rates'!R148</x:f>
        <x:v>0.6173684210526316</x:v>
      </x:c>
      <x:c r="F71" s="267" t="n">
        <x:f>'Source rates'!R149</x:f>
        <x:v>0.5463157894736842</x:v>
      </x:c>
    </x:row>
    <x:row r="72" ht="20" customHeight="1">
      <x:c r="A72" s="201" t="str">
        <x:v>S=2D</x:v>
      </x:c>
      <x:c r="B72" s="201" t="str">
        <x:v>FNR</x:v>
      </x:c>
      <x:c r="C72" s="203" t="n">
        <x:f>'Source rates'!O150</x:f>
        <x:v>0.5555555555555556</x:v>
      </x:c>
      <x:c r="D72" s="268" t="n">
        <x:f>'Source rates'!O151</x:f>
        <x:v>0.5</x:v>
      </x:c>
      <x:c r="E72" s="268" t="n">
        <x:f>'Source rates'!O152</x:f>
        <x:v>0.4444444444444444</x:v>
      </x:c>
      <x:c r="F72" s="203" t="n">
        <x:f>'Source rates'!O153</x:f>
        <x:v>0.7777777777777778</x:v>
      </x:c>
    </x:row>
    <x:row r="73" ht="20" customHeight="1">
      <x:c r="A73" s="201" t="str"/>
      <x:c r="B73" s="201" t="str">
        <x:v>FPR</x:v>
      </x:c>
      <x:c r="C73" s="268" t="n">
        <x:f>'Source rates'!P150</x:f>
        <x:v>0.2871287128712871</x:v>
      </x:c>
      <x:c r="D73" s="203" t="n">
        <x:f>'Source rates'!P151</x:f>
        <x:v>0.27722772277227725</x:v>
      </x:c>
      <x:c r="E73" s="268" t="n">
        <x:f>'Source rates'!P152</x:f>
        <x:v>0.40594059405940597</x:v>
      </x:c>
      <x:c r="F73" s="268" t="n">
        <x:f>'Source rates'!P153</x:f>
        <x:v>0.25742574257425743</x:v>
      </x:c>
    </x:row>
    <x:row r="74" ht="20" customHeight="1">
      <x:c r="A74" s="201" t="str"/>
      <x:c r="B74" s="201" t="str">
        <x:v>F1</x:v>
      </x:c>
      <x:c r="C74" s="203" t="n">
        <x:f>'Source rates'!Q150</x:f>
        <x:v>0.2909090909090909</x:v>
      </x:c>
      <x:c r="D74" s="268" t="n">
        <x:f>'Source rates'!Q151</x:f>
        <x:v>0.32727272727272727</x:v>
      </x:c>
      <x:c r="E74" s="268" t="n">
        <x:f>'Source rates'!Q152</x:f>
        <x:v>0.2898550724637681</x:v>
      </x:c>
      <x:c r="F74" s="268" t="n">
        <x:f>'Source rates'!Q153</x:f>
        <x:v>0.16666666666666666</x:v>
      </x:c>
    </x:row>
    <x:row r="75" ht="20" customHeight="1">
      <x:c r="A75" s="201" t="str"/>
      <x:c r="B75" s="201" t="str">
        <x:v>AUC</x:v>
      </x:c>
      <x:c r="C75" s="268" t="n">
        <x:f>'Source rates'!R150</x:f>
        <x:v>0.6171617161716171</x:v>
      </x:c>
      <x:c r="D75" s="203" t="n">
        <x:f>'Source rates'!R151</x:f>
        <x:v>0.6402640264026402</x:v>
      </x:c>
      <x:c r="E75" s="268" t="n">
        <x:f>'Source rates'!R152</x:f>
        <x:v>0.5902090209020902</x:v>
      </x:c>
      <x:c r="F75" s="268" t="n">
        <x:f>'Source rates'!R153</x:f>
        <x:v>0.5715071507150715</x:v>
      </x:c>
    </x:row>
    <x:row r="76" ht="20" customHeight="1">
      <x:c r="A76" s="198" t="str">
        <x:v>S=4D</x:v>
      </x:c>
      <x:c r="B76" s="198" t="str">
        <x:v>FNR</x:v>
      </x:c>
      <x:c r="C76" s="267" t="n">
        <x:f>'Source rates'!O154</x:f>
        <x:v>0.6129032258064516</x:v>
      </x:c>
      <x:c r="D76" s="267" t="n">
        <x:f>'Source rates'!O155</x:f>
        <x:v>0.6129032258064516</x:v>
      </x:c>
      <x:c r="E76" s="267" t="n">
        <x:f>'Source rates'!O156</x:f>
        <x:v>0.5483870967741935</x:v>
      </x:c>
      <x:c r="F76" s="200" t="n">
        <x:f>'Source rates'!O157</x:f>
        <x:v>0.7096774193548387</x:v>
      </x:c>
    </x:row>
    <x:row r="77" ht="20" customHeight="1">
      <x:c r="A77" s="198" t="str"/>
      <x:c r="B77" s="198" t="str">
        <x:v>FPR</x:v>
      </x:c>
      <x:c r="C77" s="267" t="n">
        <x:f>'Source rates'!P154</x:f>
        <x:v>0.32954545454545453</x:v>
      </x:c>
      <x:c r="D77" s="200" t="n">
        <x:f>'Source rates'!P155</x:f>
        <x:v>0.3068181818181818</x:v>
      </x:c>
      <x:c r="E77" s="267" t="n">
        <x:f>'Source rates'!P156</x:f>
        <x:v>0.42045454545454547</x:v>
      </x:c>
      <x:c r="F77" s="267" t="n">
        <x:f>'Source rates'!P157</x:f>
        <x:v>0.29545454545454547</x:v>
      </x:c>
    </x:row>
    <x:row r="78" ht="20" customHeight="1">
      <x:c r="A78" s="198" t="str"/>
      <x:c r="B78" s="198" t="str">
        <x:v>F1</x:v>
      </x:c>
      <x:c r="C78" s="267" t="n">
        <x:f>'Source rates'!Q154</x:f>
        <x:v>0.3333333333333333</x:v>
      </x:c>
      <x:c r="D78" s="200" t="n">
        <x:f>'Source rates'!Q155</x:f>
        <x:v>0.34285714285714286</x:v>
      </x:c>
      <x:c r="E78" s="267" t="n">
        <x:f>'Source rates'!Q156</x:f>
        <x:v>0.34146341463414637</x:v>
      </x:c>
      <x:c r="F78" s="267" t="n">
        <x:f>'Source rates'!Q157</x:f>
        <x:v>0.2727272727272727</x:v>
      </x:c>
    </x:row>
    <x:row r="79" ht="20" customHeight="1">
      <x:c r="A79" s="198" t="str"/>
      <x:c r="B79" s="198" t="str">
        <x:v>AUC</x:v>
      </x:c>
      <x:c r="C79" s="267" t="n">
        <x:f>'Source rates'!R154</x:f>
        <x:v>0.5131964809384164</x:v>
      </x:c>
      <x:c r="D79" s="200" t="n">
        <x:f>'Source rates'!R155</x:f>
        <x:v>0.531158357771261</x:v>
      </x:c>
      <x:c r="E79" s="267" t="n">
        <x:f>'Source rates'!R156</x:f>
        <x:v>0.4879032258064516</x:v>
      </x:c>
      <x:c r="F79" s="267" t="n">
        <x:f>'Source rates'!R157</x:f>
        <x:v>0.5076979472140762</x:v>
      </x:c>
    </x:row>
    <x:row r="80" ht="20" customHeight="1">
      <x:c r="A80" s="201" t="str">
        <x:v>S=6D</x:v>
      </x:c>
      <x:c r="B80" s="201" t="str">
        <x:v>FNR</x:v>
      </x:c>
      <x:c r="C80" s="268" t="n">
        <x:f>'Source rates'!O158</x:f>
        <x:v>0.6</x:v>
      </x:c>
      <x:c r="D80" s="203" t="n">
        <x:f>'Source rates'!O159</x:f>
        <x:v>0.6</x:v>
      </x:c>
      <x:c r="E80" s="268" t="n">
        <x:f>'Source rates'!O160</x:f>
        <x:v>0.5</x:v>
      </x:c>
      <x:c r="F80" s="203" t="n">
        <x:f>'Source rates'!O161</x:f>
        <x:v>0.6333333333333333</x:v>
      </x:c>
    </x:row>
    <x:row r="81" ht="20" customHeight="1">
      <x:c r="A81" s="201" t="str"/>
      <x:c r="B81" s="201" t="str">
        <x:v>FPR</x:v>
      </x:c>
      <x:c r="C81" s="268" t="n">
        <x:f>'Source rates'!P158</x:f>
        <x:v>0.30337078651685395</x:v>
      </x:c>
      <x:c r="D81" s="203" t="n">
        <x:f>'Source rates'!P159</x:f>
        <x:v>0.25842696629213485</x:v>
      </x:c>
      <x:c r="E81" s="268" t="n">
        <x:f>'Source rates'!P160</x:f>
        <x:v>0.4044943820224719</x:v>
      </x:c>
      <x:c r="F81" s="268" t="n">
        <x:f>'Source rates'!P161</x:f>
        <x:v>0.29213483146067415</x:v>
      </x:c>
    </x:row>
    <x:row r="82" ht="20" customHeight="1">
      <x:c r="A82" s="201" t="str"/>
      <x:c r="B82" s="201" t="str">
        <x:v>F1</x:v>
      </x:c>
      <x:c r="C82" s="268" t="n">
        <x:f>'Source rates'!Q158</x:f>
        <x:v>0.34782608695652173</x:v>
      </x:c>
      <x:c r="D82" s="203" t="n">
        <x:f>'Source rates'!Q159</x:f>
        <x:v>0.36923076923076925</x:v>
      </x:c>
      <x:c r="E82" s="268" t="n">
        <x:f>'Source rates'!Q160</x:f>
        <x:v>0.37037037037037035</x:v>
      </x:c>
      <x:c r="F82" s="268" t="n">
        <x:f>'Source rates'!Q161</x:f>
        <x:v>0.3283582089552239</x:v>
      </x:c>
    </x:row>
    <x:row r="83">
      <x:c r="A83" s="201" t="str"/>
      <x:c r="B83" s="201" t="str">
        <x:v>AUC</x:v>
      </x:c>
      <x:c r="C83" s="268" t="n">
        <x:f>'Source rates'!R158</x:f>
        <x:v>0.5775280898876405</x:v>
      </x:c>
      <x:c r="D83" s="203" t="n">
        <x:f>'Source rates'!R159</x:f>
        <x:v>0.5940074906367041</x:v>
      </x:c>
      <x:c r="E83" s="268" t="n">
        <x:f>'Source rates'!R160</x:f>
        <x:v>0.59625468164794</x:v>
      </x:c>
      <x:c r="F83" s="268" t="n">
        <x:f>'Source rates'!R161</x:f>
        <x:v>0.5543071161048689</x:v>
      </x:c>
    </x:row>
    <x:row r="84" ht="26" customHeight="1">
      <x:c r="A84" s="204"/>
      <x:c r="B84" s="204"/>
      <x:c r="C84" s="204"/>
      <x:c r="D84" s="204"/>
      <x:c r="E84" s="204"/>
      <x:c r="F84" s="204"/>
    </x:row>
    <x:row r="85" ht="22" customHeight="1">
      <x:c r="A85" s="187" t="str">
        <x:v>Posterior MMD — Assumed M1</x:v>
      </x:c>
      <x:c r="B85" s="187"/>
      <x:c r="C85" s="187"/>
      <x:c r="D85" s="187"/>
      <x:c r="E85" s="187"/>
      <x:c r="F85" s="187"/>
    </x:row>
    <x:row r="86" ht="22" customHeight="1">
      <x:c r="A86" s="205" t="str">
        <x:v>ESS-filtered raw, network-specific NPE-MCMC interval [0, q95]</x:v>
      </x:c>
      <x:c r="B86" s="205"/>
      <x:c r="C86" s="205"/>
      <x:c r="D86" s="205"/>
      <x:c r="E86" s="205"/>
      <x:c r="F86" s="205"/>
    </x:row>
    <x:row r="87" ht="20" customHeight="1">
      <x:c r="A87" s="206" t="str">
        <x:v>Summary</x:v>
      </x:c>
      <x:c r="B87" s="206" t="str">
        <x:v>Statistic</x:v>
      </x:c>
      <x:c r="C87" s="206" t="str">
        <x:v>L2</x:v>
      </x:c>
      <x:c r="D87" s="206" t="str">
        <x:v>L∞</x:v>
      </x:c>
      <x:c r="E87" s="206" t="str">
        <x:v>Density</x:v>
      </x:c>
      <x:c r="F87" s="206" t="str">
        <x:v>MMD</x:v>
      </x:c>
    </x:row>
    <x:row r="88" ht="20" customHeight="1">
      <x:c r="A88" s="198" t="str">
        <x:v>S=D</x:v>
      </x:c>
      <x:c r="B88" s="198" t="str">
        <x:v>FNR</x:v>
      </x:c>
      <x:c r="C88" s="267" t="n">
        <x:f>'Source rates'!O162</x:f>
        <x:v>0.3448275862068966</x:v>
      </x:c>
      <x:c r="D88" s="267" t="n">
        <x:f>'Source rates'!O163</x:f>
        <x:v>0.39655172413793105</x:v>
      </x:c>
      <x:c r="E88" s="200" t="n">
        <x:f>'Source rates'!O164</x:f>
        <x:v>0.20689655172413793</x:v>
      </x:c>
      <x:c r="F88" s="267" t="n">
        <x:f>'Source rates'!O165</x:f>
        <x:v>0.6724137931034483</x:v>
      </x:c>
    </x:row>
    <x:row r="89" ht="20" customHeight="1">
      <x:c r="A89" s="198" t="str"/>
      <x:c r="B89" s="198" t="str">
        <x:v>FPR</x:v>
      </x:c>
      <x:c r="C89" s="200" t="n">
        <x:f>'Source rates'!P162</x:f>
        <x:v>0.09836065573770492</x:v>
      </x:c>
      <x:c r="D89" s="267" t="n">
        <x:f>'Source rates'!P163</x:f>
        <x:v>0.13114754098360656</x:v>
      </x:c>
      <x:c r="E89" s="267" t="n">
        <x:f>'Source rates'!P164</x:f>
        <x:v>0.21311475409836064</x:v>
      </x:c>
      <x:c r="F89" s="267" t="n">
        <x:f>'Source rates'!P165</x:f>
        <x:v>0.04918032786885246</x:v>
      </x:c>
    </x:row>
    <x:row r="90" ht="20" customHeight="1">
      <x:c r="A90" s="198" t="str"/>
      <x:c r="B90" s="198" t="str">
        <x:v>F1</x:v>
      </x:c>
      <x:c r="C90" s="200" t="n">
        <x:f>'Source rates'!Q162</x:f>
        <x:v>0.7450980392156863</x:v>
      </x:c>
      <x:c r="D90" s="267" t="n">
        <x:f>'Source rates'!Q163</x:f>
        <x:v>0.693069306930693</x:v>
      </x:c>
      <x:c r="E90" s="267" t="n">
        <x:f>'Source rates'!Q164</x:f>
        <x:v>0.7863247863247863</x:v>
      </x:c>
      <x:c r="F90" s="267" t="n">
        <x:f>'Source rates'!Q165</x:f>
        <x:v>0.475</x:v>
      </x:c>
    </x:row>
    <x:row r="91" ht="20" customHeight="1">
      <x:c r="A91" s="198" t="str"/>
      <x:c r="B91" s="198" t="str">
        <x:v>AUC</x:v>
      </x:c>
      <x:c r="C91" s="200" t="n">
        <x:f>'Source rates'!R162</x:f>
        <x:v>0.8273035613340872</x:v>
      </x:c>
      <x:c r="D91" s="267" t="n">
        <x:f>'Source rates'!R163</x:f>
        <x:v>0.8309779536461277</x:v>
      </x:c>
      <x:c r="E91" s="267" t="n">
        <x:f>'Source rates'!R164</x:f>
        <x:v>0.8558507631430186</x:v>
      </x:c>
      <x:c r="F91" s="267" t="n">
        <x:f>'Source rates'!R165</x:f>
        <x:v>0.7589033352176371</x:v>
      </x:c>
    </x:row>
    <x:row r="92" ht="20" customHeight="1">
      <x:c r="A92" s="201" t="str">
        <x:v>S=2D</x:v>
      </x:c>
      <x:c r="B92" s="201" t="str">
        <x:v>FNR</x:v>
      </x:c>
      <x:c r="C92" s="268" t="n">
        <x:f>'Source rates'!O166</x:f>
        <x:v>0.2641509433962264</x:v>
      </x:c>
      <x:c r="D92" s="268" t="n">
        <x:f>'Source rates'!O167</x:f>
        <x:v>0.24528301886792453</x:v>
      </x:c>
      <x:c r="E92" s="203" t="n">
        <x:f>'Source rates'!O168</x:f>
        <x:v>0.09433962264150944</x:v>
      </x:c>
      <x:c r="F92" s="268" t="n">
        <x:f>'Source rates'!O169</x:f>
        <x:v>0.37735849056603776</x:v>
      </x:c>
    </x:row>
    <x:row r="93" ht="20" customHeight="1">
      <x:c r="A93" s="201" t="str"/>
      <x:c r="B93" s="201" t="str">
        <x:v>FPR</x:v>
      </x:c>
      <x:c r="C93" s="203" t="n">
        <x:f>'Source rates'!P166</x:f>
        <x:v>0.13636363636363635</x:v>
      </x:c>
      <x:c r="D93" s="268" t="n">
        <x:f>'Source rates'!P167</x:f>
        <x:v>0.13636363636363635</x:v>
      </x:c>
      <x:c r="E93" s="268" t="n">
        <x:f>'Source rates'!P168</x:f>
        <x:v>0.4696969696969697</x:v>
      </x:c>
      <x:c r="F93" s="203" t="n">
        <x:f>'Source rates'!P169</x:f>
        <x:v>0.06060606060606061</x:v>
      </x:c>
    </x:row>
    <x:row r="94" ht="20" customHeight="1">
      <x:c r="A94" s="201" t="str"/>
      <x:c r="B94" s="201" t="str">
        <x:v>F1</x:v>
      </x:c>
      <x:c r="C94" s="203" t="n">
        <x:f>'Source rates'!Q166</x:f>
        <x:v>0.7722772277227723</x:v>
      </x:c>
      <x:c r="D94" s="268" t="n">
        <x:f>'Source rates'!Q167</x:f>
        <x:v>0.7843137254901961</x:v>
      </x:c>
      <x:c r="E94" s="268" t="n">
        <x:f>'Source rates'!Q168</x:f>
        <x:v>0.7272727272727273</x:v>
      </x:c>
      <x:c r="F94" s="268" t="n">
        <x:f>'Source rates'!Q169</x:f>
        <x:v>0.7333333333333333</x:v>
      </x:c>
    </x:row>
    <x:row r="95" ht="20" customHeight="1">
      <x:c r="A95" s="201" t="str"/>
      <x:c r="B95" s="201" t="str">
        <x:v>AUC</x:v>
      </x:c>
      <x:c r="C95" s="268" t="n">
        <x:f>'Source rates'!R166</x:f>
        <x:v>0.8767867352773013</x:v>
      </x:c>
      <x:c r="D95" s="203" t="n">
        <x:f>'Source rates'!R167</x:f>
        <x:v>0.8785020011435105</x:v>
      </x:c>
      <x:c r="E95" s="268" t="n">
        <x:f>'Source rates'!R168</x:f>
        <x:v>0.8453401943967983</x:v>
      </x:c>
      <x:c r="F95" s="268" t="n">
        <x:f>'Source rates'!R169</x:f>
        <x:v>0.8699256718124643</x:v>
      </x:c>
    </x:row>
    <x:row r="96" ht="20" customHeight="1">
      <x:c r="A96" s="198" t="str">
        <x:v>S=4D</x:v>
      </x:c>
      <x:c r="B96" s="198" t="str">
        <x:v>FNR</x:v>
      </x:c>
      <x:c r="C96" s="200" t="n">
        <x:f>'Source rates'!O170</x:f>
        <x:v>0.12903225806451613</x:v>
      </x:c>
      <x:c r="D96" s="267" t="n">
        <x:f>'Source rates'!O171</x:f>
        <x:v>0.20967741935483872</x:v>
      </x:c>
      <x:c r="E96" s="200" t="n">
        <x:f>'Source rates'!O172</x:f>
        <x:v>0.03225806451612903</x:v>
      </x:c>
      <x:c r="F96" s="267" t="n">
        <x:f>'Source rates'!O173</x:f>
        <x:v>0.6129032258064516</x:v>
      </x:c>
    </x:row>
    <x:row r="97" ht="20" customHeight="1">
      <x:c r="A97" s="198" t="str"/>
      <x:c r="B97" s="198" t="str">
        <x:v>FPR</x:v>
      </x:c>
      <x:c r="C97" s="267" t="n">
        <x:f>'Source rates'!P170</x:f>
        <x:v>0.19298245614035087</x:v>
      </x:c>
      <x:c r="D97" s="267" t="n">
        <x:f>'Source rates'!P171</x:f>
        <x:v>0.21052631578947367</x:v>
      </x:c>
      <x:c r="E97" s="267" t="n">
        <x:f>'Source rates'!P172</x:f>
        <x:v>0.3508771929824561</x:v>
      </x:c>
      <x:c r="F97" s="200" t="n">
        <x:f>'Source rates'!P173</x:f>
        <x:v>0.03508771929824561</x:v>
      </x:c>
    </x:row>
    <x:row r="98" ht="20" customHeight="1">
      <x:c r="A98" s="198" t="str"/>
      <x:c r="B98" s="198" t="str">
        <x:v>F1</x:v>
      </x:c>
      <x:c r="C98" s="200" t="n">
        <x:f>'Source rates'!Q170</x:f>
        <x:v>0.8503937007874016</x:v>
      </x:c>
      <x:c r="D98" s="267" t="n">
        <x:f>'Source rates'!Q171</x:f>
        <x:v>0.7967479674796748</x:v>
      </x:c>
      <x:c r="E98" s="267" t="n">
        <x:f>'Source rates'!Q172</x:f>
        <x:v>0.8450704225352113</x:v>
      </x:c>
      <x:c r="F98" s="267" t="n">
        <x:f>'Source rates'!Q173</x:f>
        <x:v>0.5454545454545454</x:v>
      </x:c>
    </x:row>
    <x:row r="99">
      <x:c r="A99" s="198" t="str"/>
      <x:c r="B99" s="198" t="str">
        <x:v>AUC</x:v>
      </x:c>
      <x:c r="C99" s="200" t="n">
        <x:f>'Source rates'!R170</x:f>
        <x:v>0.9219015280135823</x:v>
      </x:c>
      <x:c r="D99" s="267" t="n">
        <x:f>'Source rates'!R171</x:f>
        <x:v>0.8967176004527447</x:v>
      </x:c>
      <x:c r="E99" s="267" t="n">
        <x:f>'Source rates'!R172</x:f>
        <x:v>0.8890775325410301</x:v>
      </x:c>
      <x:c r="F99" s="267" t="n">
        <x:f>'Source rates'!R173</x:f>
        <x:v>0.8455008488964346</x:v>
      </x:c>
    </x:row>
    <x:row r="100">
      <x:c r="A100" s="201" t="str">
        <x:v>S=6D</x:v>
      </x:c>
      <x:c r="B100" s="201" t="str">
        <x:v>FNR</x:v>
      </x:c>
      <x:c r="C100" s="268" t="n">
        <x:f>'Source rates'!O174</x:f>
        <x:v>0.12280701754385964</x:v>
      </x:c>
      <x:c r="D100" s="268" t="n">
        <x:f>'Source rates'!O175</x:f>
        <x:v>0.12280701754385964</x:v>
      </x:c>
      <x:c r="E100" s="203" t="n">
        <x:f>'Source rates'!O176</x:f>
        <x:v>0.017543859649122806</x:v>
      </x:c>
      <x:c r="F100" s="268" t="n">
        <x:f>'Source rates'!O177</x:f>
        <x:v>0.43859649122807015</x:v>
      </x:c>
    </x:row>
    <x:row r="101">
      <x:c r="A101" s="201" t="str"/>
      <x:c r="B101" s="201" t="str">
        <x:v>FPR</x:v>
      </x:c>
      <x:c r="C101" s="268" t="n">
        <x:f>'Source rates'!P174</x:f>
        <x:v>0.1935483870967742</x:v>
      </x:c>
      <x:c r="D101" s="268" t="n">
        <x:f>'Source rates'!P175</x:f>
        <x:v>0.1935483870967742</x:v>
      </x:c>
      <x:c r="E101" s="268" t="n">
        <x:f>'Source rates'!P176</x:f>
        <x:v>0.4032258064516129</x:v>
      </x:c>
      <x:c r="F101" s="203" t="n">
        <x:f>'Source rates'!P177</x:f>
        <x:v>0.04838709677419355</x:v>
      </x:c>
    </x:row>
    <x:row r="102">
      <x:c r="A102" s="201" t="str"/>
      <x:c r="B102" s="201" t="str">
        <x:v>F1</x:v>
      </x:c>
      <x:c r="C102" s="203" t="n">
        <x:f>'Source rates'!Q174</x:f>
        <x:v>0.8403361344537815</x:v>
      </x:c>
      <x:c r="D102" s="203" t="n">
        <x:f>'Source rates'!Q175</x:f>
        <x:v>0.8403361344537815</x:v>
      </x:c>
      <x:c r="E102" s="268" t="n">
        <x:f>'Source rates'!Q176</x:f>
        <x:v>0.8115942028985508</x:v>
      </x:c>
      <x:c r="F102" s="268" t="n">
        <x:f>'Source rates'!Q177</x:f>
        <x:v>0.6956521739130435</x:v>
      </x:c>
    </x:row>
    <x:row r="103">
      <x:c r="A103" s="201" t="str"/>
      <x:c r="B103" s="201" t="str">
        <x:v>AUC</x:v>
      </x:c>
      <x:c r="C103" s="203" t="n">
        <x:f>'Source rates'!R174</x:f>
        <x:v>0.9377475947934353</x:v>
      </x:c>
      <x:c r="D103" s="268" t="n">
        <x:f>'Source rates'!R175</x:f>
        <x:v>0.9326542161856254</x:v>
      </x:c>
      <x:c r="E103" s="268" t="n">
        <x:f>'Source rates'!R176</x:f>
        <x:v>0.8941709111488398</x:v>
      </x:c>
      <x:c r="F103" s="268" t="n">
        <x:f>'Source rates'!R177</x:f>
        <x:v>0.8418222976796831</x:v>
      </x:c>
    </x:row>
    <x:row r="104">
      <x:c r="A104" s="204"/>
      <x:c r="B104" s="204"/>
      <x:c r="C104" s="204"/>
      <x:c r="D104" s="204"/>
      <x:c r="E104" s="204"/>
      <x:c r="F104" s="204"/>
    </x:row>
    <x:row r="105" ht="22" customHeight="1">
      <x:c r="A105" s="187" t="str">
        <x:v>Posterior MMD — Assumed M3</x:v>
      </x:c>
      <x:c r="B105" s="187"/>
      <x:c r="C105" s="187"/>
      <x:c r="D105" s="187"/>
      <x:c r="E105" s="187"/>
      <x:c r="F105" s="187"/>
    </x:row>
    <x:row r="106">
      <x:c r="A106" s="205" t="str">
        <x:v>ESS-filtered raw, network-specific NPE-MCMC interval [0, q95]</x:v>
      </x:c>
      <x:c r="B106" s="205"/>
      <x:c r="C106" s="205"/>
      <x:c r="D106" s="205"/>
      <x:c r="E106" s="205"/>
      <x:c r="F106" s="205"/>
    </x:row>
    <x:row r="107">
      <x:c r="A107" s="206" t="str">
        <x:v>Summary</x:v>
      </x:c>
      <x:c r="B107" s="206" t="str">
        <x:v>Statistic</x:v>
      </x:c>
      <x:c r="C107" s="206" t="str">
        <x:v>L2</x:v>
      </x:c>
      <x:c r="D107" s="206" t="str">
        <x:v>L∞</x:v>
      </x:c>
      <x:c r="E107" s="206" t="str">
        <x:v>Density</x:v>
      </x:c>
      <x:c r="F107" s="206" t="str">
        <x:v>MMD</x:v>
      </x:c>
    </x:row>
    <x:row r="108">
      <x:c r="A108" s="198" t="str">
        <x:v>S=D</x:v>
      </x:c>
      <x:c r="B108" s="198" t="str">
        <x:v>FNR</x:v>
      </x:c>
      <x:c r="C108" s="200" t="n">
        <x:f>'Source rates'!O178</x:f>
        <x:v>0.5774647887323944</x:v>
      </x:c>
      <x:c r="D108" s="267" t="n">
        <x:f>'Source rates'!O179</x:f>
        <x:v>0.5915492957746479</x:v>
      </x:c>
      <x:c r="E108" s="267" t="n">
        <x:f>'Source rates'!O180</x:f>
        <x:v>0.5915492957746479</x:v>
      </x:c>
      <x:c r="F108" s="200" t="n">
        <x:f>'Source rates'!O181</x:f>
        <x:v>0.676056338028169</x:v>
      </x:c>
    </x:row>
    <x:row r="109">
      <x:c r="A109" s="198" t="str"/>
      <x:c r="B109" s="198" t="str">
        <x:v>FPR</x:v>
      </x:c>
      <x:c r="C109" s="267" t="n">
        <x:f>'Source rates'!P178</x:f>
        <x:v>0.25</x:v>
      </x:c>
      <x:c r="D109" s="267" t="n">
        <x:f>'Source rates'!P179</x:f>
        <x:v>0.20833333333333334</x:v>
      </x:c>
      <x:c r="E109" s="200" t="n">
        <x:f>'Source rates'!P180</x:f>
        <x:v>0.20833333333333334</x:v>
      </x:c>
      <x:c r="F109" s="267" t="n">
        <x:f>'Source rates'!P181</x:f>
        <x:v>0.1875</x:v>
      </x:c>
    </x:row>
    <x:row r="110">
      <x:c r="A110" s="198" t="str"/>
      <x:c r="B110" s="198" t="str">
        <x:v>F1</x:v>
      </x:c>
      <x:c r="C110" s="200" t="n">
        <x:f>'Source rates'!Q178</x:f>
        <x:v>0.5309734513274337</x:v>
      </x:c>
      <x:c r="D110" s="267" t="n">
        <x:f>'Source rates'!Q179</x:f>
        <x:v>0.5272727272727272</x:v>
      </x:c>
      <x:c r="E110" s="267" t="n">
        <x:f>'Source rates'!Q180</x:f>
        <x:v>0.5272727272727272</x:v>
      </x:c>
      <x:c r="F110" s="200" t="n">
        <x:f>'Source rates'!Q181</x:f>
        <x:v>0.44660194174757284</x:v>
      </x:c>
    </x:row>
    <x:row r="111">
      <x:c r="A111" s="198" t="str"/>
      <x:c r="B111" s="198" t="str">
        <x:v>AUC</x:v>
      </x:c>
      <x:c r="C111" s="267" t="n">
        <x:f>'Source rates'!R178</x:f>
        <x:v>0.5894953051643192</x:v>
      </x:c>
      <x:c r="D111" s="267" t="n">
        <x:f>'Source rates'!R179</x:f>
        <x:v>0.5818661971830984</x:v>
      </x:c>
      <x:c r="E111" s="267" t="n">
        <x:f>'Source rates'!R180</x:f>
        <x:v>0.6335093896713614</x:v>
      </x:c>
      <x:c r="F111" s="200" t="n">
        <x:f>'Source rates'!R181</x:f>
        <x:v>0.5742370892018779</x:v>
      </x:c>
    </x:row>
    <x:row r="112">
      <x:c r="A112" s="201" t="str">
        <x:v>S=2D</x:v>
      </x:c>
      <x:c r="B112" s="201" t="str">
        <x:v>FNR</x:v>
      </x:c>
      <x:c r="C112" s="268" t="n">
        <x:f>'Source rates'!O182</x:f>
        <x:v>0.4339622641509434</x:v>
      </x:c>
      <x:c r="D112" s="268" t="n">
        <x:f>'Source rates'!O183</x:f>
        <x:v>0.4339622641509434</x:v>
      </x:c>
      <x:c r="E112" s="268" t="n">
        <x:f>'Source rates'!O184</x:f>
        <x:v>0.24528301886792453</x:v>
      </x:c>
      <x:c r="F112" s="203" t="n">
        <x:f>'Source rates'!O185</x:f>
        <x:v>0.5283018867924528</x:v>
      </x:c>
    </x:row>
    <x:row r="113">
      <x:c r="A113" s="201" t="str"/>
      <x:c r="B113" s="201" t="str">
        <x:v>FPR</x:v>
      </x:c>
      <x:c r="C113" s="268" t="n">
        <x:f>'Source rates'!P182</x:f>
        <x:v>0.10606060606060606</x:v>
      </x:c>
      <x:c r="D113" s="203" t="n">
        <x:f>'Source rates'!P183</x:f>
        <x:v>0.10606060606060606</x:v>
      </x:c>
      <x:c r="E113" s="268" t="n">
        <x:f>'Source rates'!P184</x:f>
        <x:v>0.16666666666666666</x:v>
      </x:c>
      <x:c r="F113" s="268" t="n">
        <x:f>'Source rates'!P185</x:f>
        <x:v>0.07575757575757576</x:v>
      </x:c>
    </x:row>
    <x:row r="114">
      <x:c r="A114" s="201" t="str"/>
      <x:c r="B114" s="201" t="str">
        <x:v>F1</x:v>
      </x:c>
      <x:c r="C114" s="268" t="n">
        <x:f>'Source rates'!Q182</x:f>
        <x:v>0.6666666666666666</x:v>
      </x:c>
      <x:c r="D114" s="268" t="n">
        <x:f>'Source rates'!Q183</x:f>
        <x:v>0.6666666666666666</x:v>
      </x:c>
      <x:c r="E114" s="268" t="n">
        <x:f>'Source rates'!Q184</x:f>
        <x:v>0.7692307692307693</x:v>
      </x:c>
      <x:c r="F114" s="203" t="n">
        <x:f>'Source rates'!Q185</x:f>
        <x:v>0.6024096385542169</x:v>
      </x:c>
    </x:row>
    <x:row r="115">
      <x:c r="A115" s="201" t="str"/>
      <x:c r="B115" s="201" t="str">
        <x:v>AUC</x:v>
      </x:c>
      <x:c r="C115" s="203" t="n">
        <x:f>'Source rates'!R182</x:f>
        <x:v>0.8413379073756433</x:v>
      </x:c>
      <x:c r="D115" s="268" t="n">
        <x:f>'Source rates'!R183</x:f>
        <x:v>0.8353344768439108</x:v>
      </x:c>
      <x:c r="E115" s="268" t="n">
        <x:f>'Source rates'!R184</x:f>
        <x:v>0.850485991995426</x:v>
      </x:c>
      <x:c r="F115" s="268" t="n">
        <x:f>'Source rates'!R185</x:f>
        <x:v>0.7861635220125786</x:v>
      </x:c>
    </x:row>
    <x:row r="116">
      <x:c r="A116" s="198" t="str">
        <x:v>S=4D</x:v>
      </x:c>
      <x:c r="B116" s="198" t="str">
        <x:v>FNR</x:v>
      </x:c>
      <x:c r="C116" s="267" t="n">
        <x:f>'Source rates'!O186</x:f>
        <x:v>0.3333333333333333</x:v>
      </x:c>
      <x:c r="D116" s="267" t="n">
        <x:f>'Source rates'!O187</x:f>
        <x:v>0.3541666666666667</x:v>
      </x:c>
      <x:c r="E116" s="267" t="n">
        <x:f>'Source rates'!O188</x:f>
        <x:v>0.22916666666666666</x:v>
      </x:c>
      <x:c r="F116" s="200" t="n">
        <x:f>'Source rates'!O189</x:f>
        <x:v>0.4166666666666667</x:v>
      </x:c>
    </x:row>
    <x:row r="117">
      <x:c r="A117" s="198" t="str"/>
      <x:c r="B117" s="198" t="str">
        <x:v>FPR</x:v>
      </x:c>
      <x:c r="C117" s="267" t="n">
        <x:f>'Source rates'!P186</x:f>
        <x:v>0.1267605633802817</x:v>
      </x:c>
      <x:c r="D117" s="200" t="n">
        <x:f>'Source rates'!P187</x:f>
        <x:v>0.11267605633802817</x:v>
      </x:c>
      <x:c r="E117" s="267" t="n">
        <x:f>'Source rates'!P188</x:f>
        <x:v>0.19718309859154928</x:v>
      </x:c>
      <x:c r="F117" s="267" t="n">
        <x:f>'Source rates'!P189</x:f>
        <x:v>0.09859154929577464</x:v>
      </x:c>
    </x:row>
    <x:row r="118">
      <x:c r="A118" s="198" t="str"/>
      <x:c r="B118" s="198" t="str">
        <x:v>F1</x:v>
      </x:c>
      <x:c r="C118" s="267" t="n">
        <x:f>'Source rates'!Q186</x:f>
        <x:v>0.7191011235955056</x:v>
      </x:c>
      <x:c r="D118" s="267" t="n">
        <x:f>'Source rates'!Q187</x:f>
        <x:v>0.7126436781609196</x:v>
      </x:c>
      <x:c r="E118" s="267" t="n">
        <x:f>'Source rates'!Q188</x:f>
        <x:v>0.7474747474747475</x:v>
      </x:c>
      <x:c r="F118" s="200" t="n">
        <x:f>'Source rates'!Q189</x:f>
        <x:v>0.6746987951807228</x:v>
      </x:c>
    </x:row>
    <x:row r="119">
      <x:c r="A119" s="198" t="str"/>
      <x:c r="B119" s="198" t="str">
        <x:v>AUC</x:v>
      </x:c>
      <x:c r="C119" s="267" t="n">
        <x:f>'Source rates'!R186</x:f>
        <x:v>0.8512323943661972</x:v>
      </x:c>
      <x:c r="D119" s="267" t="n">
        <x:f>'Source rates'!R187</x:f>
        <x:v>0.8318661971830986</x:v>
      </x:c>
      <x:c r="E119" s="267" t="n">
        <x:f>'Source rates'!R188</x:f>
        <x:v>0.8685446009389671</x:v>
      </x:c>
      <x:c r="F119" s="200" t="n">
        <x:f>'Source rates'!R189</x:f>
        <x:v>0.8136737089201879</x:v>
      </x:c>
    </x:row>
    <x:row r="120">
      <x:c r="A120" s="201" t="str">
        <x:v>S=6D</x:v>
      </x:c>
      <x:c r="B120" s="201" t="str">
        <x:v>FNR</x:v>
      </x:c>
      <x:c r="C120" s="268" t="n">
        <x:f>'Source rates'!O190</x:f>
        <x:v>0.37037037037037035</x:v>
      </x:c>
      <x:c r="D120" s="268" t="n">
        <x:f>'Source rates'!O191</x:f>
        <x:v>0.42592592592592593</x:v>
      </x:c>
      <x:c r="E120" s="268" t="n">
        <x:f>'Source rates'!O192</x:f>
        <x:v>0.2037037037037037</x:v>
      </x:c>
      <x:c r="F120" s="203" t="n">
        <x:f>'Source rates'!O193</x:f>
        <x:v>0.3888888888888889</x:v>
      </x:c>
    </x:row>
    <x:row r="121">
      <x:c r="A121" s="201" t="str"/>
      <x:c r="B121" s="201" t="str">
        <x:v>FPR</x:v>
      </x:c>
      <x:c r="C121" s="203" t="n">
        <x:f>'Source rates'!P190</x:f>
        <x:v>0.07692307692307693</x:v>
      </x:c>
      <x:c r="D121" s="203" t="n">
        <x:f>'Source rates'!P191</x:f>
        <x:v>0.06153846153846154</x:v>
      </x:c>
      <x:c r="E121" s="203" t="n">
        <x:f>'Source rates'!P192</x:f>
        <x:v>0.12307692307692308</x:v>
      </x:c>
      <x:c r="F121" s="203" t="n">
        <x:f>'Source rates'!P193</x:f>
        <x:v>0.06153846153846154</x:v>
      </x:c>
    </x:row>
    <x:row r="122">
      <x:c r="A122" s="201" t="str"/>
      <x:c r="B122" s="201" t="str">
        <x:v>F1</x:v>
      </x:c>
      <x:c r="C122" s="268" t="n">
        <x:f>'Source rates'!Q190</x:f>
        <x:v>0.7311827956989247</x:v>
      </x:c>
      <x:c r="D122" s="268" t="n">
        <x:f>'Source rates'!Q191</x:f>
        <x:v>0.6966292134831461</x:v>
      </x:c>
      <x:c r="E122" s="268" t="n">
        <x:f>'Source rates'!Q192</x:f>
        <x:v>0.819047619047619</x:v>
      </x:c>
      <x:c r="F122" s="203" t="n">
        <x:f>'Source rates'!Q193</x:f>
        <x:v>0.7252747252747253</x:v>
      </x:c>
    </x:row>
    <x:row r="123">
      <x:c r="A123" s="201" t="str"/>
      <x:c r="B123" s="201" t="str">
        <x:v>AUC</x:v>
      </x:c>
      <x:c r="C123" s="268" t="n">
        <x:f>'Source rates'!R190</x:f>
        <x:v>0.8717948717948718</x:v>
      </x:c>
      <x:c r="D123" s="268" t="n">
        <x:f>'Source rates'!R191</x:f>
        <x:v>0.8452991452991453</x:v>
      </x:c>
      <x:c r="E123" s="268" t="n">
        <x:f>'Source rates'!R192</x:f>
        <x:v>0.9111111111111112</x:v>
      </x:c>
      <x:c r="F123" s="203" t="n">
        <x:f>'Source rates'!R193</x:f>
        <x:v>0.8253561253561252</x:v>
      </x:c>
    </x:row>
    <x:row r="124">
      <x:c r="A124" s="204"/>
      <x:c r="B124" s="204"/>
      <x:c r="C124" s="204"/>
      <x:c r="D124" s="204"/>
      <x:c r="E124" s="204"/>
      <x:c r="F124" s="204"/>
    </x:row>
    <x:row r="125" ht="22" customHeight="1">
      <x:c r="A125" s="298" t="str">
        <x:v>Signed log10 ML error — Assumed M0</x:v>
      </x:c>
      <x:c r="B125" s="298"/>
      <x:c r="C125" s="298"/>
      <x:c r="D125" s="298"/>
      <x:c r="E125" s="298"/>
      <x:c r="F125" s="298"/>
    </x:row>
    <x:row r="126" ht="22" customHeight="1">
      <x:c r="A126" s="301" t="str">
        <x:v>ESS-filtered raw, network-specific NPE-MCMC central 90% interval [q5, q95]</x:v>
      </x:c>
      <x:c r="B126" s="301"/>
      <x:c r="C126" s="301"/>
      <x:c r="D126" s="301"/>
      <x:c r="E126" s="301"/>
      <x:c r="F126" s="301"/>
    </x:row>
    <x:row r="127" ht="20" customHeight="1">
      <x:c r="A127" s="305" t="str">
        <x:v>Summary</x:v>
      </x:c>
      <x:c r="B127" s="305" t="str">
        <x:v>Statistic</x:v>
      </x:c>
      <x:c r="C127" s="305" t="str">
        <x:v>L2</x:v>
      </x:c>
      <x:c r="D127" s="305" t="str">
        <x:v>L∞</x:v>
      </x:c>
      <x:c r="E127" s="305" t="str">
        <x:v>Density</x:v>
      </x:c>
      <x:c r="F127" s="305" t="str">
        <x:v>MMD</x:v>
      </x:c>
    </x:row>
    <x:row r="128" ht="20" customHeight="1">
      <x:c r="A128" s="309" t="str">
        <x:v>S=D</x:v>
      </x:c>
      <x:c r="B128" s="309" t="str">
        <x:v>FNR</x:v>
      </x:c>
      <x:c r="C128" s="310" t="n">
        <x:f>IFERROR('Source rates'!$O$434,NA())</x:f>
        <x:v>0.21428571428571427</x:v>
      </x:c>
      <x:c r="D128" s="310" t="n">
        <x:f>IFERROR('Source rates'!$O$435,NA())</x:f>
        <x:v>0.3142857142857143</x:v>
      </x:c>
      <x:c r="E128" s="317" t="n">
        <x:f>IFERROR('Source rates'!$O$436,NA())</x:f>
        <x:v>0.17142857142857143</x:v>
      </x:c>
      <x:c r="F128" s="310" t="n">
        <x:f>IFERROR('Source rates'!$O$437,NA())</x:f>
        <x:v>0.5</x:v>
      </x:c>
    </x:row>
    <x:row r="129" ht="20" customHeight="1">
      <x:c r="A129" s="309"/>
      <x:c r="B129" s="309" t="str">
        <x:v>FPR</x:v>
      </x:c>
      <x:c r="C129" s="310" t="n">
        <x:f>IFERROR('Source rates'!$P$434,NA())</x:f>
        <x:v>0.14285714285714285</x:v>
      </x:c>
      <x:c r="D129" s="310" t="n">
        <x:f>IFERROR('Source rates'!$P$435,NA())</x:f>
        <x:v>0.08163265306122448</x:v>
      </x:c>
      <x:c r="E129" s="310" t="n">
        <x:f>IFERROR('Source rates'!$P$436,NA())</x:f>
        <x:v>0.3469387755102041</x:v>
      </x:c>
      <x:c r="F129" s="317" t="n">
        <x:f>IFERROR('Source rates'!$P$437,NA())</x:f>
        <x:v>0.061224489795918366</x:v>
      </x:c>
    </x:row>
    <x:row r="130" ht="20" customHeight="1">
      <x:c r="A130" s="309"/>
      <x:c r="B130" s="309" t="str">
        <x:v>F1</x:v>
      </x:c>
      <x:c r="C130" s="317" t="n">
        <x:f>IFERROR('Source rates'!$Q$434,NA())</x:f>
        <x:v>0.8333333333333334</x:v>
      </x:c>
      <x:c r="D130" s="310" t="n">
        <x:f>IFERROR('Source rates'!$Q$435,NA())</x:f>
        <x:v>0.7868852459016393</x:v>
      </x:c>
      <x:c r="E130" s="310" t="n">
        <x:f>IFERROR('Source rates'!$Q$436,NA())</x:f>
        <x:v>0.8</x:v>
      </x:c>
      <x:c r="F130" s="310" t="n">
        <x:f>IFERROR('Source rates'!$Q$437,NA())</x:f>
        <x:v>0.6481481481481481</x:v>
      </x:c>
    </x:row>
    <x:row r="131" ht="20" customHeight="1">
      <x:c r="A131" s="309"/>
      <x:c r="B131" s="309" t="str">
        <x:v>AUC</x:v>
      </x:c>
      <x:c r="C131" s="317" t="n">
        <x:f>IFERROR('Source rates'!$R$434,NA())</x:f>
        <x:v>0.88600583090379</x:v>
      </x:c>
      <x:c r="D131" s="310" t="n">
        <x:f>IFERROR('Source rates'!$R$435,NA())</x:f>
        <x:v>0.867930029154519</x:v>
      </x:c>
      <x:c r="E131" s="310" t="n">
        <x:f>IFERROR('Source rates'!$R$436,NA())</x:f>
        <x:v>0.8440233236151603</x:v>
      </x:c>
      <x:c r="F131" s="310" t="n">
        <x:f>IFERROR('Source rates'!$R$437,NA())</x:f>
        <x:v>0.841399416909621</x:v>
      </x:c>
    </x:row>
    <x:row r="132" ht="20" customHeight="1">
      <x:c r="A132" s="314" t="str">
        <x:v>S=2D</x:v>
      </x:c>
      <x:c r="B132" s="314" t="str">
        <x:v>FNR</x:v>
      </x:c>
      <x:c r="C132" s="315" t="n">
        <x:f>IFERROR('Source rates'!$O$438,NA())</x:f>
        <x:v>0.2459016393442623</x:v>
      </x:c>
      <x:c r="D132" s="315" t="n">
        <x:f>IFERROR('Source rates'!$O$439,NA())</x:f>
        <x:v>0.2786885245901639</x:v>
      </x:c>
      <x:c r="E132" s="319" t="n">
        <x:f>IFERROR('Source rates'!$O$440,NA())</x:f>
        <x:v>0.14754098360655737</x:v>
      </x:c>
      <x:c r="F132" s="315" t="n">
        <x:f>IFERROR('Source rates'!$O$441,NA())</x:f>
        <x:v>0.4262295081967213</x:v>
      </x:c>
    </x:row>
    <x:row r="133" ht="20" customHeight="1">
      <x:c r="A133" s="314"/>
      <x:c r="B133" s="314" t="str">
        <x:v>FPR</x:v>
      </x:c>
      <x:c r="C133" s="315" t="n">
        <x:f>IFERROR('Source rates'!$P$438,NA())</x:f>
        <x:v>0.2413793103448276</x:v>
      </x:c>
      <x:c r="D133" s="315" t="n">
        <x:f>IFERROR('Source rates'!$P$439,NA())</x:f>
        <x:v>0.2413793103448276</x:v>
      </x:c>
      <x:c r="E133" s="315" t="n">
        <x:f>IFERROR('Source rates'!$P$440,NA())</x:f>
        <x:v>0.5689655172413793</x:v>
      </x:c>
      <x:c r="F133" s="319" t="n">
        <x:f>IFERROR('Source rates'!$P$441,NA())</x:f>
        <x:v>0.10344827586206896</x:v>
      </x:c>
    </x:row>
    <x:row r="134" ht="20" customHeight="1">
      <x:c r="A134" s="314"/>
      <x:c r="B134" s="314" t="str">
        <x:v>F1</x:v>
      </x:c>
      <x:c r="C134" s="319" t="n">
        <x:f>IFERROR('Source rates'!$Q$438,NA())</x:f>
        <x:v>0.7603305785123967</x:v>
      </x:c>
      <x:c r="D134" s="315" t="n">
        <x:f>IFERROR('Source rates'!$Q$439,NA())</x:f>
        <x:v>0.7394957983193278</x:v>
      </x:c>
      <x:c r="E134" s="315" t="n">
        <x:f>IFERROR('Source rates'!$Q$440,NA())</x:f>
        <x:v>0.7123287671232876</x:v>
      </x:c>
      <x:c r="F134" s="315" t="n">
        <x:f>IFERROR('Source rates'!$Q$441,NA())</x:f>
        <x:v>0.6862745098039216</x:v>
      </x:c>
    </x:row>
    <x:row r="135" ht="20" customHeight="1">
      <x:c r="A135" s="314"/>
      <x:c r="B135" s="314" t="str">
        <x:v>AUC</x:v>
      </x:c>
      <x:c r="C135" s="319" t="n">
        <x:f>IFERROR('Source rates'!$R$438,NA())</x:f>
        <x:v>0.8332391181458451</x:v>
      </x:c>
      <x:c r="D135" s="315" t="n">
        <x:f>IFERROR('Source rates'!$R$439,NA())</x:f>
        <x:v>0.817976257772753</x:v>
      </x:c>
      <x:c r="E135" s="315" t="n">
        <x:f>IFERROR('Source rates'!$R$440,NA())</x:f>
        <x:v>0.814584511023177</x:v>
      </x:c>
      <x:c r="F135" s="315" t="n">
        <x:f>IFERROR('Source rates'!$R$441,NA())</x:f>
        <x:v>0.8256076879592991</x:v>
      </x:c>
    </x:row>
    <x:row r="136" ht="20" customHeight="1">
      <x:c r="A136" s="309" t="str">
        <x:v>S=4D</x:v>
      </x:c>
      <x:c r="B136" s="309" t="str">
        <x:v>FNR</x:v>
      </x:c>
      <x:c r="C136" s="310" t="n">
        <x:f>IFERROR('Source rates'!$O$442,NA())</x:f>
        <x:v>0.26865671641791045</x:v>
      </x:c>
      <x:c r="D136" s="310" t="n">
        <x:f>IFERROR('Source rates'!$O$443,NA())</x:f>
        <x:v>0.29850746268656714</x:v>
      </x:c>
      <x:c r="E136" s="317" t="n">
        <x:f>IFERROR('Source rates'!$O$444,NA())</x:f>
        <x:v>0.14925373134328357</x:v>
      </x:c>
      <x:c r="F136" s="310" t="n">
        <x:f>IFERROR('Source rates'!$O$445,NA())</x:f>
        <x:v>0.43283582089552236</x:v>
      </x:c>
    </x:row>
    <x:row r="137" ht="20" customHeight="1">
      <x:c r="A137" s="309"/>
      <x:c r="B137" s="309" t="str">
        <x:v>FPR</x:v>
      </x:c>
      <x:c r="C137" s="310" t="n">
        <x:f>IFERROR('Source rates'!$P$442,NA())</x:f>
        <x:v>0.2692307692307692</x:v>
      </x:c>
      <x:c r="D137" s="310" t="n">
        <x:f>IFERROR('Source rates'!$P$443,NA())</x:f>
        <x:v>0.21153846153846154</x:v>
      </x:c>
      <x:c r="E137" s="310" t="n">
        <x:f>IFERROR('Source rates'!$P$444,NA())</x:f>
        <x:v>0.6153846153846154</x:v>
      </x:c>
      <x:c r="F137" s="317" t="n">
        <x:f>IFERROR('Source rates'!$P$445,NA())</x:f>
        <x:v>0.15384615384615385</x:v>
      </x:c>
    </x:row>
    <x:row r="138" ht="20" customHeight="1">
      <x:c r="A138" s="309"/>
      <x:c r="B138" s="309" t="str">
        <x:v>F1</x:v>
      </x:c>
      <x:c r="C138" s="317" t="n">
        <x:f>IFERROR('Source rates'!$Q$442,NA())</x:f>
        <x:v>0.7538461538461538</x:v>
      </x:c>
      <x:c r="D138" s="310" t="n">
        <x:f>IFERROR('Source rates'!$Q$443,NA())</x:f>
        <x:v>0.752</x:v>
      </x:c>
      <x:c r="E138" s="310" t="n">
        <x:f>IFERROR('Source rates'!$Q$444,NA())</x:f>
        <x:v>0.7307692307692307</x:v>
      </x:c>
      <x:c r="F138" s="310" t="n">
        <x:f>IFERROR('Source rates'!$Q$445,NA())</x:f>
        <x:v>0.672566371681416</x:v>
      </x:c>
    </x:row>
    <x:row r="139" ht="20" customHeight="1">
      <x:c r="A139" s="309"/>
      <x:c r="B139" s="309" t="str">
        <x:v>AUC</x:v>
      </x:c>
      <x:c r="C139" s="317" t="n">
        <x:f>IFERROR('Source rates'!$R$442,NA())</x:f>
        <x:v>0.8045350172215844</x:v>
      </x:c>
      <x:c r="D139" s="310" t="n">
        <x:f>IFERROR('Source rates'!$R$443,NA())</x:f>
        <x:v>0.8005166475315729</x:v>
      </x:c>
      <x:c r="E139" s="310" t="n">
        <x:f>IFERROR('Source rates'!$R$444,NA())</x:f>
        <x:v>0.7623421354764638</x:v>
      </x:c>
      <x:c r="F139" s="310" t="n">
        <x:f>IFERROR('Source rates'!$R$445,NA())</x:f>
        <x:v>0.7985074626865671</x:v>
      </x:c>
    </x:row>
    <x:row r="140" ht="20" customHeight="1">
      <x:c r="A140" s="314" t="str">
        <x:v>S=6D</x:v>
      </x:c>
      <x:c r="B140" s="314" t="str">
        <x:v>FNR</x:v>
      </x:c>
      <x:c r="C140" s="315" t="n">
        <x:f>IFERROR('Source rates'!$O$446,NA())</x:f>
        <x:v>0.05263157894736842</x:v>
      </x:c>
      <x:c r="D140" s="319" t="n">
        <x:f>IFERROR('Source rates'!$O$447,NA())</x:f>
        <x:v>0.03508771929824561</x:v>
      </x:c>
      <x:c r="E140" s="319" t="n">
        <x:f>IFERROR('Source rates'!$O$448,NA())</x:f>
        <x:v>0.03508771929824561</x:v>
      </x:c>
      <x:c r="F140" s="315" t="n">
        <x:f>IFERROR('Source rates'!$O$449,NA())</x:f>
        <x:v>0.3333333333333333</x:v>
      </x:c>
    </x:row>
    <x:row r="141" ht="20" customHeight="1">
      <x:c r="A141" s="314"/>
      <x:c r="B141" s="314" t="str">
        <x:v>FPR</x:v>
      </x:c>
      <x:c r="C141" s="315" t="n">
        <x:f>IFERROR('Source rates'!$P$446,NA())</x:f>
        <x:v>0.27419354838709675</x:v>
      </x:c>
      <x:c r="D141" s="315" t="n">
        <x:f>IFERROR('Source rates'!$P$447,NA())</x:f>
        <x:v>0.2903225806451613</x:v>
      </x:c>
      <x:c r="E141" s="315" t="n">
        <x:f>IFERROR('Source rates'!$P$448,NA())</x:f>
        <x:v>0.5483870967741935</x:v>
      </x:c>
      <x:c r="F141" s="319" t="n">
        <x:f>IFERROR('Source rates'!$P$449,NA())</x:f>
        <x:v>0.04838709677419355</x:v>
      </x:c>
    </x:row>
    <x:row r="142" ht="20" customHeight="1">
      <x:c r="A142" s="314"/>
      <x:c r="B142" s="314" t="str">
        <x:v>F1</x:v>
      </x:c>
      <x:c r="C142" s="315" t="n">
        <x:f>IFERROR('Source rates'!$Q$446,NA())</x:f>
        <x:v>0.84375</x:v>
      </x:c>
      <x:c r="D142" s="319" t="n">
        <x:f>IFERROR('Source rates'!$Q$447,NA())</x:f>
        <x:v>0.8461538461538461</x:v>
      </x:c>
      <x:c r="E142" s="315" t="n">
        <x:f>IFERROR('Source rates'!$Q$448,NA())</x:f>
        <x:v>0.7534246575342466</x:v>
      </x:c>
      <x:c r="F142" s="315" t="n">
        <x:f>IFERROR('Source rates'!$Q$449,NA())</x:f>
        <x:v>0.7755102040816326</x:v>
      </x:c>
    </x:row>
    <x:row r="143" ht="20" customHeight="1">
      <x:c r="A143" s="314"/>
      <x:c r="B143" s="314" t="str">
        <x:v>AUC</x:v>
      </x:c>
      <x:c r="C143" s="315" t="n">
        <x:f>IFERROR('Source rates'!$R$446,NA())</x:f>
        <x:v>0.9558573853989814</x:v>
      </x:c>
      <x:c r="D143" s="315" t="n">
        <x:f>IFERROR('Source rates'!$R$447,NA())</x:f>
        <x:v>0.9527447651386531</x:v>
      </x:c>
      <x:c r="E143" s="319" t="n">
        <x:f>IFERROR('Source rates'!$R$448,NA())</x:f>
        <x:v>0.9581211092246746</x:v>
      </x:c>
      <x:c r="F143" s="315" t="n">
        <x:f>IFERROR('Source rates'!$R$449,NA())</x:f>
        <x:v>0.9284097340124505</x:v>
      </x:c>
    </x:row>
    <x:row r="145" ht="22" customHeight="1">
      <x:c r="A145" s="298" t="str">
        <x:v>Signed log10 ML error — Assumed M2</x:v>
      </x:c>
      <x:c r="B145" s="298"/>
      <x:c r="C145" s="298"/>
      <x:c r="D145" s="298"/>
      <x:c r="E145" s="298"/>
      <x:c r="F145" s="298"/>
    </x:row>
    <x:row r="146" ht="22" customHeight="1">
      <x:c r="A146" s="301" t="str">
        <x:v>ESS-filtered raw, network-specific NPE-MCMC central 90% interval [q5, q95]</x:v>
      </x:c>
      <x:c r="B146" s="301"/>
      <x:c r="C146" s="301"/>
      <x:c r="D146" s="301"/>
      <x:c r="E146" s="301"/>
      <x:c r="F146" s="301"/>
    </x:row>
    <x:row r="147" ht="20" customHeight="1">
      <x:c r="A147" s="305" t="str">
        <x:v>Summary</x:v>
      </x:c>
      <x:c r="B147" s="305" t="str">
        <x:v>Statistic</x:v>
      </x:c>
      <x:c r="C147" s="305" t="str">
        <x:v>L2</x:v>
      </x:c>
      <x:c r="D147" s="305" t="str">
        <x:v>L∞</x:v>
      </x:c>
      <x:c r="E147" s="305" t="str">
        <x:v>Density</x:v>
      </x:c>
      <x:c r="F147" s="305" t="str">
        <x:v>MMD</x:v>
      </x:c>
    </x:row>
    <x:row r="148" ht="20" customHeight="1">
      <x:c r="A148" s="309" t="str">
        <x:v>S=D</x:v>
      </x:c>
      <x:c r="B148" s="309" t="str">
        <x:v>FNR</x:v>
      </x:c>
      <x:c r="C148" s="317" t="n">
        <x:f>IFERROR('Source rates'!$O$450,NA())</x:f>
        <x:v>0.3142857142857143</x:v>
      </x:c>
      <x:c r="D148" s="317" t="n">
        <x:f>IFERROR('Source rates'!$O$451,NA())</x:f>
        <x:v>0.3142857142857143</x:v>
      </x:c>
      <x:c r="E148" s="310" t="n">
        <x:f>IFERROR('Source rates'!$O$452,NA())</x:f>
        <x:v>0.42857142857142855</x:v>
      </x:c>
      <x:c r="F148" s="310" t="n">
        <x:f>IFERROR('Source rates'!$O$453,NA())</x:f>
        <x:v>0.7428571428571429</x:v>
      </x:c>
    </x:row>
    <x:row r="149" ht="20" customHeight="1">
      <x:c r="A149" s="309"/>
      <x:c r="B149" s="309" t="str">
        <x:v>FPR</x:v>
      </x:c>
      <x:c r="C149" s="310" t="n">
        <x:f>IFERROR('Source rates'!$P$450,NA())</x:f>
        <x:v>0.20238095238095238</x:v>
      </x:c>
      <x:c r="D149" s="310" t="n">
        <x:f>IFERROR('Source rates'!$P$451,NA())</x:f>
        <x:v>0.16666666666666666</x:v>
      </x:c>
      <x:c r="E149" s="310" t="n">
        <x:f>IFERROR('Source rates'!$P$452,NA())</x:f>
        <x:v>0.34523809523809523</x:v>
      </x:c>
      <x:c r="F149" s="317" t="n">
        <x:f>IFERROR('Source rates'!$P$453,NA())</x:f>
        <x:v>0.047619047619047616</x:v>
      </x:c>
    </x:row>
    <x:row r="150" ht="20" customHeight="1">
      <x:c r="A150" s="309"/>
      <x:c r="B150" s="309" t="str">
        <x:v>F1</x:v>
      </x:c>
      <x:c r="C150" s="310" t="n">
        <x:f>IFERROR('Source rates'!$Q$450,NA())</x:f>
        <x:v>0.631578947368421</x:v>
      </x:c>
      <x:c r="D150" s="317" t="n">
        <x:f>IFERROR('Source rates'!$Q$451,NA())</x:f>
        <x:v>0.6575342465753424</x:v>
      </x:c>
      <x:c r="E150" s="310" t="n">
        <x:f>IFERROR('Source rates'!$Q$452,NA())</x:f>
        <x:v>0.47619047619047616</x:v>
      </x:c>
      <x:c r="F150" s="310" t="n">
        <x:f>IFERROR('Source rates'!$Q$453,NA())</x:f>
        <x:v>0.375</x:v>
      </x:c>
    </x:row>
    <x:row r="151" ht="20" customHeight="1">
      <x:c r="A151" s="309"/>
      <x:c r="B151" s="309" t="str">
        <x:v>AUC</x:v>
      </x:c>
      <x:c r="C151" s="317" t="n">
        <x:f>IFERROR('Source rates'!$R$450,NA())</x:f>
        <x:v>0.8363945578231292</x:v>
      </x:c>
      <x:c r="D151" s="310" t="n">
        <x:f>IFERROR('Source rates'!$R$451,NA())</x:f>
        <x:v>0.7908163265306123</x:v>
      </x:c>
      <x:c r="E151" s="310" t="n">
        <x:f>IFERROR('Source rates'!$R$452,NA())</x:f>
        <x:v>0.7503401360544217</x:v>
      </x:c>
      <x:c r="F151" s="310" t="n">
        <x:f>IFERROR('Source rates'!$R$453,NA())</x:f>
        <x:v>0.8197278911564626</x:v>
      </x:c>
    </x:row>
    <x:row r="152" ht="20" customHeight="1">
      <x:c r="A152" s="314" t="str">
        <x:v>S=2D</x:v>
      </x:c>
      <x:c r="B152" s="314" t="str">
        <x:v>FNR</x:v>
      </x:c>
      <x:c r="C152" s="315" t="n">
        <x:f>IFERROR('Source rates'!$O$454,NA())</x:f>
        <x:v>0.5</x:v>
      </x:c>
      <x:c r="D152" s="315" t="n">
        <x:f>IFERROR('Source rates'!$O$455,NA())</x:f>
        <x:v>0.5434782608695652</x:v>
      </x:c>
      <x:c r="E152" s="319" t="n">
        <x:f>IFERROR('Source rates'!$O$456,NA())</x:f>
        <x:v>0.21739130434782608</x:v>
      </x:c>
      <x:c r="F152" s="315" t="n">
        <x:f>IFERROR('Source rates'!$O$457,NA())</x:f>
        <x:v>0.6521739130434783</x:v>
      </x:c>
    </x:row>
    <x:row r="153" ht="20" customHeight="1">
      <x:c r="A153" s="314"/>
      <x:c r="B153" s="314" t="str">
        <x:v>FPR</x:v>
      </x:c>
      <x:c r="C153" s="315" t="n">
        <x:f>IFERROR('Source rates'!$P$454,NA())</x:f>
        <x:v>0.3013698630136986</x:v>
      </x:c>
      <x:c r="D153" s="315" t="n">
        <x:f>IFERROR('Source rates'!$P$455,NA())</x:f>
        <x:v>0.2191780821917808</x:v>
      </x:c>
      <x:c r="E153" s="315" t="n">
        <x:f>IFERROR('Source rates'!$P$456,NA())</x:f>
        <x:v>0.6164383561643836</x:v>
      </x:c>
      <x:c r="F153" s="319" t="n">
        <x:f>IFERROR('Source rates'!$P$457,NA())</x:f>
        <x:v>0.2054794520547945</x:v>
      </x:c>
    </x:row>
    <x:row r="154" ht="20" customHeight="1">
      <x:c r="A154" s="314"/>
      <x:c r="B154" s="314" t="str">
        <x:v>F1</x:v>
      </x:c>
      <x:c r="C154" s="315" t="n">
        <x:f>IFERROR('Source rates'!$Q$454,NA())</x:f>
        <x:v>0.5054945054945055</x:v>
      </x:c>
      <x:c r="D154" s="315" t="n">
        <x:f>IFERROR('Source rates'!$Q$455,NA())</x:f>
        <x:v>0.5060240963855421</x:v>
      </x:c>
      <x:c r="E154" s="319" t="n">
        <x:f>IFERROR('Source rates'!$Q$456,NA())</x:f>
        <x:v>0.5669291338582677</x:v>
      </x:c>
      <x:c r="F154" s="315" t="n">
        <x:f>IFERROR('Source rates'!$Q$457,NA())</x:f>
        <x:v>0.4155844155844156</x:v>
      </x:c>
    </x:row>
    <x:row r="155" ht="20" customHeight="1">
      <x:c r="A155" s="314"/>
      <x:c r="B155" s="314" t="str">
        <x:v>AUC</x:v>
      </x:c>
      <x:c r="C155" s="315" t="n">
        <x:f>IFERROR('Source rates'!$R$454,NA())</x:f>
        <x:v>0.6116736152471709</x:v>
      </x:c>
      <x:c r="D155" s="315" t="n">
        <x:f>IFERROR('Source rates'!$R$455,NA())</x:f>
        <x:v>0.6405598570577725</x:v>
      </x:c>
      <x:c r="E155" s="319" t="n">
        <x:f>IFERROR('Source rates'!$R$456,NA())</x:f>
        <x:v>0.6891006551518761</x:v>
      </x:c>
      <x:c r="F155" s="315" t="n">
        <x:f>IFERROR('Source rates'!$R$457,NA())</x:f>
        <x:v>0.5556879094699225</x:v>
      </x:c>
    </x:row>
    <x:row r="156" ht="20" customHeight="1">
      <x:c r="A156" s="309" t="str">
        <x:v>S=4D</x:v>
      </x:c>
      <x:c r="B156" s="309" t="str">
        <x:v>FNR</x:v>
      </x:c>
      <x:c r="C156" s="310" t="n">
        <x:f>IFERROR('Source rates'!$O$458,NA())</x:f>
        <x:v>0.4117647058823529</x:v>
      </x:c>
      <x:c r="D156" s="310" t="n">
        <x:f>IFERROR('Source rates'!$O$459,NA())</x:f>
        <x:v>0.4117647058823529</x:v>
      </x:c>
      <x:c r="E156" s="317" t="n">
        <x:f>IFERROR('Source rates'!$O$460,NA())</x:f>
        <x:v>0.14705882352941177</x:v>
      </x:c>
      <x:c r="F156" s="310" t="n">
        <x:f>IFERROR('Source rates'!$O$461,NA())</x:f>
        <x:v>0.5882352941176471</x:v>
      </x:c>
    </x:row>
    <x:row r="157" ht="20" customHeight="1">
      <x:c r="A157" s="309"/>
      <x:c r="B157" s="309" t="str">
        <x:v>FPR</x:v>
      </x:c>
      <x:c r="C157" s="310" t="n">
        <x:f>IFERROR('Source rates'!$P$458,NA())</x:f>
        <x:v>0.29411764705882354</x:v>
      </x:c>
      <x:c r="D157" s="310" t="n">
        <x:f>IFERROR('Source rates'!$P$459,NA())</x:f>
        <x:v>0.3058823529411765</x:v>
      </x:c>
      <x:c r="E157" s="310" t="n">
        <x:f>IFERROR('Source rates'!$P$460,NA())</x:f>
        <x:v>0.5411764705882353</x:v>
      </x:c>
      <x:c r="F157" s="317" t="n">
        <x:f>IFERROR('Source rates'!$P$461,NA())</x:f>
        <x:v>0.23529411764705882</x:v>
      </x:c>
    </x:row>
    <x:row r="158" ht="20" customHeight="1">
      <x:c r="A158" s="309"/>
      <x:c r="B158" s="309" t="str">
        <x:v>F1</x:v>
      </x:c>
      <x:c r="C158" s="310" t="n">
        <x:f>IFERROR('Source rates'!$Q$458,NA())</x:f>
        <x:v>0.5063291139240507</x:v>
      </x:c>
      <x:c r="D158" s="310" t="n">
        <x:f>IFERROR('Source rates'!$Q$459,NA())</x:f>
        <x:v>0.5</x:v>
      </x:c>
      <x:c r="E158" s="317" t="n">
        <x:f>IFERROR('Source rates'!$Q$460,NA())</x:f>
        <x:v>0.5321100917431193</x:v>
      </x:c>
      <x:c r="F158" s="310" t="n">
        <x:f>IFERROR('Source rates'!$Q$461,NA())</x:f>
        <x:v>0.4117647058823529</x:v>
      </x:c>
    </x:row>
    <x:row r="159" ht="20" customHeight="1">
      <x:c r="A159" s="309"/>
      <x:c r="B159" s="309" t="str">
        <x:v>AUC</x:v>
      </x:c>
      <x:c r="C159" s="310" t="n">
        <x:f>IFERROR('Source rates'!$R$458,NA())</x:f>
        <x:v>0.6951557093425605</x:v>
      </x:c>
      <x:c r="D159" s="310" t="n">
        <x:f>IFERROR('Source rates'!$R$459,NA())</x:f>
        <x:v>0.6795847750865052</x:v>
      </x:c>
      <x:c r="E159" s="317" t="n">
        <x:f>IFERROR('Source rates'!$R$460,NA())</x:f>
        <x:v>0.6955017301038062</x:v>
      </x:c>
      <x:c r="F159" s="310" t="n">
        <x:f>IFERROR('Source rates'!$R$461,NA())</x:f>
        <x:v>0.6259515570934256</x:v>
      </x:c>
    </x:row>
    <x:row r="160" ht="20" customHeight="1">
      <x:c r="A160" s="314" t="str">
        <x:v>S=6D</x:v>
      </x:c>
      <x:c r="B160" s="314" t="str">
        <x:v>FNR</x:v>
      </x:c>
      <x:c r="C160" s="315" t="n">
        <x:f>IFERROR('Source rates'!$O$462,NA())</x:f>
        <x:v>0.37209302325581395</x:v>
      </x:c>
      <x:c r="D160" s="315" t="n">
        <x:f>IFERROR('Source rates'!$O$463,NA())</x:f>
        <x:v>0.37209302325581395</x:v>
      </x:c>
      <x:c r="E160" s="319" t="n">
        <x:f>IFERROR('Source rates'!$O$464,NA())</x:f>
        <x:v>0.20930232558139536</x:v>
      </x:c>
      <x:c r="F160" s="315" t="n">
        <x:f>IFERROR('Source rates'!$O$465,NA())</x:f>
        <x:v>0.5116279069767442</x:v>
      </x:c>
    </x:row>
    <x:row r="161" ht="20" customHeight="1">
      <x:c r="A161" s="314"/>
      <x:c r="B161" s="314" t="str">
        <x:v>FPR</x:v>
      </x:c>
      <x:c r="C161" s="315" t="n">
        <x:f>IFERROR('Source rates'!$P$462,NA())</x:f>
        <x:v>0.3157894736842105</x:v>
      </x:c>
      <x:c r="D161" s="315" t="n">
        <x:f>IFERROR('Source rates'!$P$463,NA())</x:f>
        <x:v>0.3026315789473684</x:v>
      </x:c>
      <x:c r="E161" s="315" t="n">
        <x:f>IFERROR('Source rates'!$P$464,NA())</x:f>
        <x:v>0.5921052631578947</x:v>
      </x:c>
      <x:c r="F161" s="319" t="n">
        <x:f>IFERROR('Source rates'!$P$465,NA())</x:f>
        <x:v>0.25</x:v>
      </x:c>
    </x:row>
    <x:row r="162" ht="20" customHeight="1">
      <x:c r="A162" s="314"/>
      <x:c r="B162" s="314" t="str">
        <x:v>F1</x:v>
      </x:c>
      <x:c r="C162" s="315" t="n">
        <x:f>IFERROR('Source rates'!$Q$462,NA())</x:f>
        <x:v>0.574468085106383</x:v>
      </x:c>
      <x:c r="D162" s="319" t="n">
        <x:f>IFERROR('Source rates'!$Q$463,NA())</x:f>
        <x:v>0.5806451612903226</x:v>
      </x:c>
      <x:c r="E162" s="315" t="n">
        <x:f>IFERROR('Source rates'!$Q$464,NA())</x:f>
        <x:v>0.5573770491803278</x:v>
      </x:c>
      <x:c r="F162" s="315" t="n">
        <x:f>IFERROR('Source rates'!$Q$465,NA())</x:f>
        <x:v>0.5060240963855421</x:v>
      </x:c>
    </x:row>
    <x:row r="163" ht="20" customHeight="1">
      <x:c r="A163" s="314"/>
      <x:c r="B163" s="314" t="str">
        <x:v>AUC</x:v>
      </x:c>
      <x:c r="C163" s="319" t="n">
        <x:f>IFERROR('Source rates'!$R$462,NA())</x:f>
        <x:v>0.6967564259485924</x:v>
      </x:c>
      <x:c r="D163" s="315" t="n">
        <x:f>IFERROR('Source rates'!$R$463,NA())</x:f>
        <x:v>0.6891064871481029</x:v>
      </x:c>
      <x:c r="E163" s="315" t="n">
        <x:f>IFERROR('Source rates'!$R$464,NA())</x:f>
        <x:v>0.671358629130967</x:v>
      </x:c>
      <x:c r="F163" s="315" t="n">
        <x:f>IFERROR('Source rates'!$R$465,NA())</x:f>
        <x:v>0.6753365973072215</x:v>
      </x:c>
    </x:row>
    <x:row r="165" ht="22" customHeight="1">
      <x:c r="A165" s="298" t="str">
        <x:v>Signed PMP error — Assumed M0</x:v>
      </x:c>
      <x:c r="B165" s="298"/>
      <x:c r="C165" s="298"/>
      <x:c r="D165" s="298"/>
      <x:c r="E165" s="298"/>
      <x:c r="F165" s="298"/>
    </x:row>
    <x:row r="166" ht="22" customHeight="1">
      <x:c r="A166" s="301" t="str">
        <x:v>ESS-filtered raw, network-specific NPE-MCMC central 90% interval [q5, q95]</x:v>
      </x:c>
      <x:c r="B166" s="301"/>
      <x:c r="C166" s="301"/>
      <x:c r="D166" s="301"/>
      <x:c r="E166" s="301"/>
      <x:c r="F166" s="301"/>
    </x:row>
    <x:row r="167" ht="20" customHeight="1">
      <x:c r="A167" s="305" t="str">
        <x:v>Summary</x:v>
      </x:c>
      <x:c r="B167" s="305" t="str">
        <x:v>Statistic</x:v>
      </x:c>
      <x:c r="C167" s="305" t="str">
        <x:v>L2</x:v>
      </x:c>
      <x:c r="D167" s="305" t="str">
        <x:v>L∞</x:v>
      </x:c>
      <x:c r="E167" s="305" t="str">
        <x:v>Density</x:v>
      </x:c>
      <x:c r="F167" s="305" t="str">
        <x:v>MMD</x:v>
      </x:c>
    </x:row>
    <x:row r="168" ht="20" customHeight="1">
      <x:c r="A168" s="309" t="str">
        <x:v>S=D</x:v>
      </x:c>
      <x:c r="B168" s="309" t="str">
        <x:v>FNR</x:v>
      </x:c>
      <x:c r="C168" s="317" t="n">
        <x:f>IFERROR('Source rates'!$O$466,NA())</x:f>
        <x:v>0.8333333333333334</x:v>
      </x:c>
      <x:c r="D168" s="317" t="n">
        <x:f>IFERROR('Source rates'!$O$467,NA())</x:f>
        <x:v>0.8333333333333334</x:v>
      </x:c>
      <x:c r="E168" s="317" t="n">
        <x:f>IFERROR('Source rates'!$O$468,NA())</x:f>
        <x:v>0.8333333333333334</x:v>
      </x:c>
      <x:c r="F168" s="310" t="n">
        <x:f>IFERROR('Source rates'!$O$469,NA())</x:f>
        <x:v>1</x:v>
      </x:c>
    </x:row>
    <x:row r="169" ht="20" customHeight="1">
      <x:c r="A169" s="309"/>
      <x:c r="B169" s="309" t="str">
        <x:v>FPR</x:v>
      </x:c>
      <x:c r="C169" s="310" t="n">
        <x:f>IFERROR('Source rates'!$P$466,NA())</x:f>
        <x:v>0.5398230088495575</x:v>
      </x:c>
      <x:c r="D169" s="310" t="n">
        <x:f>IFERROR('Source rates'!$P$467,NA())</x:f>
        <x:v>0.45132743362831856</x:v>
      </x:c>
      <x:c r="E169" s="310" t="n">
        <x:f>IFERROR('Source rates'!$P$468,NA())</x:f>
        <x:v>0.6548672566371682</x:v>
      </x:c>
      <x:c r="F169" s="317" t="n">
        <x:f>IFERROR('Source rates'!$P$469,NA())</x:f>
        <x:v>0.336283185840708</x:v>
      </x:c>
    </x:row>
    <x:row r="170" ht="20" customHeight="1">
      <x:c r="A170" s="309"/>
      <x:c r="B170" s="309" t="str">
        <x:v>F1</x:v>
      </x:c>
      <x:c r="C170" s="310" t="n">
        <x:f>IFERROR('Source rates'!$Q$466,NA())</x:f>
        <x:v>0.029411764705882353</x:v>
      </x:c>
      <x:c r="D170" s="317" t="n">
        <x:f>IFERROR('Source rates'!$Q$467,NA())</x:f>
        <x:v>0.034482758620689655</x:v>
      </x:c>
      <x:c r="E170" s="310" t="n">
        <x:f>IFERROR('Source rates'!$Q$468,NA())</x:f>
        <x:v>0.024691358024691357</x:v>
      </x:c>
      <x:c r="F170" s="310" t="n">
        <x:f>IFERROR('Source rates'!$Q$469,NA())</x:f>
        <x:v>0</x:v>
      </x:c>
    </x:row>
    <x:row r="171" ht="20" customHeight="1">
      <x:c r="A171" s="309"/>
      <x:c r="B171" s="309" t="str">
        <x:v>AUC</x:v>
      </x:c>
      <x:c r="C171" s="310" t="n">
        <x:f>IFERROR('Source rates'!$R$466,NA())</x:f>
        <x:v>0.31710914454277284</x:v>
      </x:c>
      <x:c r="D171" s="310" t="n">
        <x:f>IFERROR('Source rates'!$R$467,NA())</x:f>
        <x:v>0.2743362831858407</x:v>
      </x:c>
      <x:c r="E171" s="310" t="n">
        <x:f>IFERROR('Source rates'!$R$468,NA())</x:f>
        <x:v>0.2610619469026549</x:v>
      </x:c>
      <x:c r="F171" s="317" t="n">
        <x:f>IFERROR('Source rates'!$R$469,NA())</x:f>
        <x:v>0.4247787610619469</x:v>
      </x:c>
    </x:row>
    <x:row r="172" ht="20" customHeight="1">
      <x:c r="A172" s="314" t="str">
        <x:v>S=2D</x:v>
      </x:c>
      <x:c r="B172" s="314" t="str">
        <x:v>FNR</x:v>
      </x:c>
      <x:c r="C172" s="319" t="n">
        <x:f>IFERROR('Source rates'!$O$470,NA())</x:f>
        <x:v>0.75</x:v>
      </x:c>
      <x:c r="D172" s="315" t="n">
        <x:f>IFERROR('Source rates'!$O$471,NA())</x:f>
        <x:v>1</x:v>
      </x:c>
      <x:c r="E172" s="319" t="n">
        <x:f>IFERROR('Source rates'!$O$472,NA())</x:f>
        <x:v>0.75</x:v>
      </x:c>
      <x:c r="F172" s="315" t="n">
        <x:f>IFERROR('Source rates'!$O$473,NA())</x:f>
        <x:v>1</x:v>
      </x:c>
    </x:row>
    <x:row r="173" ht="20" customHeight="1">
      <x:c r="A173" s="314"/>
      <x:c r="B173" s="314" t="str">
        <x:v>FPR</x:v>
      </x:c>
      <x:c r="C173" s="315" t="n">
        <x:f>IFERROR('Source rates'!$P$470,NA())</x:f>
        <x:v>0.5130434782608696</x:v>
      </x:c>
      <x:c r="D173" s="315" t="n">
        <x:f>IFERROR('Source rates'!$P$471,NA())</x:f>
        <x:v>0.5043478260869565</x:v>
      </x:c>
      <x:c r="E173" s="315" t="n">
        <x:f>IFERROR('Source rates'!$P$472,NA())</x:f>
        <x:v>0.7304347826086957</x:v>
      </x:c>
      <x:c r="F173" s="319" t="n">
        <x:f>IFERROR('Source rates'!$P$473,NA())</x:f>
        <x:v>0.3565217391304348</x:v>
      </x:c>
    </x:row>
    <x:row r="174" ht="20" customHeight="1">
      <x:c r="A174" s="314"/>
      <x:c r="B174" s="314" t="str">
        <x:v>F1</x:v>
      </x:c>
      <x:c r="C174" s="319" t="n">
        <x:f>IFERROR('Source rates'!$Q$470,NA())</x:f>
        <x:v>0.03125</x:v>
      </x:c>
      <x:c r="D174" s="315" t="n">
        <x:f>IFERROR('Source rates'!$Q$471,NA())</x:f>
        <x:v>0</x:v>
      </x:c>
      <x:c r="E174" s="315" t="n">
        <x:f>IFERROR('Source rates'!$Q$472,NA())</x:f>
        <x:v>0.02247191011235955</x:v>
      </x:c>
      <x:c r="F174" s="315" t="n">
        <x:f>IFERROR('Source rates'!$Q$473,NA())</x:f>
        <x:v>0</x:v>
      </x:c>
    </x:row>
    <x:row r="175" ht="20" customHeight="1">
      <x:c r="A175" s="314"/>
      <x:c r="B175" s="314" t="str">
        <x:v>AUC</x:v>
      </x:c>
      <x:c r="C175" s="315" t="n">
        <x:f>IFERROR('Source rates'!$R$470,NA())</x:f>
        <x:v>0.40217391304347827</x:v>
      </x:c>
      <x:c r="D175" s="315" t="n">
        <x:f>IFERROR('Source rates'!$R$471,NA())</x:f>
        <x:v>0.41304347826086957</x:v>
      </x:c>
      <x:c r="E175" s="315" t="n">
        <x:f>IFERROR('Source rates'!$R$472,NA())</x:f>
        <x:v>0.30434782608695654</x:v>
      </x:c>
      <x:c r="F175" s="319" t="n">
        <x:f>IFERROR('Source rates'!$R$473,NA())</x:f>
        <x:v>0.5065217391304347</x:v>
      </x:c>
    </x:row>
    <x:row r="176" ht="20" customHeight="1">
      <x:c r="A176" s="309" t="str">
        <x:v>S=4D</x:v>
      </x:c>
      <x:c r="B176" s="309" t="str">
        <x:v>FNR</x:v>
      </x:c>
      <x:c r="C176" s="317" t="n">
        <x:f>IFERROR('Source rates'!$O$474,NA())</x:f>
        <x:v>1</x:v>
      </x:c>
      <x:c r="D176" s="317" t="n">
        <x:f>IFERROR('Source rates'!$O$475,NA())</x:f>
        <x:v>1</x:v>
      </x:c>
      <x:c r="E176" s="317" t="n">
        <x:f>IFERROR('Source rates'!$O$476,NA())</x:f>
        <x:v>1</x:v>
      </x:c>
      <x:c r="F176" s="317" t="n">
        <x:f>IFERROR('Source rates'!$O$477,NA())</x:f>
        <x:v>1</x:v>
      </x:c>
    </x:row>
    <x:row r="177" ht="20" customHeight="1">
      <x:c r="A177" s="309"/>
      <x:c r="B177" s="309" t="str">
        <x:v>FPR</x:v>
      </x:c>
      <x:c r="C177" s="310" t="n">
        <x:f>IFERROR('Source rates'!$P$474,NA())</x:f>
        <x:v>0.5478260869565217</x:v>
      </x:c>
      <x:c r="D177" s="310" t="n">
        <x:f>IFERROR('Source rates'!$P$475,NA())</x:f>
        <x:v>0.5043478260869565</x:v>
      </x:c>
      <x:c r="E177" s="310" t="n">
        <x:f>IFERROR('Source rates'!$P$476,NA())</x:f>
        <x:v>0.7739130434782608</x:v>
      </x:c>
      <x:c r="F177" s="317" t="n">
        <x:f>IFERROR('Source rates'!$P$477,NA())</x:f>
        <x:v>0.4</x:v>
      </x:c>
    </x:row>
    <x:row r="178" ht="20" customHeight="1">
      <x:c r="A178" s="309"/>
      <x:c r="B178" s="309" t="str">
        <x:v>F1</x:v>
      </x:c>
      <x:c r="C178" s="317" t="n">
        <x:f>IFERROR('Source rates'!$Q$474,NA())</x:f>
        <x:v>0</x:v>
      </x:c>
      <x:c r="D178" s="317" t="n">
        <x:f>IFERROR('Source rates'!$Q$475,NA())</x:f>
        <x:v>0</x:v>
      </x:c>
      <x:c r="E178" s="317" t="n">
        <x:f>IFERROR('Source rates'!$Q$476,NA())</x:f>
        <x:v>0</x:v>
      </x:c>
      <x:c r="F178" s="317" t="n">
        <x:f>IFERROR('Source rates'!$Q$477,NA())</x:f>
        <x:v>0</x:v>
      </x:c>
    </x:row>
    <x:row r="179" ht="20" customHeight="1">
      <x:c r="A179" s="309"/>
      <x:c r="B179" s="309" t="str">
        <x:v>AUC</x:v>
      </x:c>
      <x:c r="C179" s="310" t="n">
        <x:f>IFERROR('Source rates'!$R$474,NA())</x:f>
        <x:v>0.23478260869565218</x:v>
      </x:c>
      <x:c r="D179" s="310" t="n">
        <x:f>IFERROR('Source rates'!$R$475,NA())</x:f>
        <x:v>0.21956521739130436</x:v>
      </x:c>
      <x:c r="E179" s="310" t="n">
        <x:f>IFERROR('Source rates'!$R$476,NA())</x:f>
        <x:v>0.1282608695652174</x:v>
      </x:c>
      <x:c r="F179" s="317" t="n">
        <x:f>IFERROR('Source rates'!$R$477,NA())</x:f>
        <x:v>0.34782608695652173</x:v>
      </x:c>
    </x:row>
    <x:row r="180" ht="20" customHeight="1">
      <x:c r="A180" s="314" t="str">
        <x:v>S=6D</x:v>
      </x:c>
      <x:c r="B180" s="314" t="str">
        <x:v>FNR</x:v>
      </x:c>
      <x:c r="C180" s="319" t="n">
        <x:f>IFERROR('Source rates'!$O$478,NA())</x:f>
        <x:v>0.5</x:v>
      </x:c>
      <x:c r="D180" s="319" t="n">
        <x:f>IFERROR('Source rates'!$O$479,NA())</x:f>
        <x:v>0.5</x:v>
      </x:c>
      <x:c r="E180" s="319" t="n">
        <x:f>IFERROR('Source rates'!$O$480,NA())</x:f>
        <x:v>0.5</x:v>
      </x:c>
      <x:c r="F180" s="315" t="n">
        <x:f>IFERROR('Source rates'!$O$481,NA())</x:f>
        <x:v>1</x:v>
      </x:c>
    </x:row>
    <x:row r="181" ht="20" customHeight="1">
      <x:c r="A181" s="314"/>
      <x:c r="B181" s="314" t="str">
        <x:v>FPR</x:v>
      </x:c>
      <x:c r="C181" s="315" t="n">
        <x:f>IFERROR('Source rates'!$P$478,NA())</x:f>
        <x:v>0.5982905982905983</x:v>
      </x:c>
      <x:c r="D181" s="315" t="n">
        <x:f>IFERROR('Source rates'!$P$479,NA())</x:f>
        <x:v>0.6153846153846154</x:v>
      </x:c>
      <x:c r="E181" s="315" t="n">
        <x:f>IFERROR('Source rates'!$P$480,NA())</x:f>
        <x:v>0.7521367521367521</x:v>
      </x:c>
      <x:c r="F181" s="319" t="n">
        <x:f>IFERROR('Source rates'!$P$481,NA())</x:f>
        <x:v>0.3504273504273504</x:v>
      </x:c>
    </x:row>
    <x:row r="182" ht="20" customHeight="1">
      <x:c r="A182" s="314"/>
      <x:c r="B182" s="314" t="str">
        <x:v>F1</x:v>
      </x:c>
      <x:c r="C182" s="319" t="n">
        <x:f>IFERROR('Source rates'!$Q$478,NA())</x:f>
        <x:v>0.0273972602739726</x:v>
      </x:c>
      <x:c r="D182" s="315" t="n">
        <x:f>IFERROR('Source rates'!$Q$479,NA())</x:f>
        <x:v>0.02666666666666667</x:v>
      </x:c>
      <x:c r="E182" s="315" t="n">
        <x:f>IFERROR('Source rates'!$Q$480,NA())</x:f>
        <x:v>0.02197802197802198</x:v>
      </x:c>
      <x:c r="F182" s="315" t="n">
        <x:f>IFERROR('Source rates'!$Q$481,NA())</x:f>
        <x:v>0</x:v>
      </x:c>
    </x:row>
    <x:row r="183" ht="20" customHeight="1">
      <x:c r="A183" s="314"/>
      <x:c r="B183" s="314" t="str">
        <x:v>AUC</x:v>
      </x:c>
      <x:c r="C183" s="315" t="n">
        <x:f>IFERROR('Source rates'!$R$478,NA())</x:f>
        <x:v>0.33760683760683763</x:v>
      </x:c>
      <x:c r="D183" s="315" t="n">
        <x:f>IFERROR('Source rates'!$R$479,NA())</x:f>
        <x:v>0.3034188034188034</x:v>
      </x:c>
      <x:c r="E183" s="315" t="n">
        <x:f>IFERROR('Source rates'!$R$480,NA())</x:f>
        <x:v>0.3034188034188034</x:v>
      </x:c>
      <x:c r="F183" s="319" t="n">
        <x:f>IFERROR('Source rates'!$R$481,NA())</x:f>
        <x:v>0.4017094017094017</x:v>
      </x:c>
    </x:row>
    <x:row r="185" ht="22" customHeight="1">
      <x:c r="A185" s="298" t="str">
        <x:v>Signed PMP error — Assumed M2</x:v>
      </x:c>
      <x:c r="B185" s="298"/>
      <x:c r="C185" s="298"/>
      <x:c r="D185" s="298"/>
      <x:c r="E185" s="298"/>
      <x:c r="F185" s="298"/>
    </x:row>
    <x:row r="186" ht="22" customHeight="1">
      <x:c r="A186" s="301" t="str">
        <x:v>ESS-filtered raw, network-specific NPE-MCMC central 90% interval [q5, q95]</x:v>
      </x:c>
      <x:c r="B186" s="301"/>
      <x:c r="C186" s="301"/>
      <x:c r="D186" s="301"/>
      <x:c r="E186" s="301"/>
      <x:c r="F186" s="301"/>
    </x:row>
    <x:row r="187" ht="20" customHeight="1">
      <x:c r="A187" s="305" t="str">
        <x:v>Summary</x:v>
      </x:c>
      <x:c r="B187" s="305" t="str">
        <x:v>Statistic</x:v>
      </x:c>
      <x:c r="C187" s="305" t="str">
        <x:v>L2</x:v>
      </x:c>
      <x:c r="D187" s="305" t="str">
        <x:v>L∞</x:v>
      </x:c>
      <x:c r="E187" s="305" t="str">
        <x:v>Density</x:v>
      </x:c>
      <x:c r="F187" s="305" t="str">
        <x:v>MMD</x:v>
      </x:c>
    </x:row>
    <x:row r="188" ht="20" customHeight="1">
      <x:c r="A188" s="309" t="str">
        <x:v>S=D</x:v>
      </x:c>
      <x:c r="B188" s="309" t="str">
        <x:v>FNR</x:v>
      </x:c>
      <x:c r="C188" s="310" t="n">
        <x:f>IFERROR('Source rates'!$O$482,NA())</x:f>
        <x:v>0.7333333333333333</x:v>
      </x:c>
      <x:c r="D188" s="310" t="n">
        <x:f>IFERROR('Source rates'!$O$483,NA())</x:f>
        <x:v>0.6666666666666666</x:v>
      </x:c>
      <x:c r="E188" s="317" t="n">
        <x:f>IFERROR('Source rates'!$O$484,NA())</x:f>
        <x:v>0.6</x:v>
      </x:c>
      <x:c r="F188" s="310" t="n">
        <x:f>IFERROR('Source rates'!$O$485,NA())</x:f>
        <x:v>1</x:v>
      </x:c>
    </x:row>
    <x:row r="189" ht="20" customHeight="1">
      <x:c r="A189" s="309"/>
      <x:c r="B189" s="309" t="str">
        <x:v>FPR</x:v>
      </x:c>
      <x:c r="C189" s="310" t="n">
        <x:f>IFERROR('Source rates'!$P$482,NA())</x:f>
        <x:v>0.3557692307692308</x:v>
      </x:c>
      <x:c r="D189" s="310" t="n">
        <x:f>IFERROR('Source rates'!$P$483,NA())</x:f>
        <x:v>0.3173076923076923</x:v>
      </x:c>
      <x:c r="E189" s="310" t="n">
        <x:f>IFERROR('Source rates'!$P$484,NA())</x:f>
        <x:v>0.41346153846153844</x:v>
      </x:c>
      <x:c r="F189" s="317" t="n">
        <x:f>IFERROR('Source rates'!$P$485,NA())</x:f>
        <x:v>0.125</x:v>
      </x:c>
    </x:row>
    <x:row r="190" ht="20" customHeight="1">
      <x:c r="A190" s="309"/>
      <x:c r="B190" s="309" t="str">
        <x:v>F1</x:v>
      </x:c>
      <x:c r="C190" s="310" t="n">
        <x:f>IFERROR('Source rates'!$Q$482,NA())</x:f>
        <x:v>0.14285714285714285</x:v>
      </x:c>
      <x:c r="D190" s="317" t="n">
        <x:f>IFERROR('Source rates'!$Q$483,NA())</x:f>
        <x:v>0.18867924528301888</x:v>
      </x:c>
      <x:c r="E190" s="310" t="n">
        <x:f>IFERROR('Source rates'!$Q$484,NA())</x:f>
        <x:v>0.1875</x:v>
      </x:c>
      <x:c r="F190" s="310" t="n">
        <x:f>IFERROR('Source rates'!$Q$485,NA())</x:f>
        <x:v>0</x:v>
      </x:c>
    </x:row>
    <x:row r="191" ht="20" customHeight="1">
      <x:c r="A191" s="309"/>
      <x:c r="B191" s="309" t="str">
        <x:v>AUC</x:v>
      </x:c>
      <x:c r="C191" s="310" t="n">
        <x:f>IFERROR('Source rates'!$R$482,NA())</x:f>
        <x:v>0.47692307692307695</x:v>
      </x:c>
      <x:c r="D191" s="310" t="n">
        <x:f>IFERROR('Source rates'!$R$483,NA())</x:f>
        <x:v>0.47115384615384615</x:v>
      </x:c>
      <x:c r="E191" s="310" t="n">
        <x:f>IFERROR('Source rates'!$R$484,NA())</x:f>
        <x:v>0.4897435897435897</x:v>
      </x:c>
      <x:c r="F191" s="317" t="n">
        <x:f>IFERROR('Source rates'!$R$485,NA())</x:f>
        <x:v>0.5064102564102564</x:v>
      </x:c>
    </x:row>
    <x:row r="192" ht="20" customHeight="1">
      <x:c r="A192" s="314" t="str">
        <x:v>S=2D</x:v>
      </x:c>
      <x:c r="B192" s="314" t="str">
        <x:v>FNR</x:v>
      </x:c>
      <x:c r="C192" s="319" t="n">
        <x:f>IFERROR('Source rates'!$O$486,NA())</x:f>
        <x:v>0.631578947368421</x:v>
      </x:c>
      <x:c r="D192" s="315" t="n">
        <x:f>IFERROR('Source rates'!$O$487,NA())</x:f>
        <x:v>0.7368421052631579</x:v>
      </x:c>
      <x:c r="E192" s="319" t="n">
        <x:f>IFERROR('Source rates'!$O$488,NA())</x:f>
        <x:v>0.631578947368421</x:v>
      </x:c>
      <x:c r="F192" s="315" t="n">
        <x:f>IFERROR('Source rates'!$O$489,NA())</x:f>
        <x:v>0.8421052631578947</x:v>
      </x:c>
    </x:row>
    <x:row r="193" ht="20" customHeight="1">
      <x:c r="A193" s="314"/>
      <x:c r="B193" s="314" t="str">
        <x:v>FPR</x:v>
      </x:c>
      <x:c r="C193" s="315" t="n">
        <x:f>IFERROR('Source rates'!$P$486,NA())</x:f>
        <x:v>0.38</x:v>
      </x:c>
      <x:c r="D193" s="315" t="n">
        <x:f>IFERROR('Source rates'!$P$487,NA())</x:f>
        <x:v>0.32</x:v>
      </x:c>
      <x:c r="E193" s="315" t="n">
        <x:f>IFERROR('Source rates'!$P$488,NA())</x:f>
        <x:v>0.74</x:v>
      </x:c>
      <x:c r="F193" s="319" t="n">
        <x:f>IFERROR('Source rates'!$P$489,NA())</x:f>
        <x:v>0.28</x:v>
      </x:c>
    </x:row>
    <x:row r="194" ht="20" customHeight="1">
      <x:c r="A194" s="314"/>
      <x:c r="B194" s="314" t="str">
        <x:v>F1</x:v>
      </x:c>
      <x:c r="C194" s="319" t="n">
        <x:f>IFERROR('Source rates'!$Q$486,NA())</x:f>
        <x:v>0.21875</x:v>
      </x:c>
      <x:c r="D194" s="315" t="n">
        <x:f>IFERROR('Source rates'!$Q$487,NA())</x:f>
        <x:v>0.17857142857142858</x:v>
      </x:c>
      <x:c r="E194" s="315" t="n">
        <x:f>IFERROR('Source rates'!$Q$488,NA())</x:f>
        <x:v>0.14</x:v>
      </x:c>
      <x:c r="F194" s="315" t="n">
        <x:f>IFERROR('Source rates'!$Q$489,NA())</x:f>
        <x:v>0.12</x:v>
      </x:c>
    </x:row>
    <x:row r="195" ht="20" customHeight="1">
      <x:c r="A195" s="314"/>
      <x:c r="B195" s="314" t="str">
        <x:v>AUC</x:v>
      </x:c>
      <x:c r="C195" s="315" t="n">
        <x:f>IFERROR('Source rates'!$R$486,NA())</x:f>
        <x:v>0.43842105263157893</x:v>
      </x:c>
      <x:c r="D195" s="315" t="n">
        <x:f>IFERROR('Source rates'!$R$487,NA())</x:f>
        <x:v>0.43894736842105264</x:v>
      </x:c>
      <x:c r="E195" s="315" t="n">
        <x:f>IFERROR('Source rates'!$R$488,NA())</x:f>
        <x:v>0.2768421052631579</x:v>
      </x:c>
      <x:c r="F195" s="319" t="n">
        <x:f>IFERROR('Source rates'!$R$489,NA())</x:f>
        <x:v>0.4768421052631579</x:v>
      </x:c>
    </x:row>
    <x:row r="196" ht="20" customHeight="1">
      <x:c r="A196" s="309" t="str">
        <x:v>S=4D</x:v>
      </x:c>
      <x:c r="B196" s="309" t="str">
        <x:v>FNR</x:v>
      </x:c>
      <x:c r="C196" s="317" t="n">
        <x:f>IFERROR('Source rates'!$O$490,NA())</x:f>
        <x:v>0.7058823529411765</x:v>
      </x:c>
      <x:c r="D196" s="310" t="n">
        <x:f>IFERROR('Source rates'!$O$491,NA())</x:f>
        <x:v>0.7647058823529411</x:v>
      </x:c>
      <x:c r="E196" s="317" t="n">
        <x:f>IFERROR('Source rates'!$O$492,NA())</x:f>
        <x:v>0.7058823529411765</x:v>
      </x:c>
      <x:c r="F196" s="310" t="n">
        <x:f>IFERROR('Source rates'!$O$493,NA())</x:f>
        <x:v>0.8235294117647058</x:v>
      </x:c>
    </x:row>
    <x:row r="197" ht="20" customHeight="1">
      <x:c r="A197" s="309"/>
      <x:c r="B197" s="309" t="str">
        <x:v>FPR</x:v>
      </x:c>
      <x:c r="C197" s="310" t="n">
        <x:f>IFERROR('Source rates'!$P$490,NA())</x:f>
        <x:v>0.39215686274509803</x:v>
      </x:c>
      <x:c r="D197" s="310" t="n">
        <x:f>IFERROR('Source rates'!$P$491,NA())</x:f>
        <x:v>0.4117647058823529</x:v>
      </x:c>
      <x:c r="E197" s="310" t="n">
        <x:f>IFERROR('Source rates'!$P$492,NA())</x:f>
        <x:v>0.6862745098039216</x:v>
      </x:c>
      <x:c r="F197" s="317" t="n">
        <x:f>IFERROR('Source rates'!$P$493,NA())</x:f>
        <x:v>0.30392156862745096</x:v>
      </x:c>
    </x:row>
    <x:row r="198" ht="20" customHeight="1">
      <x:c r="A198" s="309"/>
      <x:c r="B198" s="309" t="str">
        <x:v>F1</x:v>
      </x:c>
      <x:c r="C198" s="317" t="n">
        <x:f>IFERROR('Source rates'!$Q$490,NA())</x:f>
        <x:v>0.16129032258064516</x:v>
      </x:c>
      <x:c r="D198" s="310" t="n">
        <x:f>IFERROR('Source rates'!$Q$491,NA())</x:f>
        <x:v>0.12698412698412698</x:v>
      </x:c>
      <x:c r="E198" s="310" t="n">
        <x:f>IFERROR('Source rates'!$Q$492,NA())</x:f>
        <x:v>0.10869565217391304</x:v>
      </x:c>
      <x:c r="F198" s="310" t="n">
        <x:f>IFERROR('Source rates'!$Q$493,NA())</x:f>
        <x:v>0.11764705882352941</x:v>
      </x:c>
    </x:row>
    <x:row r="199" ht="20" customHeight="1">
      <x:c r="A199" s="309"/>
      <x:c r="B199" s="309" t="str">
        <x:v>AUC</x:v>
      </x:c>
      <x:c r="C199" s="310" t="n">
        <x:f>IFERROR('Source rates'!$R$490,NA())</x:f>
        <x:v>0.395040369088812</x:v>
      </x:c>
      <x:c r="D199" s="310" t="n">
        <x:f>IFERROR('Source rates'!$R$491,NA())</x:f>
        <x:v>0.3863898500576701</x:v>
      </x:c>
      <x:c r="E199" s="310" t="n">
        <x:f>IFERROR('Source rates'!$R$492,NA())</x:f>
        <x:v>0.3373702422145329</x:v>
      </x:c>
      <x:c r="F199" s="317" t="n">
        <x:f>IFERROR('Source rates'!$R$493,NA())</x:f>
        <x:v>0.4688581314878893</x:v>
      </x:c>
    </x:row>
    <x:row r="200" ht="20" customHeight="1">
      <x:c r="A200" s="314" t="str">
        <x:v>S=6D</x:v>
      </x:c>
      <x:c r="B200" s="314" t="str">
        <x:v>FNR</x:v>
      </x:c>
      <x:c r="C200" s="315" t="n">
        <x:f>IFERROR('Source rates'!$O$494,NA())</x:f>
        <x:v>0.7</x:v>
      </x:c>
      <x:c r="D200" s="315" t="n">
        <x:f>IFERROR('Source rates'!$O$495,NA())</x:f>
        <x:v>0.7</x:v>
      </x:c>
      <x:c r="E200" s="319" t="n">
        <x:f>IFERROR('Source rates'!$O$496,NA())</x:f>
        <x:v>0.65</x:v>
      </x:c>
      <x:c r="F200" s="315" t="n">
        <x:f>IFERROR('Source rates'!$O$497,NA())</x:f>
        <x:v>0.8</x:v>
      </x:c>
    </x:row>
    <x:row r="201" ht="20" customHeight="1">
      <x:c r="A201" s="314"/>
      <x:c r="B201" s="314" t="str">
        <x:v>FPR</x:v>
      </x:c>
      <x:c r="C201" s="315" t="n">
        <x:f>IFERROR('Source rates'!$P$494,NA())</x:f>
        <x:v>0.45454545454545453</x:v>
      </x:c>
      <x:c r="D201" s="315" t="n">
        <x:f>IFERROR('Source rates'!$P$495,NA())</x:f>
        <x:v>0.4444444444444444</x:v>
      </x:c>
      <x:c r="E201" s="315" t="n">
        <x:f>IFERROR('Source rates'!$P$496,NA())</x:f>
        <x:v>0.7272727272727273</x:v>
      </x:c>
      <x:c r="F201" s="319" t="n">
        <x:f>IFERROR('Source rates'!$P$497,NA())</x:f>
        <x:v>0.36363636363636365</x:v>
      </x:c>
    </x:row>
    <x:row r="202" ht="20" customHeight="1">
      <x:c r="A202" s="314"/>
      <x:c r="B202" s="314" t="str">
        <x:v>F1</x:v>
      </x:c>
      <x:c r="C202" s="315" t="n">
        <x:f>IFERROR('Source rates'!$Q$494,NA())</x:f>
        <x:v>0.16901408450704225</x:v>
      </x:c>
      <x:c r="D202" s="319" t="n">
        <x:f>IFERROR('Source rates'!$Q$495,NA())</x:f>
        <x:v>0.17142857142857143</x:v>
      </x:c>
      <x:c r="E202" s="315" t="n">
        <x:f>IFERROR('Source rates'!$Q$496,NA())</x:f>
        <x:v>0.1414141414141414</x:v>
      </x:c>
      <x:c r="F202" s="315" t="n">
        <x:f>IFERROR('Source rates'!$Q$497,NA())</x:f>
        <x:v>0.13333333333333333</x:v>
      </x:c>
    </x:row>
    <x:row r="203" ht="20" customHeight="1">
      <x:c r="A203" s="314"/>
      <x:c r="B203" s="314" t="str">
        <x:v>AUC</x:v>
      </x:c>
      <x:c r="C203" s="315" t="n">
        <x:f>IFERROR('Source rates'!$R$494,NA())</x:f>
        <x:v>0.3378787878787879</x:v>
      </x:c>
      <x:c r="D203" s="315" t="n">
        <x:f>IFERROR('Source rates'!$R$495,NA())</x:f>
        <x:v>0.32727272727272727</x:v>
      </x:c>
      <x:c r="E203" s="315" t="n">
        <x:f>IFERROR('Source rates'!$R$496,NA())</x:f>
        <x:v>0.3242424242424242</x:v>
      </x:c>
      <x:c r="F203" s="319" t="n">
        <x:f>IFERROR('Source rates'!$R$497,NA())</x:f>
        <x:v>0.3974747474747475</x:v>
      </x:c>
    </x:row>
    <x:row r="205" ht="22" customHeight="1">
      <x:c r="A205" s="298" t="str">
        <x:v>Posterior MMD — Assumed M0</x:v>
      </x:c>
      <x:c r="B205" s="298"/>
      <x:c r="C205" s="298"/>
      <x:c r="D205" s="298"/>
      <x:c r="E205" s="298"/>
      <x:c r="F205" s="298"/>
    </x:row>
    <x:row r="206" ht="22" customHeight="1">
      <x:c r="A206" s="301" t="str">
        <x:v>ESS-filtered raw, network-specific NPE-MCMC interval [0, q95]</x:v>
      </x:c>
      <x:c r="B206" s="301"/>
      <x:c r="C206" s="301"/>
      <x:c r="D206" s="301"/>
      <x:c r="E206" s="301"/>
      <x:c r="F206" s="301"/>
    </x:row>
    <x:row r="207" ht="20" customHeight="1">
      <x:c r="A207" s="305" t="str">
        <x:v>Summary</x:v>
      </x:c>
      <x:c r="B207" s="305" t="str">
        <x:v>Statistic</x:v>
      </x:c>
      <x:c r="C207" s="305" t="str">
        <x:v>L2</x:v>
      </x:c>
      <x:c r="D207" s="305" t="str">
        <x:v>L∞</x:v>
      </x:c>
      <x:c r="E207" s="305" t="str">
        <x:v>Density</x:v>
      </x:c>
      <x:c r="F207" s="305" t="str">
        <x:v>MMD</x:v>
      </x:c>
    </x:row>
    <x:row r="208" ht="20" customHeight="1">
      <x:c r="A208" s="309" t="str">
        <x:v>S=D</x:v>
      </x:c>
      <x:c r="B208" s="309" t="str">
        <x:v>FNR</x:v>
      </x:c>
      <x:c r="C208" s="310" t="n">
        <x:f>IFERROR('Source rates'!$O$498,NA())</x:f>
        <x:v>0.23684210526315788</x:v>
      </x:c>
      <x:c r="D208" s="310" t="n">
        <x:f>IFERROR('Source rates'!$O$499,NA())</x:f>
        <x:v>0.3684210526315789</x:v>
      </x:c>
      <x:c r="E208" s="317" t="n">
        <x:f>IFERROR('Source rates'!$O$500,NA())</x:f>
        <x:v>0.18421052631578946</x:v>
      </x:c>
      <x:c r="F208" s="310" t="n">
        <x:f>IFERROR('Source rates'!$O$501,NA())</x:f>
        <x:v>0.5131578947368421</x:v>
      </x:c>
    </x:row>
    <x:row r="209" ht="20" customHeight="1">
      <x:c r="A209" s="309"/>
      <x:c r="B209" s="309" t="str">
        <x:v>FPR</x:v>
      </x:c>
      <x:c r="C209" s="310" t="n">
        <x:f>IFERROR('Source rates'!$P$498,NA())</x:f>
        <x:v>0.09302325581395349</x:v>
      </x:c>
      <x:c r="D209" s="310" t="n">
        <x:f>IFERROR('Source rates'!$P$499,NA())</x:f>
        <x:v>0.09302325581395349</x:v>
      </x:c>
      <x:c r="E209" s="310" t="n">
        <x:f>IFERROR('Source rates'!$P$500,NA())</x:f>
        <x:v>0.3023255813953488</x:v>
      </x:c>
      <x:c r="F209" s="317" t="n">
        <x:f>IFERROR('Source rates'!$P$501,NA())</x:f>
        <x:v>0.023255813953488372</x:v>
      </x:c>
    </x:row>
    <x:row r="210" ht="20" customHeight="1">
      <x:c r="A210" s="309"/>
      <x:c r="B210" s="309" t="str">
        <x:v>F1</x:v>
      </x:c>
      <x:c r="C210" s="317" t="n">
        <x:f>IFERROR('Source rates'!$Q$498,NA())</x:f>
        <x:v>0.8405797101449275</x:v>
      </x:c>
      <x:c r="D210" s="310" t="n">
        <x:f>IFERROR('Source rates'!$Q$499,NA())</x:f>
        <x:v>0.75</x:v>
      </x:c>
      <x:c r="E210" s="310" t="n">
        <x:f>IFERROR('Source rates'!$Q$500,NA())</x:f>
        <x:v>0.8211920529801324</x:v>
      </x:c>
      <x:c r="F210" s="310" t="n">
        <x:f>IFERROR('Source rates'!$Q$501,NA())</x:f>
        <x:v>0.6491228070175439</x:v>
      </x:c>
    </x:row>
    <x:row r="211" ht="20" customHeight="1">
      <x:c r="A211" s="309"/>
      <x:c r="B211" s="309" t="str">
        <x:v>AUC</x:v>
      </x:c>
      <x:c r="C211" s="317" t="n">
        <x:f>IFERROR('Source rates'!$R$498,NA())</x:f>
        <x:v>0.9082007343941249</x:v>
      </x:c>
      <x:c r="D211" s="310" t="n">
        <x:f>IFERROR('Source rates'!$R$499,NA())</x:f>
        <x:v>0.8782129742962056</x:v>
      </x:c>
      <x:c r="E211" s="310" t="n">
        <x:f>IFERROR('Source rates'!$R$500,NA())</x:f>
        <x:v>0.8647490820073439</x:v>
      </x:c>
      <x:c r="F211" s="310" t="n">
        <x:f>IFERROR('Source rates'!$R$501,NA())</x:f>
        <x:v>0.8509791921664627</x:v>
      </x:c>
    </x:row>
    <x:row r="212" ht="20" customHeight="1">
      <x:c r="A212" s="314" t="str">
        <x:v>S=2D</x:v>
      </x:c>
      <x:c r="B212" s="314" t="str">
        <x:v>FNR</x:v>
      </x:c>
      <x:c r="C212" s="315" t="n">
        <x:f>IFERROR('Source rates'!$O$502,NA())</x:f>
        <x:v>0.17647058823529413</x:v>
      </x:c>
      <x:c r="D212" s="315" t="n">
        <x:f>IFERROR('Source rates'!$O$503,NA())</x:f>
        <x:v>0.19117647058823528</x:v>
      </x:c>
      <x:c r="E212" s="319" t="n">
        <x:f>IFERROR('Source rates'!$O$504,NA())</x:f>
        <x:v>0.058823529411764705</x:v>
      </x:c>
      <x:c r="F212" s="315" t="n">
        <x:f>IFERROR('Source rates'!$O$505,NA())</x:f>
        <x:v>0.4264705882352941</x:v>
      </x:c>
    </x:row>
    <x:row r="213" ht="20" customHeight="1">
      <x:c r="A213" s="314"/>
      <x:c r="B213" s="314" t="str">
        <x:v>FPR</x:v>
      </x:c>
      <x:c r="C213" s="315" t="n">
        <x:f>IFERROR('Source rates'!$P$502,NA())</x:f>
        <x:v>0.0784313725490196</x:v>
      </x:c>
      <x:c r="D213" s="315" t="n">
        <x:f>IFERROR('Source rates'!$P$503,NA())</x:f>
        <x:v>0.058823529411764705</x:v>
      </x:c>
      <x:c r="E213" s="315" t="n">
        <x:f>IFERROR('Source rates'!$P$504,NA())</x:f>
        <x:v>0.4117647058823529</x:v>
      </x:c>
      <x:c r="F213" s="319" t="n">
        <x:f>IFERROR('Source rates'!$P$505,NA())</x:f>
        <x:v>0.0392156862745098</x:v>
      </x:c>
    </x:row>
    <x:row r="214" ht="20" customHeight="1">
      <x:c r="A214" s="314"/>
      <x:c r="B214" s="314" t="str">
        <x:v>F1</x:v>
      </x:c>
      <x:c r="C214" s="319" t="n">
        <x:f>IFERROR('Source rates'!$Q$502,NA())</x:f>
        <x:v>0.875</x:v>
      </x:c>
      <x:c r="D214" s="315" t="n">
        <x:f>IFERROR('Source rates'!$Q$503,NA())</x:f>
        <x:v>0.873015873015873</x:v>
      </x:c>
      <x:c r="E214" s="315" t="n">
        <x:f>IFERROR('Source rates'!$Q$504,NA())</x:f>
        <x:v>0.8366013071895425</x:v>
      </x:c>
      <x:c r="F214" s="315" t="n">
        <x:f>IFERROR('Source rates'!$Q$505,NA())</x:f>
        <x:v>0.7155963302752294</x:v>
      </x:c>
    </x:row>
    <x:row r="215" ht="20" customHeight="1">
      <x:c r="A215" s="314"/>
      <x:c r="B215" s="314" t="str">
        <x:v>AUC</x:v>
      </x:c>
      <x:c r="C215" s="315" t="n">
        <x:f>IFERROR('Source rates'!$R$502,NA())</x:f>
        <x:v>0.9452133794694348</x:v>
      </x:c>
      <x:c r="D215" s="319" t="n">
        <x:f>IFERROR('Source rates'!$R$503,NA())</x:f>
        <x:v>0.9492502883506344</x:v>
      </x:c>
      <x:c r="E215" s="315" t="n">
        <x:f>IFERROR('Source rates'!$R$504,NA())</x:f>
        <x:v>0.9449250288350635</x:v>
      </x:c>
      <x:c r="F215" s="315" t="n">
        <x:f>IFERROR('Source rates'!$R$505,NA())</x:f>
        <x:v>0.908881199538639</x:v>
      </x:c>
    </x:row>
    <x:row r="216" ht="20" customHeight="1">
      <x:c r="A216" s="309" t="str">
        <x:v>S=4D</x:v>
      </x:c>
      <x:c r="B216" s="309" t="str">
        <x:v>FNR</x:v>
      </x:c>
      <x:c r="C216" s="310" t="n">
        <x:f>IFERROR('Source rates'!$O$506,NA())</x:f>
        <x:v>0.15384615384615385</x:v>
      </x:c>
      <x:c r="D216" s="310" t="n">
        <x:f>IFERROR('Source rates'!$O$507,NA())</x:f>
        <x:v>0.2</x:v>
      </x:c>
      <x:c r="E216" s="317" t="n">
        <x:f>IFERROR('Source rates'!$O$508,NA())</x:f>
        <x:v>0.06153846153846154</x:v>
      </x:c>
      <x:c r="F216" s="310" t="n">
        <x:f>IFERROR('Source rates'!$O$509,NA())</x:f>
        <x:v>0.3076923076923077</x:v>
      </x:c>
    </x:row>
    <x:row r="217" ht="20" customHeight="1">
      <x:c r="A217" s="309"/>
      <x:c r="B217" s="309" t="str">
        <x:v>FPR</x:v>
      </x:c>
      <x:c r="C217" s="310" t="n">
        <x:f>IFERROR('Source rates'!$P$506,NA())</x:f>
        <x:v>0.14814814814814814</x:v>
      </x:c>
      <x:c r="D217" s="310" t="n">
        <x:f>IFERROR('Source rates'!$P$507,NA())</x:f>
        <x:v>0.1111111111111111</x:v>
      </x:c>
      <x:c r="E217" s="310" t="n">
        <x:f>IFERROR('Source rates'!$P$508,NA())</x:f>
        <x:v>0.5185185185185185</x:v>
      </x:c>
      <x:c r="F217" s="317" t="n">
        <x:f>IFERROR('Source rates'!$P$509,NA())</x:f>
        <x:v>0.018518518518518517</x:v>
      </x:c>
    </x:row>
    <x:row r="218" ht="20" customHeight="1">
      <x:c r="A218" s="309"/>
      <x:c r="B218" s="309" t="str">
        <x:v>F1</x:v>
      </x:c>
      <x:c r="C218" s="317" t="n">
        <x:f>IFERROR('Source rates'!$Q$506,NA())</x:f>
        <x:v>0.859375</x:v>
      </x:c>
      <x:c r="D218" s="310" t="n">
        <x:f>IFERROR('Source rates'!$Q$507,NA())</x:f>
        <x:v>0.8455284552845529</x:v>
      </x:c>
      <x:c r="E218" s="310" t="n">
        <x:f>IFERROR('Source rates'!$Q$508,NA())</x:f>
        <x:v>0.7922077922077922</x:v>
      </x:c>
      <x:c r="F218" s="310" t="n">
        <x:f>IFERROR('Source rates'!$Q$509,NA())</x:f>
        <x:v>0.8108108108108109</x:v>
      </x:c>
    </x:row>
    <x:row r="219" ht="20" customHeight="1">
      <x:c r="A219" s="309"/>
      <x:c r="B219" s="309" t="str">
        <x:v>AUC</x:v>
      </x:c>
      <x:c r="C219" s="317" t="n">
        <x:f>IFERROR('Source rates'!$R$506,NA())</x:f>
        <x:v>0.9427350427350427</x:v>
      </x:c>
      <x:c r="D219" s="310" t="n">
        <x:f>IFERROR('Source rates'!$R$507,NA())</x:f>
        <x:v>0.9336182336182336</x:v>
      </x:c>
      <x:c r="E219" s="310" t="n">
        <x:f>IFERROR('Source rates'!$R$508,NA())</x:f>
        <x:v>0.8903133903133903</x:v>
      </x:c>
      <x:c r="F219" s="310" t="n">
        <x:f>IFERROR('Source rates'!$R$509,NA())</x:f>
        <x:v>0.9128205128205128</x:v>
      </x:c>
    </x:row>
    <x:row r="220" ht="20" customHeight="1">
      <x:c r="A220" s="314" t="str">
        <x:v>S=6D</x:v>
      </x:c>
      <x:c r="B220" s="314" t="str">
        <x:v>FNR</x:v>
      </x:c>
      <x:c r="C220" s="315" t="n">
        <x:f>IFERROR('Source rates'!$O$510,NA())</x:f>
        <x:v>0.125</x:v>
      </x:c>
      <x:c r="D220" s="315" t="n">
        <x:f>IFERROR('Source rates'!$O$511,NA())</x:f>
        <x:v>0.1111111111111111</x:v>
      </x:c>
      <x:c r="E220" s="319" t="n">
        <x:f>IFERROR('Source rates'!$O$512,NA())</x:f>
        <x:v>0.05555555555555555</x:v>
      </x:c>
      <x:c r="F220" s="315" t="n">
        <x:f>IFERROR('Source rates'!$O$513,NA())</x:f>
        <x:v>0.4305555555555556</x:v>
      </x:c>
    </x:row>
    <x:row r="221" ht="20" customHeight="1">
      <x:c r="A221" s="314"/>
      <x:c r="B221" s="314" t="str">
        <x:v>FPR</x:v>
      </x:c>
      <x:c r="C221" s="315" t="n">
        <x:f>IFERROR('Source rates'!$P$510,NA())</x:f>
        <x:v>0.1702127659574468</x:v>
      </x:c>
      <x:c r="D221" s="315" t="n">
        <x:f>IFERROR('Source rates'!$P$511,NA())</x:f>
        <x:v>0.19148936170212766</x:v>
      </x:c>
      <x:c r="E221" s="315" t="n">
        <x:f>IFERROR('Source rates'!$P$512,NA())</x:f>
        <x:v>0.44680851063829785</x:v>
      </x:c>
      <x:c r="F221" s="319" t="n">
        <x:f>IFERROR('Source rates'!$P$513,NA())</x:f>
        <x:v>0</x:v>
      </x:c>
    </x:row>
    <x:row r="222" ht="20" customHeight="1">
      <x:c r="A222" s="314"/>
      <x:c r="B222" s="314" t="str">
        <x:v>F1</x:v>
      </x:c>
      <x:c r="C222" s="315" t="n">
        <x:f>IFERROR('Source rates'!$Q$510,NA())</x:f>
        <x:v>0.8811188811188811</x:v>
      </x:c>
      <x:c r="D222" s="319" t="n">
        <x:f>IFERROR('Source rates'!$Q$511,NA())</x:f>
        <x:v>0.8827586206896552</x:v>
      </x:c>
      <x:c r="E222" s="315" t="n">
        <x:f>IFERROR('Source rates'!$Q$512,NA())</x:f>
        <x:v>0.84472049689441</x:v>
      </x:c>
      <x:c r="F222" s="315" t="n">
        <x:f>IFERROR('Source rates'!$Q$513,NA())</x:f>
        <x:v>0.7256637168141593</x:v>
      </x:c>
    </x:row>
    <x:row r="223" ht="20" customHeight="1">
      <x:c r="A223" s="314"/>
      <x:c r="B223" s="314" t="str">
        <x:v>AUC</x:v>
      </x:c>
      <x:c r="C223" s="319" t="n">
        <x:f>IFERROR('Source rates'!$R$510,NA())</x:f>
        <x:v>0.949468085106383</x:v>
      </x:c>
      <x:c r="D223" s="315" t="n">
        <x:f>IFERROR('Source rates'!$R$511,NA())</x:f>
        <x:v>0.9447399527186762</x:v>
      </x:c>
      <x:c r="E223" s="315" t="n">
        <x:f>IFERROR('Source rates'!$R$512,NA())</x:f>
        <x:v>0.9305555555555556</x:v>
      </x:c>
      <x:c r="F223" s="315" t="n">
        <x:f>IFERROR('Source rates'!$R$513,NA())</x:f>
        <x:v>0.908096926713948</x:v>
      </x:c>
    </x:row>
    <x:row r="225" ht="22" customHeight="1">
      <x:c r="A225" s="298" t="str">
        <x:v>Posterior MMD — Assumed M2</x:v>
      </x:c>
      <x:c r="B225" s="298"/>
      <x:c r="C225" s="298"/>
      <x:c r="D225" s="298"/>
      <x:c r="E225" s="298"/>
      <x:c r="F225" s="298"/>
    </x:row>
    <x:row r="226" ht="22" customHeight="1">
      <x:c r="A226" s="301" t="str">
        <x:v>ESS-filtered raw, network-specific NPE-MCMC interval [0, q95]</x:v>
      </x:c>
      <x:c r="B226" s="301"/>
      <x:c r="C226" s="301"/>
      <x:c r="D226" s="301"/>
      <x:c r="E226" s="301"/>
      <x:c r="F226" s="301"/>
    </x:row>
    <x:row r="227" ht="20" customHeight="1">
      <x:c r="A227" s="305" t="str">
        <x:v>Summary</x:v>
      </x:c>
      <x:c r="B227" s="305" t="str">
        <x:v>Statistic</x:v>
      </x:c>
      <x:c r="C227" s="305" t="str">
        <x:v>L2</x:v>
      </x:c>
      <x:c r="D227" s="305" t="str">
        <x:v>L∞</x:v>
      </x:c>
      <x:c r="E227" s="305" t="str">
        <x:v>Density</x:v>
      </x:c>
      <x:c r="F227" s="305" t="str">
        <x:v>MMD</x:v>
      </x:c>
    </x:row>
    <x:row r="228" ht="20" customHeight="1">
      <x:c r="A228" s="309" t="str">
        <x:v>S=D</x:v>
      </x:c>
      <x:c r="B228" s="309" t="str">
        <x:v>FNR</x:v>
      </x:c>
      <x:c r="C228" s="310" t="n">
        <x:f>IFERROR('Source rates'!$O$514,NA())</x:f>
        <x:v>0.34545454545454546</x:v>
      </x:c>
      <x:c r="D228" s="310" t="n">
        <x:f>IFERROR('Source rates'!$O$515,NA())</x:f>
        <x:v>0.4</x:v>
      </x:c>
      <x:c r="E228" s="317" t="n">
        <x:f>IFERROR('Source rates'!$O$516,NA())</x:f>
        <x:v>0.32727272727272727</x:v>
      </x:c>
      <x:c r="F228" s="310" t="n">
        <x:f>IFERROR('Source rates'!$O$517,NA())</x:f>
        <x:v>0.7818181818181819</x:v>
      </x:c>
    </x:row>
    <x:row r="229" ht="20" customHeight="1">
      <x:c r="A229" s="309"/>
      <x:c r="B229" s="309" t="str">
        <x:v>FPR</x:v>
      </x:c>
      <x:c r="C229" s="310" t="n">
        <x:f>IFERROR('Source rates'!$P$514,NA())</x:f>
        <x:v>0.078125</x:v>
      </x:c>
      <x:c r="D229" s="310" t="n">
        <x:f>IFERROR('Source rates'!$P$515,NA())</x:f>
        <x:v>0.078125</x:v>
      </x:c>
      <x:c r="E229" s="310" t="n">
        <x:f>IFERROR('Source rates'!$P$516,NA())</x:f>
        <x:v>0.1875</x:v>
      </x:c>
      <x:c r="F229" s="317" t="n">
        <x:f>IFERROR('Source rates'!$P$517,NA())</x:f>
        <x:v>0.015625</x:v>
      </x:c>
    </x:row>
    <x:row r="230" ht="20" customHeight="1">
      <x:c r="A230" s="309"/>
      <x:c r="B230" s="309" t="str">
        <x:v>F1</x:v>
      </x:c>
      <x:c r="C230" s="317" t="n">
        <x:f>IFERROR('Source rates'!$Q$514,NA())</x:f>
        <x:v>0.75</x:v>
      </x:c>
      <x:c r="D230" s="310" t="n">
        <x:f>IFERROR('Source rates'!$Q$515,NA())</x:f>
        <x:v>0.7096774193548387</x:v>
      </x:c>
      <x:c r="E230" s="310" t="n">
        <x:f>IFERROR('Source rates'!$Q$516,NA())</x:f>
        <x:v>0.7115384615384616</x:v>
      </x:c>
      <x:c r="F230" s="310" t="n">
        <x:f>IFERROR('Source rates'!$Q$517,NA())</x:f>
        <x:v>0.35294117647058826</x:v>
      </x:c>
    </x:row>
    <x:row r="231" ht="20" customHeight="1">
      <x:c r="A231" s="309"/>
      <x:c r="B231" s="309" t="str">
        <x:v>AUC</x:v>
      </x:c>
      <x:c r="C231" s="317" t="n">
        <x:f>IFERROR('Source rates'!$R$514,NA())</x:f>
        <x:v>0.8548295454545455</x:v>
      </x:c>
      <x:c r="D231" s="310" t="n">
        <x:f>IFERROR('Source rates'!$R$515,NA())</x:f>
        <x:v>0.8269886363636364</x:v>
      </x:c>
      <x:c r="E231" s="310" t="n">
        <x:f>IFERROR('Source rates'!$R$516,NA())</x:f>
        <x:v>0.8394886363636364</x:v>
      </x:c>
      <x:c r="F231" s="310" t="n">
        <x:f>IFERROR('Source rates'!$R$517,NA())</x:f>
        <x:v>0.8014204545454545</x:v>
      </x:c>
    </x:row>
    <x:row r="232" ht="20" customHeight="1">
      <x:c r="A232" s="314" t="str">
        <x:v>S=2D</x:v>
      </x:c>
      <x:c r="B232" s="314" t="str">
        <x:v>FNR</x:v>
      </x:c>
      <x:c r="C232" s="315" t="n">
        <x:f>IFERROR('Source rates'!$O$518,NA())</x:f>
        <x:v>0.2641509433962264</x:v>
      </x:c>
      <x:c r="D232" s="315" t="n">
        <x:f>IFERROR('Source rates'!$O$519,NA())</x:f>
        <x:v>0.41509433962264153</x:v>
      </x:c>
      <x:c r="E232" s="319" t="n">
        <x:f>IFERROR('Source rates'!$O$520,NA())</x:f>
        <x:v>0.11320754716981132</x:v>
      </x:c>
      <x:c r="F232" s="315" t="n">
        <x:f>IFERROR('Source rates'!$O$521,NA())</x:f>
        <x:v>0.4716981132075472</x:v>
      </x:c>
    </x:row>
    <x:row r="233" ht="20" customHeight="1">
      <x:c r="A233" s="314"/>
      <x:c r="B233" s="314" t="str">
        <x:v>FPR</x:v>
      </x:c>
      <x:c r="C233" s="315" t="n">
        <x:f>IFERROR('Source rates'!$P$518,NA())</x:f>
        <x:v>0.09090909090909091</x:v>
      </x:c>
      <x:c r="D233" s="315" t="n">
        <x:f>IFERROR('Source rates'!$P$519,NA())</x:f>
        <x:v>0.09090909090909091</x:v>
      </x:c>
      <x:c r="E233" s="315" t="n">
        <x:f>IFERROR('Source rates'!$P$520,NA())</x:f>
        <x:v>0.5151515151515151</x:v>
      </x:c>
      <x:c r="F233" s="319" t="n">
        <x:f>IFERROR('Source rates'!$P$521,NA())</x:f>
        <x:v>0.045454545454545456</x:v>
      </x:c>
    </x:row>
    <x:row r="234" ht="20" customHeight="1">
      <x:c r="A234" s="314"/>
      <x:c r="B234" s="314" t="str">
        <x:v>F1</x:v>
      </x:c>
      <x:c r="C234" s="319" t="n">
        <x:f>IFERROR('Source rates'!$Q$518,NA())</x:f>
        <x:v>0.7959183673469388</x:v>
      </x:c>
      <x:c r="D234" s="315" t="n">
        <x:f>IFERROR('Source rates'!$Q$519,NA())</x:f>
        <x:v>0.6888888888888889</x:v>
      </x:c>
      <x:c r="E234" s="315" t="n">
        <x:f>IFERROR('Source rates'!$Q$520,NA())</x:f>
        <x:v>0.7014925373134329</x:v>
      </x:c>
      <x:c r="F234" s="315" t="n">
        <x:f>IFERROR('Source rates'!$Q$521,NA())</x:f>
        <x:v>0.6666666666666666</x:v>
      </x:c>
    </x:row>
    <x:row r="235" ht="20" customHeight="1">
      <x:c r="A235" s="314"/>
      <x:c r="B235" s="314" t="str">
        <x:v>AUC</x:v>
      </x:c>
      <x:c r="C235" s="319" t="n">
        <x:f>IFERROR('Source rates'!$R$518,NA())</x:f>
        <x:v>0.8979416809605489</x:v>
      </x:c>
      <x:c r="D235" s="315" t="n">
        <x:f>IFERROR('Source rates'!$R$519,NA())</x:f>
        <x:v>0.8653516295025729</x:v>
      </x:c>
      <x:c r="E235" s="315" t="n">
        <x:f>IFERROR('Source rates'!$R$520,NA())</x:f>
        <x:v>0.7793024585477416</x:v>
      </x:c>
      <x:c r="F235" s="315" t="n">
        <x:f>IFERROR('Source rates'!$R$521,NA())</x:f>
        <x:v>0.8522012578616353</x:v>
      </x:c>
    </x:row>
    <x:row r="236" ht="20" customHeight="1">
      <x:c r="A236" s="309" t="str">
        <x:v>S=4D</x:v>
      </x:c>
      <x:c r="B236" s="309" t="str">
        <x:v>FNR</x:v>
      </x:c>
      <x:c r="C236" s="310" t="n">
        <x:f>IFERROR('Source rates'!$O$522,NA())</x:f>
        <x:v>0.13636363636363635</x:v>
      </x:c>
      <x:c r="D236" s="310" t="n">
        <x:f>IFERROR('Source rates'!$O$523,NA())</x:f>
        <x:v>0.13636363636363635</x:v>
      </x:c>
      <x:c r="E236" s="317" t="n">
        <x:f>IFERROR('Source rates'!$O$524,NA())</x:f>
        <x:v>0.06818181818181818</x:v>
      </x:c>
      <x:c r="F236" s="310" t="n">
        <x:f>IFERROR('Source rates'!$O$525,NA())</x:f>
        <x:v>0.2727272727272727</x:v>
      </x:c>
    </x:row>
    <x:row r="237" ht="20" customHeight="1">
      <x:c r="A237" s="309"/>
      <x:c r="B237" s="309" t="str">
        <x:v>FPR</x:v>
      </x:c>
      <x:c r="C237" s="310" t="n">
        <x:f>IFERROR('Source rates'!$P$522,NA())</x:f>
        <x:v>0.09333333333333334</x:v>
      </x:c>
      <x:c r="D237" s="310" t="n">
        <x:f>IFERROR('Source rates'!$P$523,NA())</x:f>
        <x:v>0.10666666666666667</x:v>
      </x:c>
      <x:c r="E237" s="310" t="n">
        <x:f>IFERROR('Source rates'!$P$524,NA())</x:f>
        <x:v>0.4533333333333333</x:v>
      </x:c>
      <x:c r="F237" s="317" t="n">
        <x:f>IFERROR('Source rates'!$P$525,NA())</x:f>
        <x:v>0.02666666666666667</x:v>
      </x:c>
    </x:row>
    <x:row r="238" ht="20" customHeight="1">
      <x:c r="A238" s="309"/>
      <x:c r="B238" s="309" t="str">
        <x:v>F1</x:v>
      </x:c>
      <x:c r="C238" s="317" t="n">
        <x:f>IFERROR('Source rates'!$Q$522,NA())</x:f>
        <x:v>0.8539325842696629</x:v>
      </x:c>
      <x:c r="D238" s="310" t="n">
        <x:f>IFERROR('Source rates'!$Q$523,NA())</x:f>
        <x:v>0.8444444444444444</x:v>
      </x:c>
      <x:c r="E238" s="310" t="n">
        <x:f>IFERROR('Source rates'!$Q$524,NA())</x:f>
        <x:v>0.6890756302521008</x:v>
      </x:c>
      <x:c r="F238" s="310" t="n">
        <x:f>IFERROR('Source rates'!$Q$525,NA())</x:f>
        <x:v>0.8205128205128205</x:v>
      </x:c>
    </x:row>
    <x:row r="239" ht="20" customHeight="1">
      <x:c r="A239" s="309"/>
      <x:c r="B239" s="309" t="str">
        <x:v>AUC</x:v>
      </x:c>
      <x:c r="C239" s="317" t="n">
        <x:f>IFERROR('Source rates'!$R$522,NA())</x:f>
        <x:v>0.9590909090909091</x:v>
      </x:c>
      <x:c r="D239" s="310" t="n">
        <x:f>IFERROR('Source rates'!$R$523,NA())</x:f>
        <x:v>0.9478787878787879</x:v>
      </x:c>
      <x:c r="E239" s="310" t="n">
        <x:f>IFERROR('Source rates'!$R$524,NA())</x:f>
        <x:v>0.8654545454545455</x:v>
      </x:c>
      <x:c r="F239" s="310" t="n">
        <x:f>IFERROR('Source rates'!$R$525,NA())</x:f>
        <x:v>0.9403030303030303</x:v>
      </x:c>
    </x:row>
    <x:row r="240" ht="20" customHeight="1">
      <x:c r="A240" s="314" t="str">
        <x:v>S=6D</x:v>
      </x:c>
      <x:c r="B240" s="314" t="str">
        <x:v>FNR</x:v>
      </x:c>
      <x:c r="C240" s="315" t="n">
        <x:f>IFERROR('Source rates'!$O$526,NA())</x:f>
        <x:v>0.19298245614035087</x:v>
      </x:c>
      <x:c r="D240" s="315" t="n">
        <x:f>IFERROR('Source rates'!$O$527,NA())</x:f>
        <x:v>0.21052631578947367</x:v>
      </x:c>
      <x:c r="E240" s="319" t="n">
        <x:f>IFERROR('Source rates'!$O$528,NA())</x:f>
        <x:v>0.07017543859649122</x:v>
      </x:c>
      <x:c r="F240" s="315" t="n">
        <x:f>IFERROR('Source rates'!$O$529,NA())</x:f>
        <x:v>0.3333333333333333</x:v>
      </x:c>
    </x:row>
    <x:row r="241" ht="20" customHeight="1">
      <x:c r="A241" s="314"/>
      <x:c r="B241" s="314" t="str">
        <x:v>FPR</x:v>
      </x:c>
      <x:c r="C241" s="315" t="n">
        <x:f>IFERROR('Source rates'!$P$526,NA())</x:f>
        <x:v>0.08064516129032258</x:v>
      </x:c>
      <x:c r="D241" s="315" t="n">
        <x:f>IFERROR('Source rates'!$P$527,NA())</x:f>
        <x:v>0.08064516129032258</x:v>
      </x:c>
      <x:c r="E241" s="315" t="n">
        <x:f>IFERROR('Source rates'!$P$528,NA())</x:f>
        <x:v>0.41935483870967744</x:v>
      </x:c>
      <x:c r="F241" s="319" t="n">
        <x:f>IFERROR('Source rates'!$P$529,NA())</x:f>
        <x:v>0.03225806451612903</x:v>
      </x:c>
    </x:row>
    <x:row r="242" ht="20" customHeight="1">
      <x:c r="A242" s="314"/>
      <x:c r="B242" s="314" t="str">
        <x:v>F1</x:v>
      </x:c>
      <x:c r="C242" s="319" t="n">
        <x:f>IFERROR('Source rates'!$Q$526,NA())</x:f>
        <x:v>0.8518518518518519</x:v>
      </x:c>
      <x:c r="D242" s="315" t="n">
        <x:f>IFERROR('Source rates'!$Q$527,NA())</x:f>
        <x:v>0.8411214953271028</x:v>
      </x:c>
      <x:c r="E242" s="315" t="n">
        <x:f>IFERROR('Source rates'!$Q$528,NA())</x:f>
        <x:v>0.7794117647058824</x:v>
      </x:c>
      <x:c r="F242" s="315" t="n">
        <x:f>IFERROR('Source rates'!$Q$529,NA())</x:f>
        <x:v>0.7835051546391752</x:v>
      </x:c>
    </x:row>
    <x:row r="243" ht="20" customHeight="1">
      <x:c r="A243" s="314"/>
      <x:c r="B243" s="314" t="str">
        <x:v>AUC</x:v>
      </x:c>
      <x:c r="C243" s="319" t="n">
        <x:f>IFERROR('Source rates'!$R$526,NA())</x:f>
        <x:v>0.922184493491794</x:v>
      </x:c>
      <x:c r="D243" s="315" t="n">
        <x:f>IFERROR('Source rates'!$R$527,NA())</x:f>
        <x:v>0.9108658743633277</x:v>
      </x:c>
      <x:c r="E243" s="315" t="n">
        <x:f>IFERROR('Source rates'!$R$528,NA())</x:f>
        <x:v>0.8641765704584041</x:v>
      </x:c>
      <x:c r="F243" s="315" t="n">
        <x:f>IFERROR('Source rates'!$R$529,NA())</x:f>
        <x:v>0.8769100169779287</x:v>
      </x:c>
    </x:row>
  </x:sheetData>
  <x:mergeCells>
    <x:mergeCell ref="A1:F1"/>
    <x:mergeCell ref="A2:F3"/>
    <x:mergeCell ref="A5:F5"/>
    <x:mergeCell ref="A6:F6"/>
    <x:mergeCell ref="A8:A11"/>
    <x:mergeCell ref="A12:A15"/>
    <x:mergeCell ref="A16:A19"/>
    <x:mergeCell ref="A20:A23"/>
    <x:mergeCell ref="A25:F25"/>
    <x:mergeCell ref="A26:F26"/>
    <x:mergeCell ref="A28:A31"/>
    <x:mergeCell ref="A32:A35"/>
    <x:mergeCell ref="A36:A39"/>
    <x:mergeCell ref="A40:A43"/>
    <x:mergeCell ref="A45:F45"/>
    <x:mergeCell ref="A46:F46"/>
    <x:mergeCell ref="A48:A51"/>
    <x:mergeCell ref="A52:A55"/>
    <x:mergeCell ref="A56:A59"/>
    <x:mergeCell ref="A60:A63"/>
    <x:mergeCell ref="A65:F65"/>
    <x:mergeCell ref="A66:F66"/>
    <x:mergeCell ref="A68:A71"/>
    <x:mergeCell ref="A72:A75"/>
    <x:mergeCell ref="A76:A79"/>
    <x:mergeCell ref="A80:A83"/>
    <x:mergeCell ref="A85:F85"/>
    <x:mergeCell ref="A86:F86"/>
    <x:mergeCell ref="A88:A91"/>
    <x:mergeCell ref="A92:A95"/>
    <x:mergeCell ref="A96:A99"/>
    <x:mergeCell ref="A100:A103"/>
    <x:mergeCell ref="A105:F105"/>
    <x:mergeCell ref="A106:F106"/>
    <x:mergeCell ref="A108:A111"/>
    <x:mergeCell ref="A112:A115"/>
    <x:mergeCell ref="A116:A119"/>
    <x:mergeCell ref="A120:A123"/>
    <x:mergeCell ref="A125:F125"/>
    <x:mergeCell ref="A126:F126"/>
    <x:mergeCell ref="A128:A131"/>
    <x:mergeCell ref="A132:A135"/>
    <x:mergeCell ref="A136:A139"/>
    <x:mergeCell ref="A140:A143"/>
    <x:mergeCell ref="A145:F145"/>
    <x:mergeCell ref="A146:F146"/>
    <x:mergeCell ref="A148:A151"/>
    <x:mergeCell ref="A152:A155"/>
    <x:mergeCell ref="A156:A159"/>
    <x:mergeCell ref="A160:A163"/>
    <x:mergeCell ref="A165:F165"/>
    <x:mergeCell ref="A166:F166"/>
    <x:mergeCell ref="A168:A171"/>
    <x:mergeCell ref="A172:A175"/>
    <x:mergeCell ref="A176:A179"/>
    <x:mergeCell ref="A180:A183"/>
    <x:mergeCell ref="A185:F185"/>
    <x:mergeCell ref="A186:F186"/>
    <x:mergeCell ref="A188:A191"/>
    <x:mergeCell ref="A192:A195"/>
    <x:mergeCell ref="A196:A199"/>
    <x:mergeCell ref="A200:A203"/>
    <x:mergeCell ref="A205:F205"/>
    <x:mergeCell ref="A206:F206"/>
    <x:mergeCell ref="A208:A211"/>
    <x:mergeCell ref="A212:A215"/>
    <x:mergeCell ref="A216:A219"/>
    <x:mergeCell ref="A220:A223"/>
    <x:mergeCell ref="A225:F225"/>
    <x:mergeCell ref="A226:F226"/>
    <x:mergeCell ref="A228:A231"/>
    <x:mergeCell ref="A232:A235"/>
    <x:mergeCell ref="A236:A239"/>
    <x:mergeCell ref="A240:A24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178" t="str">
        <x:v>Without MMD loss (rerun1) — Empirical data</x:v>
      </x:c>
      <x:c r="B1" s="178"/>
      <x:c r="C1" s="178"/>
      <x:c r="D1" s="178"/>
      <x:c r="E1" s="178"/>
      <x:c r="F1" s="178"/>
      <x:c r="G1"/>
      <x:c r="H1"/>
      <x:c r="I1"/>
      <x:c r="J1"/>
    </x:row>
    <x:row r="2" ht="24" customHeight="1">
      <x:c r="A2" s="182" t="str">
        <x:v>All classifications use raw, network-specific well-specified reference thresholds. FNR=FN/(FN+TP); FPR=FP/(FP+TN); F1=2TP/(2TP+FP+FN). AUC=ROC-AUC(1[raw error &lt; L or raw error &gt; U], rho). N/A means AUC is undefined because only one error class is present.</x:v>
      </x:c>
      <x:c r="B2" s="182"/>
      <x:c r="C2" s="182"/>
      <x:c r="D2" s="182"/>
      <x:c r="E2" s="182"/>
      <x:c r="F2" s="182"/>
      <x:c r="G2"/>
      <x:c r="H2"/>
      <x:c r="I2"/>
      <x:c r="J2"/>
    </x:row>
    <x:row r="3" ht="24" customHeight="1">
      <x:c r="A3" s="182"/>
      <x:c r="B3" s="182"/>
      <x:c r="C3" s="182"/>
      <x:c r="D3" s="182"/>
      <x:c r="E3" s="182"/>
      <x:c r="F3" s="182"/>
    </x:row>
    <x:row r="4" ht="26" customHeight="1">
      <x:c r="A4" s="204"/>
      <x:c r="B4" s="204"/>
      <x:c r="C4" s="204"/>
      <x:c r="D4" s="204"/>
      <x:c r="E4" s="204"/>
      <x:c r="F4" s="204"/>
      <x:c r="G4"/>
      <x:c r="H4"/>
      <x:c r="I4"/>
      <x:c r="J4"/>
    </x:row>
    <x:row r="5" ht="22" customHeight="1">
      <x:c r="A5" s="187" t="str">
        <x:v>Signed log10 ML error — Assumed M1</x:v>
      </x:c>
      <x:c r="B5" s="187"/>
      <x:c r="C5" s="187"/>
      <x:c r="D5" s="187"/>
      <x:c r="E5" s="187"/>
      <x:c r="F5" s="187"/>
      <x:c r="G5"/>
      <x:c r="H5"/>
      <x:c r="I5"/>
      <x:c r="J5"/>
    </x:row>
    <x:row r="6" ht="22" customHeight="1">
      <x:c r="A6" s="205" t="str">
        <x:v>ESS-filtered raw, network-specific NPE-MCMC central 90% interval [q5, q95]</x:v>
      </x:c>
      <x:c r="B6" s="205"/>
      <x:c r="C6" s="205"/>
      <x:c r="D6" s="205"/>
      <x:c r="E6" s="205"/>
      <x:c r="F6" s="205"/>
      <x:c r="G6"/>
      <x:c r="H6"/>
      <x:c r="I6"/>
      <x:c r="J6"/>
    </x:row>
    <x:row r="7" ht="20" customHeight="1">
      <x:c r="A7" s="206" t="str">
        <x:v>Summary</x:v>
      </x:c>
      <x:c r="B7" s="206" t="str">
        <x:v>Statistic</x:v>
      </x:c>
      <x:c r="C7" s="206" t="str">
        <x:v>L2</x:v>
      </x:c>
      <x:c r="D7" s="206" t="str">
        <x:v>L∞</x:v>
      </x:c>
      <x:c r="E7" s="206" t="str">
        <x:v>Density</x:v>
      </x:c>
      <x:c r="F7" s="206" t="str">
        <x:v>MMD</x:v>
      </x:c>
      <x:c r="G7"/>
      <x:c r="H7"/>
      <x:c r="I7"/>
      <x:c r="J7"/>
    </x:row>
    <x:row r="8" ht="20" customHeight="1">
      <x:c r="A8" s="198" t="str">
        <x:v>S=D</x:v>
      </x:c>
      <x:c r="B8" s="198" t="str">
        <x:v>FNR</x:v>
      </x:c>
      <x:c r="C8" s="267" t="n">
        <x:f>'Source rates'!O2</x:f>
        <x:v>0.125</x:v>
      </x:c>
      <x:c r="D8" s="200" t="n">
        <x:f>'Source rates'!O3</x:f>
        <x:v>0</x:v>
      </x:c>
      <x:c r="E8" s="267" t="n">
        <x:f>'Source rates'!O4</x:f>
        <x:v>0.375</x:v>
      </x:c>
      <x:c r="F8" s="267" t="n">
        <x:f>'Source rates'!O5</x:f>
        <x:v>0.8125</x:v>
      </x:c>
      <x:c r="G8"/>
      <x:c r="H8"/>
      <x:c r="I8"/>
      <x:c r="J8"/>
    </x:row>
    <x:row r="9" ht="20" customHeight="1">
      <x:c r="A9" s="198" t="str"/>
      <x:c r="B9" s="198" t="str">
        <x:v>FPR</x:v>
      </x:c>
      <x:c r="C9" s="267" t="n">
        <x:f>'Source rates'!P2</x:f>
        <x:v>1</x:v>
      </x:c>
      <x:c r="D9" s="267" t="n">
        <x:f>'Source rates'!P3</x:f>
        <x:v>1</x:v>
      </x:c>
      <x:c r="E9" s="200" t="n">
        <x:f>'Source rates'!P4</x:f>
        <x:v>0</x:v>
      </x:c>
      <x:c r="F9" s="200" t="n">
        <x:f>'Source rates'!P5</x:f>
        <x:v>0</x:v>
      </x:c>
      <x:c r="G9"/>
      <x:c r="H9"/>
      <x:c r="I9"/>
      <x:c r="J9"/>
    </x:row>
    <x:row r="10" ht="20" customHeight="1">
      <x:c r="A10" s="198" t="str"/>
      <x:c r="B10" s="198" t="str">
        <x:v>F1</x:v>
      </x:c>
      <x:c r="C10" s="267" t="n">
        <x:f>'Source rates'!Q2</x:f>
        <x:v>0.9032258064516129</x:v>
      </x:c>
      <x:c r="D10" s="200" t="n">
        <x:f>'Source rates'!Q3</x:f>
        <x:v>0.9696969696969697</x:v>
      </x:c>
      <x:c r="E10" s="267" t="n">
        <x:f>'Source rates'!Q4</x:f>
        <x:v>0.7692307692307693</x:v>
      </x:c>
      <x:c r="F10" s="267" t="n">
        <x:f>'Source rates'!Q5</x:f>
        <x:v>0.3157894736842105</x:v>
      </x:c>
      <x:c r="G10"/>
      <x:c r="H10"/>
      <x:c r="I10"/>
      <x:c r="J10"/>
    </x:row>
    <x:row r="11" ht="20" customHeight="1">
      <x:c r="A11" s="198" t="str"/>
      <x:c r="B11" s="198" t="str">
        <x:v>AUC</x:v>
      </x:c>
      <x:c r="C11" s="267" t="n">
        <x:f>'Source rates'!R2</x:f>
        <x:v>0.5</x:v>
      </x:c>
      <x:c r="D11" s="267" t="n">
        <x:f>'Source rates'!R3</x:f>
        <x:v>0.4375</x:v>
      </x:c>
      <x:c r="E11" s="200" t="n">
        <x:f>'Source rates'!R4</x:f>
        <x:v>0.8125</x:v>
      </x:c>
      <x:c r="F11" s="267" t="n">
        <x:f>'Source rates'!R5</x:f>
        <x:v>0.25</x:v>
      </x:c>
      <x:c r="G11"/>
      <x:c r="H11"/>
      <x:c r="I11"/>
      <x:c r="J11"/>
    </x:row>
    <x:row r="12" ht="20" customHeight="1">
      <x:c r="A12" s="201" t="str">
        <x:v>S=2D</x:v>
      </x:c>
      <x:c r="B12" s="201" t="str">
        <x:v>FNR</x:v>
      </x:c>
      <x:c r="C12" s="268" t="n">
        <x:f>'Source rates'!O6</x:f>
        <x:v>0.6428571428571429</x:v>
      </x:c>
      <x:c r="D12" s="203" t="n">
        <x:f>'Source rates'!O7</x:f>
        <x:v>0.21428571428571427</x:v>
      </x:c>
      <x:c r="E12" s="268" t="n">
        <x:f>'Source rates'!O8</x:f>
        <x:v>0.21428571428571427</x:v>
      </x:c>
      <x:c r="F12" s="268" t="n">
        <x:f>'Source rates'!O9</x:f>
        <x:v>1</x:v>
      </x:c>
      <x:c r="G12"/>
      <x:c r="H12"/>
      <x:c r="I12"/>
      <x:c r="J12"/>
    </x:row>
    <x:row r="13" ht="20" customHeight="1">
      <x:c r="A13" s="201" t="str"/>
      <x:c r="B13" s="201" t="str">
        <x:v>FPR</x:v>
      </x:c>
      <x:c r="C13" s="203" t="n">
        <x:f>'Source rates'!P6</x:f>
        <x:v>0</x:v>
      </x:c>
      <x:c r="D13" s="268" t="n">
        <x:f>'Source rates'!P7</x:f>
        <x:v>1</x:v>
      </x:c>
      <x:c r="E13" s="268" t="n">
        <x:f>'Source rates'!P8</x:f>
        <x:v>1</x:v>
      </x:c>
      <x:c r="F13" s="203" t="n">
        <x:f>'Source rates'!P9</x:f>
        <x:v>0</x:v>
      </x:c>
      <x:c r="G13"/>
      <x:c r="H13"/>
      <x:c r="I13"/>
      <x:c r="J13"/>
    </x:row>
    <x:row r="14" ht="20" customHeight="1">
      <x:c r="A14" s="201" t="str"/>
      <x:c r="B14" s="201" t="str">
        <x:v>F1</x:v>
      </x:c>
      <x:c r="C14" s="268" t="n">
        <x:f>'Source rates'!Q6</x:f>
        <x:v>0.5263157894736842</x:v>
      </x:c>
      <x:c r="D14" s="203" t="n">
        <x:f>'Source rates'!Q7</x:f>
        <x:v>0.7857142857142857</x:v>
      </x:c>
      <x:c r="E14" s="268" t="n">
        <x:f>'Source rates'!Q8</x:f>
        <x:v>0.7857142857142857</x:v>
      </x:c>
      <x:c r="F14" s="268" t="n">
        <x:f>'Source rates'!Q9</x:f>
        <x:v>0</x:v>
      </x:c>
      <x:c r="G14"/>
      <x:c r="H14"/>
      <x:c r="I14"/>
      <x:c r="J14"/>
    </x:row>
    <x:row r="15" ht="20" customHeight="1">
      <x:c r="A15" s="201" t="str"/>
      <x:c r="B15" s="201" t="str">
        <x:v>AUC</x:v>
      </x:c>
      <x:c r="C15" s="203" t="n">
        <x:f>'Source rates'!R6</x:f>
        <x:v>0.6428571428571428</x:v>
      </x:c>
      <x:c r="D15" s="268" t="n">
        <x:f>'Source rates'!R7</x:f>
        <x:v>0.5714285714285714</x:v>
      </x:c>
      <x:c r="E15" s="268" t="n">
        <x:f>'Source rates'!R8</x:f>
        <x:v>0.3571428571428572</x:v>
      </x:c>
      <x:c r="F15" s="268" t="n">
        <x:f>'Source rates'!R9</x:f>
        <x:v>0.5</x:v>
      </x:c>
      <x:c r="G15"/>
      <x:c r="H15"/>
      <x:c r="I15"/>
      <x:c r="J15"/>
    </x:row>
    <x:row r="16" ht="20" customHeight="1">
      <x:c r="A16" s="198" t="str">
        <x:v>S=4D</x:v>
      </x:c>
      <x:c r="B16" s="198" t="str">
        <x:v>FNR</x:v>
      </x:c>
      <x:c r="C16" s="267" t="n">
        <x:f>'Source rates'!O10</x:f>
        <x:v>0.125</x:v>
      </x:c>
      <x:c r="D16" s="267" t="n">
        <x:f>'Source rates'!O11</x:f>
        <x:v>0.3125</x:v>
      </x:c>
      <x:c r="E16" s="200" t="n">
        <x:f>'Source rates'!O12</x:f>
        <x:v>0</x:v>
      </x:c>
      <x:c r="F16" s="267" t="n">
        <x:f>'Source rates'!O13</x:f>
        <x:v>0.875</x:v>
      </x:c>
      <x:c r="G16"/>
      <x:c r="H16"/>
      <x:c r="I16"/>
      <x:c r="J16"/>
    </x:row>
    <x:row r="17" ht="20" customHeight="1">
      <x:c r="A17" s="198" t="str"/>
      <x:c r="B17" s="198" t="str">
        <x:v>FPR</x:v>
      </x:c>
      <x:c r="C17" s="267" t="n">
        <x:f>'Source rates'!P10</x:f>
        <x:v>1</x:v>
      </x:c>
      <x:c r="D17" s="267" t="n">
        <x:f>'Source rates'!P11</x:f>
        <x:v>1</x:v>
      </x:c>
      <x:c r="E17" s="267" t="n">
        <x:f>'Source rates'!P12</x:f>
        <x:v>1</x:v>
      </x:c>
      <x:c r="F17" s="200" t="n">
        <x:f>'Source rates'!P13</x:f>
        <x:v>0</x:v>
      </x:c>
      <x:c r="G17"/>
      <x:c r="H17"/>
      <x:c r="I17"/>
      <x:c r="J17"/>
    </x:row>
    <x:row r="18" ht="20" customHeight="1">
      <x:c r="A18" s="198" t="str"/>
      <x:c r="B18" s="198" t="str">
        <x:v>F1</x:v>
      </x:c>
      <x:c r="C18" s="267" t="n">
        <x:f>'Source rates'!Q10</x:f>
        <x:v>0.9032258064516129</x:v>
      </x:c>
      <x:c r="D18" s="267" t="n">
        <x:f>'Source rates'!Q11</x:f>
        <x:v>0.7857142857142857</x:v>
      </x:c>
      <x:c r="E18" s="200" t="n">
        <x:f>'Source rates'!Q12</x:f>
        <x:v>0.9696969696969697</x:v>
      </x:c>
      <x:c r="F18" s="267" t="n">
        <x:f>'Source rates'!Q13</x:f>
        <x:v>0.2222222222222222</x:v>
      </x:c>
      <x:c r="G18"/>
      <x:c r="H18"/>
      <x:c r="I18"/>
      <x:c r="J18"/>
    </x:row>
    <x:row r="19">
      <x:c r="A19" s="198" t="str"/>
      <x:c r="B19" s="198" t="str">
        <x:v>AUC</x:v>
      </x:c>
      <x:c r="C19" s="267" t="n">
        <x:f>'Source rates'!R10</x:f>
        <x:v>0.375</x:v>
      </x:c>
      <x:c r="D19" s="267" t="n">
        <x:f>'Source rates'!R11</x:f>
        <x:v>0.6875</x:v>
      </x:c>
      <x:c r="E19" s="267" t="n">
        <x:f>'Source rates'!R12</x:f>
        <x:v>0.4375</x:v>
      </x:c>
      <x:c r="F19" s="200" t="n">
        <x:f>'Source rates'!R13</x:f>
        <x:v>0.6875</x:v>
      </x:c>
    </x:row>
    <x:row r="20" ht="26" customHeight="1">
      <x:c r="A20" s="201" t="str">
        <x:v>S=6D</x:v>
      </x:c>
      <x:c r="B20" s="201" t="str">
        <x:v>FNR</x:v>
      </x:c>
      <x:c r="C20" s="203" t="n">
        <x:f>'Source rates'!O14</x:f>
        <x:v>0</x:v>
      </x:c>
      <x:c r="D20" s="268" t="n">
        <x:f>'Source rates'!O15</x:f>
        <x:v>0.07692307692307693</x:v>
      </x:c>
      <x:c r="E20" s="203" t="n">
        <x:f>'Source rates'!O16</x:f>
        <x:v>0</x:v>
      </x:c>
      <x:c r="F20" s="268" t="n">
        <x:f>'Source rates'!O17</x:f>
        <x:v>0.9230769230769231</x:v>
      </x:c>
      <x:c r="G20"/>
      <x:c r="H20"/>
      <x:c r="I20"/>
      <x:c r="J20"/>
    </x:row>
    <x:row r="21" ht="22" customHeight="1">
      <x:c r="A21" s="201" t="str"/>
      <x:c r="B21" s="201" t="str">
        <x:v>FPR</x:v>
      </x:c>
      <x:c r="C21" s="268" t="n">
        <x:f>'Source rates'!P14</x:f>
        <x:v>1</x:v>
      </x:c>
      <x:c r="D21" s="268" t="n">
        <x:f>'Source rates'!P15</x:f>
        <x:v>1</x:v>
      </x:c>
      <x:c r="E21" s="268" t="n">
        <x:f>'Source rates'!P16</x:f>
        <x:v>1</x:v>
      </x:c>
      <x:c r="F21" s="203" t="n">
        <x:f>'Source rates'!P17</x:f>
        <x:v>0</x:v>
      </x:c>
      <x:c r="G21"/>
      <x:c r="H21"/>
      <x:c r="I21"/>
      <x:c r="J21"/>
    </x:row>
    <x:row r="22" ht="22" customHeight="1">
      <x:c r="A22" s="201" t="str"/>
      <x:c r="B22" s="201" t="str">
        <x:v>F1</x:v>
      </x:c>
      <x:c r="C22" s="203" t="n">
        <x:f>'Source rates'!Q14</x:f>
        <x:v>0.8666666666666667</x:v>
      </x:c>
      <x:c r="D22" s="268" t="n">
        <x:f>'Source rates'!Q15</x:f>
        <x:v>0.8275862068965517</x:v>
      </x:c>
      <x:c r="E22" s="203" t="n">
        <x:f>'Source rates'!Q16</x:f>
        <x:v>0.8666666666666667</x:v>
      </x:c>
      <x:c r="F22" s="268" t="n">
        <x:f>'Source rates'!Q17</x:f>
        <x:v>0.14285714285714285</x:v>
      </x:c>
      <x:c r="G22"/>
      <x:c r="H22"/>
      <x:c r="I22"/>
      <x:c r="J22"/>
    </x:row>
    <x:row r="23" ht="20" customHeight="1">
      <x:c r="A23" s="201" t="str"/>
      <x:c r="B23" s="201" t="str">
        <x:v>AUC</x:v>
      </x:c>
      <x:c r="C23" s="268" t="n">
        <x:f>'Source rates'!R14</x:f>
        <x:v>0.5192307692307693</x:v>
      </x:c>
      <x:c r="D23" s="203" t="n">
        <x:f>'Source rates'!R15</x:f>
        <x:v>0.6153846153846154</x:v>
      </x:c>
      <x:c r="E23" s="268" t="n">
        <x:f>'Source rates'!R16</x:f>
        <x:v>0.40384615384615385</x:v>
      </x:c>
      <x:c r="F23" s="268" t="n">
        <x:f>'Source rates'!R17</x:f>
        <x:v>0.5769230769230769</x:v>
      </x:c>
      <x:c r="G23"/>
      <x:c r="H23"/>
      <x:c r="I23"/>
      <x:c r="J23"/>
    </x:row>
    <x:row r="24" ht="20" customHeight="1">
      <x:c r="A24" s="204"/>
      <x:c r="B24" s="204"/>
      <x:c r="C24" s="204"/>
      <x:c r="D24" s="204"/>
      <x:c r="E24" s="204"/>
      <x:c r="F24" s="204"/>
      <x:c r="G24"/>
      <x:c r="H24"/>
      <x:c r="I24"/>
      <x:c r="J24"/>
    </x:row>
    <x:row r="25" ht="22" customHeight="1">
      <x:c r="A25" s="187" t="str">
        <x:v>Signed log10 ML error — Assumed M3</x:v>
      </x:c>
      <x:c r="B25" s="187"/>
      <x:c r="C25" s="187"/>
      <x:c r="D25" s="187"/>
      <x:c r="E25" s="187"/>
      <x:c r="F25" s="187"/>
      <x:c r="G25"/>
      <x:c r="H25"/>
      <x:c r="I25"/>
      <x:c r="J25"/>
    </x:row>
    <x:row r="26" ht="20" customHeight="1">
      <x:c r="A26" s="205" t="str">
        <x:v>ESS-filtered raw, network-specific NPE-MCMC central 90% interval [q5, q95]</x:v>
      </x:c>
      <x:c r="B26" s="205"/>
      <x:c r="C26" s="205"/>
      <x:c r="D26" s="205"/>
      <x:c r="E26" s="205"/>
      <x:c r="F26" s="205"/>
      <x:c r="G26"/>
      <x:c r="H26"/>
      <x:c r="I26"/>
      <x:c r="J26"/>
    </x:row>
    <x:row r="27" ht="20" customHeight="1">
      <x:c r="A27" s="206" t="str">
        <x:v>Summary</x:v>
      </x:c>
      <x:c r="B27" s="206" t="str">
        <x:v>Statistic</x:v>
      </x:c>
      <x:c r="C27" s="206" t="str">
        <x:v>L2</x:v>
      </x:c>
      <x:c r="D27" s="206" t="str">
        <x:v>L∞</x:v>
      </x:c>
      <x:c r="E27" s="206" t="str">
        <x:v>Density</x:v>
      </x:c>
      <x:c r="F27" s="206" t="str">
        <x:v>MMD</x:v>
      </x:c>
      <x:c r="G27"/>
      <x:c r="H27"/>
      <x:c r="I27"/>
      <x:c r="J27"/>
    </x:row>
    <x:row r="28" ht="20" customHeight="1">
      <x:c r="A28" s="198" t="str">
        <x:v>S=D</x:v>
      </x:c>
      <x:c r="B28" s="198" t="str">
        <x:v>FNR</x:v>
      </x:c>
      <x:c r="C28" s="200" t="n">
        <x:f>'Source rates'!O18</x:f>
        <x:v>0.6</x:v>
      </x:c>
      <x:c r="D28" s="267" t="n">
        <x:f>'Source rates'!O19</x:f>
        <x:v>0.7333333333333333</x:v>
      </x:c>
      <x:c r="E28" s="267" t="n">
        <x:f>'Source rates'!O20</x:f>
        <x:v>0.7333333333333333</x:v>
      </x:c>
      <x:c r="F28" s="267" t="n">
        <x:f>'Source rates'!O21</x:f>
        <x:v>1</x:v>
      </x:c>
      <x:c r="G28"/>
      <x:c r="H28"/>
      <x:c r="I28"/>
      <x:c r="J28"/>
    </x:row>
    <x:row r="29" ht="20" customHeight="1">
      <x:c r="A29" s="198" t="str"/>
      <x:c r="B29" s="198" t="str">
        <x:v>FPR</x:v>
      </x:c>
      <x:c r="C29" s="200" t="n">
        <x:f>'Source rates'!P18</x:f>
        <x:v>0</x:v>
      </x:c>
      <x:c r="D29" s="267" t="n">
        <x:f>'Source rates'!P19</x:f>
        <x:v>0.5</x:v>
      </x:c>
      <x:c r="E29" s="200" t="n">
        <x:f>'Source rates'!P20</x:f>
        <x:v>0</x:v>
      </x:c>
      <x:c r="F29" s="200" t="n">
        <x:f>'Source rates'!P21</x:f>
        <x:v>0</x:v>
      </x:c>
      <x:c r="G29"/>
      <x:c r="H29"/>
      <x:c r="I29"/>
      <x:c r="J29"/>
    </x:row>
    <x:row r="30" ht="20" customHeight="1">
      <x:c r="A30" s="198" t="str"/>
      <x:c r="B30" s="198" t="str">
        <x:v>F1</x:v>
      </x:c>
      <x:c r="C30" s="200" t="n">
        <x:f>'Source rates'!Q18</x:f>
        <x:v>0.5714285714285714</x:v>
      </x:c>
      <x:c r="D30" s="267" t="n">
        <x:f>'Source rates'!Q19</x:f>
        <x:v>0.4</x:v>
      </x:c>
      <x:c r="E30" s="267" t="n">
        <x:f>'Source rates'!Q20</x:f>
        <x:v>0.42105263157894735</x:v>
      </x:c>
      <x:c r="F30" s="267" t="n">
        <x:f>'Source rates'!Q21</x:f>
        <x:v>0</x:v>
      </x:c>
      <x:c r="G30"/>
      <x:c r="H30"/>
      <x:c r="I30"/>
      <x:c r="J30"/>
    </x:row>
    <x:row r="31" ht="20" customHeight="1">
      <x:c r="A31" s="198" t="str"/>
      <x:c r="B31" s="198" t="str">
        <x:v>AUC</x:v>
      </x:c>
      <x:c r="C31" s="200" t="n">
        <x:f>'Source rates'!R18</x:f>
        <x:v>0.8</x:v>
      </x:c>
      <x:c r="D31" s="267" t="n">
        <x:f>'Source rates'!R19</x:f>
        <x:v>0.6333333333333333</x:v>
      </x:c>
      <x:c r="E31" s="267" t="n">
        <x:f>'Source rates'!R20</x:f>
        <x:v>0.5</x:v>
      </x:c>
      <x:c r="F31" s="267" t="n">
        <x:f>'Source rates'!R21</x:f>
        <x:v>0.6333333333333333</x:v>
      </x:c>
      <x:c r="G31"/>
      <x:c r="H31"/>
      <x:c r="I31"/>
      <x:c r="J31"/>
    </x:row>
    <x:row r="32" ht="20" customHeight="1">
      <x:c r="A32" s="201" t="str">
        <x:v>S=2D</x:v>
      </x:c>
      <x:c r="B32" s="201" t="str">
        <x:v>FNR</x:v>
      </x:c>
      <x:c r="C32" s="203" t="n">
        <x:f>'Source rates'!O22</x:f>
        <x:v>0.5</x:v>
      </x:c>
      <x:c r="D32" s="268" t="n">
        <x:f>'Source rates'!O23</x:f>
        <x:v>0.8571428571428571</x:v>
      </x:c>
      <x:c r="E32" s="268" t="n">
        <x:f>'Source rates'!O24</x:f>
        <x:v>0.7857142857142857</x:v>
      </x:c>
      <x:c r="F32" s="268" t="n">
        <x:f>'Source rates'!O25</x:f>
        <x:v>1</x:v>
      </x:c>
      <x:c r="G32"/>
      <x:c r="H32"/>
      <x:c r="I32"/>
      <x:c r="J32"/>
    </x:row>
    <x:row r="33" ht="20" customHeight="1">
      <x:c r="A33" s="201" t="str"/>
      <x:c r="B33" s="201" t="str">
        <x:v>FPR</x:v>
      </x:c>
      <x:c r="C33" s="203" t="n">
        <x:f>'Source rates'!P22</x:f>
        <x:v>0</x:v>
      </x:c>
      <x:c r="D33" s="203" t="n">
        <x:f>'Source rates'!P23</x:f>
        <x:v>0</x:v>
      </x:c>
      <x:c r="E33" s="203" t="n">
        <x:f>'Source rates'!P24</x:f>
        <x:v>0</x:v>
      </x:c>
      <x:c r="F33" s="203" t="n">
        <x:f>'Source rates'!P25</x:f>
        <x:v>0</x:v>
      </x:c>
      <x:c r="G33"/>
      <x:c r="H33"/>
      <x:c r="I33"/>
      <x:c r="J33"/>
    </x:row>
    <x:row r="34" ht="20" customHeight="1">
      <x:c r="A34" s="201" t="str"/>
      <x:c r="B34" s="201" t="str">
        <x:v>F1</x:v>
      </x:c>
      <x:c r="C34" s="203" t="n">
        <x:f>'Source rates'!Q22</x:f>
        <x:v>0.6666666666666666</x:v>
      </x:c>
      <x:c r="D34" s="268" t="n">
        <x:f>'Source rates'!Q23</x:f>
        <x:v>0.25</x:v>
      </x:c>
      <x:c r="E34" s="268" t="n">
        <x:f>'Source rates'!Q24</x:f>
        <x:v>0.35294117647058826</x:v>
      </x:c>
      <x:c r="F34" s="268" t="n">
        <x:f>'Source rates'!Q25</x:f>
        <x:v>0</x:v>
      </x:c>
      <x:c r="G34"/>
      <x:c r="H34"/>
      <x:c r="I34"/>
      <x:c r="J34"/>
    </x:row>
    <x:row r="35">
      <x:c r="A35" s="201" t="str"/>
      <x:c r="B35" s="201" t="str">
        <x:v>AUC</x:v>
      </x:c>
      <x:c r="C35" s="203" t="n">
        <x:f>'Source rates'!R22</x:f>
        <x:v>0.7380952380952381</x:v>
      </x:c>
      <x:c r="D35" s="268" t="n">
        <x:f>'Source rates'!R23</x:f>
        <x:v>0.5714285714285714</x:v>
      </x:c>
      <x:c r="E35" s="268" t="n">
        <x:f>'Source rates'!R24</x:f>
        <x:v>0.5952380952380952</x:v>
      </x:c>
      <x:c r="F35" s="268" t="n">
        <x:f>'Source rates'!R25</x:f>
        <x:v>0.6904761904761906</x:v>
      </x:c>
    </x:row>
    <x:row r="36" ht="26" customHeight="1">
      <x:c r="A36" s="198" t="str">
        <x:v>S=4D</x:v>
      </x:c>
      <x:c r="B36" s="198" t="str">
        <x:v>FNR</x:v>
      </x:c>
      <x:c r="C36" s="267" t="n">
        <x:f>'Source rates'!O26</x:f>
        <x:v>0.6</x:v>
      </x:c>
      <x:c r="D36" s="267" t="n">
        <x:f>'Source rates'!O27</x:f>
        <x:v>0.7333333333333333</x:v>
      </x:c>
      <x:c r="E36" s="200" t="n">
        <x:f>'Source rates'!O28</x:f>
        <x:v>0.4666666666666667</x:v>
      </x:c>
      <x:c r="F36" s="267" t="n">
        <x:f>'Source rates'!O29</x:f>
        <x:v>1</x:v>
      </x:c>
      <x:c r="G36"/>
      <x:c r="H36"/>
      <x:c r="I36"/>
      <x:c r="J36"/>
    </x:row>
    <x:row r="37" ht="22" customHeight="1">
      <x:c r="A37" s="198" t="str"/>
      <x:c r="B37" s="198" t="str">
        <x:v>FPR</x:v>
      </x:c>
      <x:c r="C37" s="267" t="n">
        <x:f>'Source rates'!P26</x:f>
        <x:v>0.5</x:v>
      </x:c>
      <x:c r="D37" s="200" t="n">
        <x:f>'Source rates'!P27</x:f>
        <x:v>0</x:v>
      </x:c>
      <x:c r="E37" s="267" t="n">
        <x:f>'Source rates'!P28</x:f>
        <x:v>1</x:v>
      </x:c>
      <x:c r="F37" s="200" t="n">
        <x:f>'Source rates'!P29</x:f>
        <x:v>0</x:v>
      </x:c>
      <x:c r="G37"/>
      <x:c r="H37"/>
      <x:c r="I37"/>
      <x:c r="J37"/>
    </x:row>
    <x:row r="38" ht="22" customHeight="1">
      <x:c r="A38" s="198" t="str"/>
      <x:c r="B38" s="198" t="str">
        <x:v>F1</x:v>
      </x:c>
      <x:c r="C38" s="267" t="n">
        <x:f>'Source rates'!Q26</x:f>
        <x:v>0.5454545454545454</x:v>
      </x:c>
      <x:c r="D38" s="267" t="n">
        <x:f>'Source rates'!Q27</x:f>
        <x:v>0.42105263157894735</x:v>
      </x:c>
      <x:c r="E38" s="200" t="n">
        <x:f>'Source rates'!Q28</x:f>
        <x:v>0.64</x:v>
      </x:c>
      <x:c r="F38" s="267" t="n">
        <x:f>'Source rates'!Q29</x:f>
        <x:v>0</x:v>
      </x:c>
      <x:c r="G38"/>
      <x:c r="H38"/>
      <x:c r="I38"/>
      <x:c r="J38"/>
    </x:row>
    <x:row r="39" ht="20" customHeight="1">
      <x:c r="A39" s="198" t="str"/>
      <x:c r="B39" s="198" t="str">
        <x:v>AUC</x:v>
      </x:c>
      <x:c r="C39" s="267" t="n">
        <x:f>'Source rates'!R26</x:f>
        <x:v>0.43333333333333335</x:v>
      </x:c>
      <x:c r="D39" s="200" t="n">
        <x:f>'Source rates'!R27</x:f>
        <x:v>0.6333333333333333</x:v>
      </x:c>
      <x:c r="E39" s="267" t="n">
        <x:f>'Source rates'!R28</x:f>
        <x:v>0.16666666666666669</x:v>
      </x:c>
      <x:c r="F39" s="267" t="n">
        <x:f>'Source rates'!R29</x:f>
        <x:v>0.5333333333333333</x:v>
      </x:c>
      <x:c r="G39"/>
      <x:c r="H39"/>
      <x:c r="I39"/>
      <x:c r="J39"/>
    </x:row>
    <x:row r="40" ht="20" customHeight="1">
      <x:c r="A40" s="201" t="str">
        <x:v>S=6D</x:v>
      </x:c>
      <x:c r="B40" s="201" t="str">
        <x:v>FNR</x:v>
      </x:c>
      <x:c r="C40" s="268" t="n">
        <x:f>'Source rates'!O30</x:f>
        <x:v>0.5333333333333333</x:v>
      </x:c>
      <x:c r="D40" s="268" t="n">
        <x:f>'Source rates'!O31</x:f>
        <x:v>0.4666666666666667</x:v>
      </x:c>
      <x:c r="E40" s="203" t="n">
        <x:f>'Source rates'!O32</x:f>
        <x:v>0.3333333333333333</x:v>
      </x:c>
      <x:c r="F40" s="268" t="n">
        <x:f>'Source rates'!O33</x:f>
        <x:v>0.6666666666666666</x:v>
      </x:c>
      <x:c r="G40"/>
      <x:c r="H40"/>
      <x:c r="I40"/>
      <x:c r="J40"/>
    </x:row>
    <x:row r="41" ht="20" customHeight="1">
      <x:c r="A41" s="201" t="str"/>
      <x:c r="B41" s="201" t="str">
        <x:v>FPR</x:v>
      </x:c>
      <x:c r="C41" s="268" t="n">
        <x:f>'Source rates'!P30</x:f>
        <x:v>0.5</x:v>
      </x:c>
      <x:c r="D41" s="203" t="n">
        <x:f>'Source rates'!P31</x:f>
        <x:v>0</x:v>
      </x:c>
      <x:c r="E41" s="268" t="n">
        <x:f>'Source rates'!P32</x:f>
        <x:v>1</x:v>
      </x:c>
      <x:c r="F41" s="203" t="n">
        <x:f>'Source rates'!P33</x:f>
        <x:v>0</x:v>
      </x:c>
      <x:c r="G41"/>
      <x:c r="H41"/>
      <x:c r="I41"/>
      <x:c r="J41"/>
    </x:row>
    <x:row r="42" ht="20" customHeight="1">
      <x:c r="A42" s="201" t="str"/>
      <x:c r="B42" s="201" t="str">
        <x:v>F1</x:v>
      </x:c>
      <x:c r="C42" s="268" t="n">
        <x:f>'Source rates'!Q30</x:f>
        <x:v>0.6086956521739131</x:v>
      </x:c>
      <x:c r="D42" s="268" t="n">
        <x:f>'Source rates'!Q31</x:f>
        <x:v>0.6956521739130435</x:v>
      </x:c>
      <x:c r="E42" s="203" t="n">
        <x:f>'Source rates'!Q32</x:f>
        <x:v>0.7407407407407407</x:v>
      </x:c>
      <x:c r="F42" s="268" t="n">
        <x:f>'Source rates'!Q33</x:f>
        <x:v>0.5</x:v>
      </x:c>
      <x:c r="G42"/>
      <x:c r="H42"/>
      <x:c r="I42"/>
      <x:c r="J42"/>
    </x:row>
    <x:row r="43" ht="20" customHeight="1">
      <x:c r="A43" s="201" t="str"/>
      <x:c r="B43" s="201" t="str">
        <x:v>AUC</x:v>
      </x:c>
      <x:c r="C43" s="268" t="n">
        <x:f>'Source rates'!R30</x:f>
        <x:v>0.7</x:v>
      </x:c>
      <x:c r="D43" s="203" t="n">
        <x:f>'Source rates'!R31</x:f>
        <x:v>0.8</x:v>
      </x:c>
      <x:c r="E43" s="268" t="n">
        <x:f>'Source rates'!R32</x:f>
        <x:v>0.5</x:v>
      </x:c>
      <x:c r="F43" s="203" t="n">
        <x:f>'Source rates'!R33</x:f>
        <x:v>0.8</x:v>
      </x:c>
      <x:c r="G43"/>
      <x:c r="H43"/>
      <x:c r="I43"/>
      <x:c r="J43"/>
    </x:row>
    <x:row r="44" ht="20" customHeight="1">
      <x:c r="A44" s="204"/>
      <x:c r="B44" s="204"/>
      <x:c r="C44" s="204"/>
      <x:c r="D44" s="204"/>
      <x:c r="E44" s="204"/>
      <x:c r="F44" s="204"/>
      <x:c r="G44"/>
      <x:c r="H44"/>
      <x:c r="I44"/>
      <x:c r="J44"/>
    </x:row>
    <x:row r="45" ht="22" customHeight="1">
      <x:c r="A45" s="187" t="str">
        <x:v>Signed PMP error — Assumed M1</x:v>
      </x:c>
      <x:c r="B45" s="187"/>
      <x:c r="C45" s="187"/>
      <x:c r="D45" s="187"/>
      <x:c r="E45" s="187"/>
      <x:c r="F45" s="187"/>
      <x:c r="G45"/>
      <x:c r="H45"/>
      <x:c r="I45"/>
      <x:c r="J45"/>
    </x:row>
    <x:row r="46" ht="20" customHeight="1">
      <x:c r="A46" s="205" t="str">
        <x:v>ESS-filtered raw, network-specific NPE-MCMC central 90% interval [q5, q95]</x:v>
      </x:c>
      <x:c r="B46" s="205"/>
      <x:c r="C46" s="205"/>
      <x:c r="D46" s="205"/>
      <x:c r="E46" s="205"/>
      <x:c r="F46" s="205"/>
      <x:c r="G46"/>
      <x:c r="H46"/>
      <x:c r="I46"/>
      <x:c r="J46"/>
    </x:row>
    <x:row r="47" ht="20" customHeight="1">
      <x:c r="A47" s="206" t="str">
        <x:v>Summary</x:v>
      </x:c>
      <x:c r="B47" s="206" t="str">
        <x:v>Statistic</x:v>
      </x:c>
      <x:c r="C47" s="206" t="str">
        <x:v>L2</x:v>
      </x:c>
      <x:c r="D47" s="206" t="str">
        <x:v>L∞</x:v>
      </x:c>
      <x:c r="E47" s="206" t="str">
        <x:v>Density</x:v>
      </x:c>
      <x:c r="F47" s="206" t="str">
        <x:v>MMD</x:v>
      </x:c>
      <x:c r="G47"/>
      <x:c r="H47"/>
      <x:c r="I47"/>
      <x:c r="J47"/>
    </x:row>
    <x:row r="48" ht="20" customHeight="1">
      <x:c r="A48" s="198" t="str">
        <x:v>S=D</x:v>
      </x:c>
      <x:c r="B48" s="198" t="str">
        <x:v>FNR</x:v>
      </x:c>
      <x:c r="C48" s="267" t="n">
        <x:f>'Source rates'!O34</x:f>
        <x:v>0.15384615384615385</x:v>
      </x:c>
      <x:c r="D48" s="200" t="n">
        <x:f>'Source rates'!O35</x:f>
        <x:v>0</x:v>
      </x:c>
      <x:c r="E48" s="267" t="n">
        <x:f>'Source rates'!O36</x:f>
        <x:v>0.46153846153846156</x:v>
      </x:c>
      <x:c r="F48" s="267" t="n">
        <x:f>'Source rates'!O37</x:f>
        <x:v>0.8461538461538461</x:v>
      </x:c>
      <x:c r="G48"/>
      <x:c r="H48"/>
      <x:c r="I48"/>
      <x:c r="J48"/>
    </x:row>
    <x:row r="49" ht="20" customHeight="1">
      <x:c r="A49" s="198" t="str"/>
      <x:c r="B49" s="198" t="str">
        <x:v>FPR</x:v>
      </x:c>
      <x:c r="C49" s="267" t="n">
        <x:f>'Source rates'!P34</x:f>
        <x:v>1</x:v>
      </x:c>
      <x:c r="D49" s="267" t="n">
        <x:f>'Source rates'!P35</x:f>
        <x:v>1</x:v>
      </x:c>
      <x:c r="E49" s="267" t="n">
        <x:f>'Source rates'!P36</x:f>
        <x:v>0.75</x:v>
      </x:c>
      <x:c r="F49" s="200" t="n">
        <x:f>'Source rates'!P37</x:f>
        <x:v>0.25</x:v>
      </x:c>
      <x:c r="G49"/>
      <x:c r="H49"/>
      <x:c r="I49"/>
      <x:c r="J49"/>
    </x:row>
    <x:row r="50" ht="20" customHeight="1">
      <x:c r="A50" s="198" t="str"/>
      <x:c r="B50" s="198" t="str">
        <x:v>F1</x:v>
      </x:c>
      <x:c r="C50" s="267" t="n">
        <x:f>'Source rates'!Q34</x:f>
        <x:v>0.7857142857142857</x:v>
      </x:c>
      <x:c r="D50" s="200" t="n">
        <x:f>'Source rates'!Q35</x:f>
        <x:v>0.8666666666666667</x:v>
      </x:c>
      <x:c r="E50" s="267" t="n">
        <x:f>'Source rates'!Q36</x:f>
        <x:v>0.6086956521739131</x:v>
      </x:c>
      <x:c r="F50" s="267" t="n">
        <x:f>'Source rates'!Q37</x:f>
        <x:v>0.25</x:v>
      </x:c>
      <x:c r="G50"/>
      <x:c r="H50"/>
      <x:c r="I50"/>
      <x:c r="J50"/>
    </x:row>
    <x:row r="51">
      <x:c r="A51" s="198" t="str"/>
      <x:c r="B51" s="198" t="str">
        <x:v>AUC</x:v>
      </x:c>
      <x:c r="C51" s="267" t="n">
        <x:f>'Source rates'!R34</x:f>
        <x:v>0.23076923076923078</x:v>
      </x:c>
      <x:c r="D51" s="267" t="n">
        <x:f>'Source rates'!R35</x:f>
        <x:v>0.25</x:v>
      </x:c>
      <x:c r="E51" s="267" t="n">
        <x:f>'Source rates'!R36</x:f>
        <x:v>0.3076923076923077</x:v>
      </x:c>
      <x:c r="F51" s="200" t="n">
        <x:f>'Source rates'!R37</x:f>
        <x:v>0.36538461538461536</x:v>
      </x:c>
    </x:row>
    <x:row r="52" ht="26" customHeight="1">
      <x:c r="A52" s="201" t="str">
        <x:v>S=2D</x:v>
      </x:c>
      <x:c r="B52" s="201" t="str">
        <x:v>FNR</x:v>
      </x:c>
      <x:c r="C52" s="268" t="n">
        <x:f>'Source rates'!O38</x:f>
        <x:v>0.7692307692307693</x:v>
      </x:c>
      <x:c r="D52" s="203" t="n">
        <x:f>'Source rates'!O39</x:f>
        <x:v>0.23076923076923078</x:v>
      </x:c>
      <x:c r="E52" s="203" t="n">
        <x:f>'Source rates'!O40</x:f>
        <x:v>0.23076923076923078</x:v>
      </x:c>
      <x:c r="F52" s="268" t="n">
        <x:f>'Source rates'!O41</x:f>
        <x:v>1</x:v>
      </x:c>
      <x:c r="G52"/>
      <x:c r="H52"/>
      <x:c r="I52"/>
      <x:c r="J52"/>
    </x:row>
    <x:row r="53" ht="22" customHeight="1">
      <x:c r="A53" s="201" t="str"/>
      <x:c r="B53" s="201" t="str">
        <x:v>FPR</x:v>
      </x:c>
      <x:c r="C53" s="268" t="n">
        <x:f>'Source rates'!P38</x:f>
        <x:v>0.5</x:v>
      </x:c>
      <x:c r="D53" s="268" t="n">
        <x:f>'Source rates'!P39</x:f>
        <x:v>1</x:v>
      </x:c>
      <x:c r="E53" s="268" t="n">
        <x:f>'Source rates'!P40</x:f>
        <x:v>1</x:v>
      </x:c>
      <x:c r="F53" s="203" t="n">
        <x:f>'Source rates'!P41</x:f>
        <x:v>0</x:v>
      </x:c>
      <x:c r="G53"/>
      <x:c r="H53"/>
      <x:c r="I53"/>
      <x:c r="J53"/>
    </x:row>
    <x:row r="54" ht="22" customHeight="1">
      <x:c r="A54" s="201" t="str"/>
      <x:c r="B54" s="201" t="str">
        <x:v>F1</x:v>
      </x:c>
      <x:c r="C54" s="268" t="n">
        <x:f>'Source rates'!Q38</x:f>
        <x:v>0.3333333333333333</x:v>
      </x:c>
      <x:c r="D54" s="203" t="n">
        <x:f>'Source rates'!Q39</x:f>
        <x:v>0.7407407407407407</x:v>
      </x:c>
      <x:c r="E54" s="203" t="n">
        <x:f>'Source rates'!Q40</x:f>
        <x:v>0.7407407407407407</x:v>
      </x:c>
      <x:c r="F54" s="268" t="n">
        <x:f>'Source rates'!Q41</x:f>
        <x:v>0</x:v>
      </x:c>
      <x:c r="G54"/>
      <x:c r="H54"/>
      <x:c r="I54"/>
      <x:c r="J54"/>
    </x:row>
    <x:row r="55" ht="20" customHeight="1">
      <x:c r="A55" s="201" t="str"/>
      <x:c r="B55" s="201" t="str">
        <x:v>AUC</x:v>
      </x:c>
      <x:c r="C55" s="268" t="n">
        <x:f>'Source rates'!R38</x:f>
        <x:v>0.15384615384615385</x:v>
      </x:c>
      <x:c r="D55" s="268" t="n">
        <x:f>'Source rates'!R39</x:f>
        <x:v>0.17307692307692307</x:v>
      </x:c>
      <x:c r="E55" s="268" t="n">
        <x:f>'Source rates'!R40</x:f>
        <x:v>0</x:v>
      </x:c>
      <x:c r="F55" s="203" t="n">
        <x:f>'Source rates'!R41</x:f>
        <x:v>0.5</x:v>
      </x:c>
      <x:c r="G55"/>
      <x:c r="H55"/>
      <x:c r="I55"/>
      <x:c r="J55"/>
    </x:row>
    <x:row r="56" ht="20" customHeight="1">
      <x:c r="A56" s="198" t="str">
        <x:v>S=4D</x:v>
      </x:c>
      <x:c r="B56" s="198" t="str">
        <x:v>FNR</x:v>
      </x:c>
      <x:c r="C56" s="267" t="n">
        <x:f>'Source rates'!O42</x:f>
        <x:v>0.15384615384615385</x:v>
      </x:c>
      <x:c r="D56" s="267" t="n">
        <x:f>'Source rates'!O43</x:f>
        <x:v>0.38461538461538464</x:v>
      </x:c>
      <x:c r="E56" s="200" t="n">
        <x:f>'Source rates'!O44</x:f>
        <x:v>0</x:v>
      </x:c>
      <x:c r="F56" s="267" t="n">
        <x:f>'Source rates'!O45</x:f>
        <x:v>0.8461538461538461</x:v>
      </x:c>
      <x:c r="G56"/>
      <x:c r="H56"/>
      <x:c r="I56"/>
      <x:c r="J56"/>
    </x:row>
    <x:row r="57" ht="20" customHeight="1">
      <x:c r="A57" s="198" t="str"/>
      <x:c r="B57" s="198" t="str">
        <x:v>FPR</x:v>
      </x:c>
      <x:c r="C57" s="267" t="n">
        <x:f>'Source rates'!P42</x:f>
        <x:v>1</x:v>
      </x:c>
      <x:c r="D57" s="267" t="n">
        <x:f>'Source rates'!P43</x:f>
        <x:v>1</x:v>
      </x:c>
      <x:c r="E57" s="267" t="n">
        <x:f>'Source rates'!P44</x:f>
        <x:v>1</x:v>
      </x:c>
      <x:c r="F57" s="200" t="n">
        <x:f>'Source rates'!P45</x:f>
        <x:v>0</x:v>
      </x:c>
      <x:c r="G57"/>
      <x:c r="H57"/>
      <x:c r="I57"/>
      <x:c r="J57"/>
    </x:row>
    <x:row r="58" ht="20" customHeight="1">
      <x:c r="A58" s="198" t="str"/>
      <x:c r="B58" s="198" t="str">
        <x:v>F1</x:v>
      </x:c>
      <x:c r="C58" s="267" t="n">
        <x:f>'Source rates'!Q42</x:f>
        <x:v>0.7857142857142857</x:v>
      </x:c>
      <x:c r="D58" s="267" t="n">
        <x:f>'Source rates'!Q43</x:f>
        <x:v>0.64</x:v>
      </x:c>
      <x:c r="E58" s="200" t="n">
        <x:f>'Source rates'!Q44</x:f>
        <x:v>0.8666666666666667</x:v>
      </x:c>
      <x:c r="F58" s="267" t="n">
        <x:f>'Source rates'!Q45</x:f>
        <x:v>0.26666666666666666</x:v>
      </x:c>
      <x:c r="G58"/>
      <x:c r="H58"/>
      <x:c r="I58"/>
      <x:c r="J58"/>
    </x:row>
    <x:row r="59" ht="20" customHeight="1">
      <x:c r="A59" s="198" t="str"/>
      <x:c r="B59" s="198" t="str">
        <x:v>AUC</x:v>
      </x:c>
      <x:c r="C59" s="267" t="n">
        <x:f>'Source rates'!R42</x:f>
        <x:v>0.09615384615384616</x:v>
      </x:c>
      <x:c r="D59" s="267" t="n">
        <x:f>'Source rates'!R43</x:f>
        <x:v>0.057692307692307696</x:v>
      </x:c>
      <x:c r="E59" s="267" t="n">
        <x:f>'Source rates'!R44</x:f>
        <x:v>0</x:v>
      </x:c>
      <x:c r="F59" s="200" t="n">
        <x:f>'Source rates'!R45</x:f>
        <x:v>0.28846153846153844</x:v>
      </x:c>
      <x:c r="G59"/>
      <x:c r="H59"/>
      <x:c r="I59"/>
      <x:c r="J59"/>
    </x:row>
    <x:row r="60" ht="20" customHeight="1">
      <x:c r="A60" s="201" t="str">
        <x:v>S=6D</x:v>
      </x:c>
      <x:c r="B60" s="201" t="str">
        <x:v>FNR</x:v>
      </x:c>
      <x:c r="C60" s="203" t="n">
        <x:f>'Source rates'!O46</x:f>
        <x:v>0</x:v>
      </x:c>
      <x:c r="D60" s="268" t="n">
        <x:f>'Source rates'!O47</x:f>
        <x:v>0.07692307692307693</x:v>
      </x:c>
      <x:c r="E60" s="203" t="n">
        <x:f>'Source rates'!O48</x:f>
        <x:v>0</x:v>
      </x:c>
      <x:c r="F60" s="268" t="n">
        <x:f>'Source rates'!O49</x:f>
        <x:v>0.9230769230769231</x:v>
      </x:c>
      <x:c r="G60"/>
      <x:c r="H60"/>
      <x:c r="I60"/>
      <x:c r="J60"/>
    </x:row>
    <x:row r="61" ht="20" customHeight="1">
      <x:c r="A61" s="201" t="str"/>
      <x:c r="B61" s="201" t="str">
        <x:v>FPR</x:v>
      </x:c>
      <x:c r="C61" s="268" t="n">
        <x:f>'Source rates'!P46</x:f>
        <x:v>1</x:v>
      </x:c>
      <x:c r="D61" s="268" t="n">
        <x:f>'Source rates'!P47</x:f>
        <x:v>1</x:v>
      </x:c>
      <x:c r="E61" s="268" t="n">
        <x:f>'Source rates'!P48</x:f>
        <x:v>1</x:v>
      </x:c>
      <x:c r="F61" s="203" t="n">
        <x:f>'Source rates'!P49</x:f>
        <x:v>0</x:v>
      </x:c>
      <x:c r="G61"/>
      <x:c r="H61"/>
      <x:c r="I61"/>
      <x:c r="J61"/>
    </x:row>
    <x:row r="62" ht="20" customHeight="1">
      <x:c r="A62" s="201" t="str"/>
      <x:c r="B62" s="201" t="str">
        <x:v>F1</x:v>
      </x:c>
      <x:c r="C62" s="203" t="n">
        <x:f>'Source rates'!Q46</x:f>
        <x:v>0.8666666666666667</x:v>
      </x:c>
      <x:c r="D62" s="268" t="n">
        <x:f>'Source rates'!Q47</x:f>
        <x:v>0.8275862068965517</x:v>
      </x:c>
      <x:c r="E62" s="203" t="n">
        <x:f>'Source rates'!Q48</x:f>
        <x:v>0.8666666666666667</x:v>
      </x:c>
      <x:c r="F62" s="268" t="n">
        <x:f>'Source rates'!Q49</x:f>
        <x:v>0.14285714285714285</x:v>
      </x:c>
      <x:c r="G62"/>
      <x:c r="H62"/>
      <x:c r="I62"/>
      <x:c r="J62"/>
    </x:row>
    <x:row r="63" ht="20" customHeight="1">
      <x:c r="A63" s="201" t="str"/>
      <x:c r="B63" s="201" t="str">
        <x:v>AUC</x:v>
      </x:c>
      <x:c r="C63" s="268" t="n">
        <x:f>'Source rates'!R46</x:f>
        <x:v>0.2692307692307693</x:v>
      </x:c>
      <x:c r="D63" s="268" t="n">
        <x:f>'Source rates'!R47</x:f>
        <x:v>0.11538461538461539</x:v>
      </x:c>
      <x:c r="E63" s="268" t="n">
        <x:f>'Source rates'!R48</x:f>
        <x:v>0</x:v>
      </x:c>
      <x:c r="F63" s="203" t="n">
        <x:f>'Source rates'!R49</x:f>
        <x:v>0.326923076923077</x:v>
      </x:c>
      <x:c r="G63"/>
      <x:c r="H63"/>
      <x:c r="I63"/>
      <x:c r="J63"/>
    </x:row>
    <x:row r="64" ht="20" customHeight="1">
      <x:c r="A64" s="204"/>
      <x:c r="B64" s="204"/>
      <x:c r="C64" s="204"/>
      <x:c r="D64" s="204"/>
      <x:c r="E64" s="204"/>
      <x:c r="F64" s="204"/>
      <x:c r="G64"/>
      <x:c r="H64"/>
      <x:c r="I64"/>
      <x:c r="J64"/>
    </x:row>
    <x:row r="65" ht="22" customHeight="1">
      <x:c r="A65" s="187" t="str">
        <x:v>Signed PMP error — Assumed M3</x:v>
      </x:c>
      <x:c r="B65" s="187"/>
      <x:c r="C65" s="187"/>
      <x:c r="D65" s="187"/>
      <x:c r="E65" s="187"/>
      <x:c r="F65" s="187"/>
      <x:c r="G65"/>
      <x:c r="H65"/>
      <x:c r="I65"/>
      <x:c r="J65"/>
    </x:row>
    <x:row r="66" ht="20" customHeight="1">
      <x:c r="A66" s="205" t="str">
        <x:v>ESS-filtered raw, network-specific NPE-MCMC central 90% interval [q5, q95]</x:v>
      </x:c>
      <x:c r="B66" s="205"/>
      <x:c r="C66" s="205"/>
      <x:c r="D66" s="205"/>
      <x:c r="E66" s="205"/>
      <x:c r="F66" s="205"/>
      <x:c r="G66"/>
      <x:c r="H66"/>
      <x:c r="I66"/>
      <x:c r="J66"/>
    </x:row>
    <x:row r="67">
      <x:c r="A67" s="206" t="str">
        <x:v>Summary</x:v>
      </x:c>
      <x:c r="B67" s="206" t="str">
        <x:v>Statistic</x:v>
      </x:c>
      <x:c r="C67" s="206" t="str">
        <x:v>L2</x:v>
      </x:c>
      <x:c r="D67" s="206" t="str">
        <x:v>L∞</x:v>
      </x:c>
      <x:c r="E67" s="206" t="str">
        <x:v>Density</x:v>
      </x:c>
      <x:c r="F67" s="206" t="str">
        <x:v>MMD</x:v>
      </x:c>
    </x:row>
    <x:row r="68" ht="26" customHeight="1">
      <x:c r="A68" s="198" t="str">
        <x:v>S=D</x:v>
      </x:c>
      <x:c r="B68" s="198" t="str">
        <x:v>FNR</x:v>
      </x:c>
      <x:c r="C68" s="200" t="n">
        <x:f>'Source rates'!O50</x:f>
        <x:v>0.6428571428571429</x:v>
      </x:c>
      <x:c r="D68" s="267" t="n">
        <x:f>'Source rates'!O51</x:f>
        <x:v>0.7142857142857143</x:v>
      </x:c>
      <x:c r="E68" s="267" t="n">
        <x:f>'Source rates'!O52</x:f>
        <x:v>0.7857142857142857</x:v>
      </x:c>
      <x:c r="F68" s="267" t="n">
        <x:f>'Source rates'!O53</x:f>
        <x:v>1</x:v>
      </x:c>
    </x:row>
    <x:row r="69" ht="22" customHeight="1">
      <x:c r="A69" s="198" t="str"/>
      <x:c r="B69" s="198" t="str">
        <x:v>FPR</x:v>
      </x:c>
      <x:c r="C69" s="267" t="n">
        <x:f>'Source rates'!P50</x:f>
        <x:v>0.3333333333333333</x:v>
      </x:c>
      <x:c r="D69" s="267" t="n">
        <x:f>'Source rates'!P51</x:f>
        <x:v>0.3333333333333333</x:v>
      </x:c>
      <x:c r="E69" s="267" t="n">
        <x:f>'Source rates'!P52</x:f>
        <x:v>0.3333333333333333</x:v>
      </x:c>
      <x:c r="F69" s="200" t="n">
        <x:f>'Source rates'!P53</x:f>
        <x:v>0</x:v>
      </x:c>
    </x:row>
    <x:row r="70" ht="22" customHeight="1">
      <x:c r="A70" s="198" t="str"/>
      <x:c r="B70" s="198" t="str">
        <x:v>F1</x:v>
      </x:c>
      <x:c r="C70" s="200" t="n">
        <x:f>'Source rates'!Q50</x:f>
        <x:v>0.5</x:v>
      </x:c>
      <x:c r="D70" s="267" t="n">
        <x:f>'Source rates'!Q51</x:f>
        <x:v>0.42105263157894735</x:v>
      </x:c>
      <x:c r="E70" s="267" t="n">
        <x:f>'Source rates'!Q52</x:f>
        <x:v>0.3333333333333333</x:v>
      </x:c>
      <x:c r="F70" s="267" t="n">
        <x:f>'Source rates'!Q53</x:f>
        <x:v>0</x:v>
      </x:c>
    </x:row>
    <x:row r="71" ht="20" customHeight="1">
      <x:c r="A71" s="198" t="str"/>
      <x:c r="B71" s="198" t="str">
        <x:v>AUC</x:v>
      </x:c>
      <x:c r="C71" s="267" t="n">
        <x:f>'Source rates'!R50</x:f>
        <x:v>0.4285714285714286</x:v>
      </x:c>
      <x:c r="D71" s="267" t="n">
        <x:f>'Source rates'!R51</x:f>
        <x:v>0.4285714285714286</x:v>
      </x:c>
      <x:c r="E71" s="200" t="n">
        <x:f>'Source rates'!R52</x:f>
        <x:v>0.5</x:v>
      </x:c>
      <x:c r="F71" s="267" t="n">
        <x:f>'Source rates'!R53</x:f>
        <x:v>0.380952380952381</x:v>
      </x:c>
    </x:row>
    <x:row r="72" ht="20" customHeight="1">
      <x:c r="A72" s="201" t="str">
        <x:v>S=2D</x:v>
      </x:c>
      <x:c r="B72" s="201" t="str">
        <x:v>FNR</x:v>
      </x:c>
      <x:c r="C72" s="203" t="n">
        <x:f>'Source rates'!O54</x:f>
        <x:v>0.5714285714285714</x:v>
      </x:c>
      <x:c r="D72" s="268" t="n">
        <x:f>'Source rates'!O55</x:f>
        <x:v>0.9285714285714286</x:v>
      </x:c>
      <x:c r="E72" s="268" t="n">
        <x:f>'Source rates'!O56</x:f>
        <x:v>0.8571428571428571</x:v>
      </x:c>
      <x:c r="F72" s="268" t="n">
        <x:f>'Source rates'!O57</x:f>
        <x:v>1</x:v>
      </x:c>
    </x:row>
    <x:row r="73" ht="20" customHeight="1">
      <x:c r="A73" s="201" t="str"/>
      <x:c r="B73" s="201" t="str">
        <x:v>FPR</x:v>
      </x:c>
      <x:c r="C73" s="268" t="n">
        <x:f>'Source rates'!P54</x:f>
        <x:v>0.3333333333333333</x:v>
      </x:c>
      <x:c r="D73" s="268" t="n">
        <x:f>'Source rates'!P55</x:f>
        <x:v>0.3333333333333333</x:v>
      </x:c>
      <x:c r="E73" s="268" t="n">
        <x:f>'Source rates'!P56</x:f>
        <x:v>0.3333333333333333</x:v>
      </x:c>
      <x:c r="F73" s="203" t="n">
        <x:f>'Source rates'!P57</x:f>
        <x:v>0</x:v>
      </x:c>
    </x:row>
    <x:row r="74" ht="20" customHeight="1">
      <x:c r="A74" s="201" t="str"/>
      <x:c r="B74" s="201" t="str">
        <x:v>F1</x:v>
      </x:c>
      <x:c r="C74" s="203" t="n">
        <x:f>'Source rates'!Q54</x:f>
        <x:v>0.5714285714285714</x:v>
      </x:c>
      <x:c r="D74" s="268" t="n">
        <x:f>'Source rates'!Q55</x:f>
        <x:v>0.125</x:v>
      </x:c>
      <x:c r="E74" s="268" t="n">
        <x:f>'Source rates'!Q56</x:f>
        <x:v>0.23529411764705882</x:v>
      </x:c>
      <x:c r="F74" s="268" t="n">
        <x:f>'Source rates'!Q57</x:f>
        <x:v>0</x:v>
      </x:c>
    </x:row>
    <x:row r="75" ht="20" customHeight="1">
      <x:c r="A75" s="201" t="str"/>
      <x:c r="B75" s="201" t="str">
        <x:v>AUC</x:v>
      </x:c>
      <x:c r="C75" s="268" t="n">
        <x:f>'Source rates'!R54</x:f>
        <x:v>0.45238095238095244</x:v>
      </x:c>
      <x:c r="D75" s="203" t="n">
        <x:f>'Source rates'!R55</x:f>
        <x:v>0.6428571428571429</x:v>
      </x:c>
      <x:c r="E75" s="268" t="n">
        <x:f>'Source rates'!R56</x:f>
        <x:v>0.11904761904761905</x:v>
      </x:c>
      <x:c r="F75" s="268" t="n">
        <x:f>'Source rates'!R57</x:f>
        <x:v>0.4761904761904763</x:v>
      </x:c>
    </x:row>
    <x:row r="76" ht="20" customHeight="1">
      <x:c r="A76" s="198" t="str">
        <x:v>S=4D</x:v>
      </x:c>
      <x:c r="B76" s="198" t="str">
        <x:v>FNR</x:v>
      </x:c>
      <x:c r="C76" s="267" t="n">
        <x:f>'Source rates'!O58</x:f>
        <x:v>0.6428571428571429</x:v>
      </x:c>
      <x:c r="D76" s="267" t="n">
        <x:f>'Source rates'!O59</x:f>
        <x:v>0.7857142857142857</x:v>
      </x:c>
      <x:c r="E76" s="200" t="n">
        <x:f>'Source rates'!O60</x:f>
        <x:v>0.5</x:v>
      </x:c>
      <x:c r="F76" s="267" t="n">
        <x:f>'Source rates'!O61</x:f>
        <x:v>1</x:v>
      </x:c>
    </x:row>
    <x:row r="77" ht="20" customHeight="1">
      <x:c r="A77" s="198" t="str"/>
      <x:c r="B77" s="198" t="str">
        <x:v>FPR</x:v>
      </x:c>
      <x:c r="C77" s="267" t="n">
        <x:f>'Source rates'!P58</x:f>
        <x:v>0.6666666666666666</x:v>
      </x:c>
      <x:c r="D77" s="267" t="n">
        <x:f>'Source rates'!P59</x:f>
        <x:v>0.3333333333333333</x:v>
      </x:c>
      <x:c r="E77" s="267" t="n">
        <x:f>'Source rates'!P60</x:f>
        <x:v>1</x:v>
      </x:c>
      <x:c r="F77" s="200" t="n">
        <x:f>'Source rates'!P61</x:f>
        <x:v>0</x:v>
      </x:c>
    </x:row>
    <x:row r="78" ht="20" customHeight="1">
      <x:c r="A78" s="198" t="str"/>
      <x:c r="B78" s="198" t="str">
        <x:v>F1</x:v>
      </x:c>
      <x:c r="C78" s="267" t="n">
        <x:f>'Source rates'!Q58</x:f>
        <x:v>0.47619047619047616</x:v>
      </x:c>
      <x:c r="D78" s="267" t="n">
        <x:f>'Source rates'!Q59</x:f>
        <x:v>0.3333333333333333</x:v>
      </x:c>
      <x:c r="E78" s="200" t="n">
        <x:f>'Source rates'!Q60</x:f>
        <x:v>0.5833333333333334</x:v>
      </x:c>
      <x:c r="F78" s="267" t="n">
        <x:f>'Source rates'!Q61</x:f>
        <x:v>0</x:v>
      </x:c>
    </x:row>
    <x:row r="79" ht="20" customHeight="1">
      <x:c r="A79" s="198" t="str"/>
      <x:c r="B79" s="198" t="str">
        <x:v>AUC</x:v>
      </x:c>
      <x:c r="C79" s="267" t="n">
        <x:f>'Source rates'!R58</x:f>
        <x:v>0.2857142857142857</x:v>
      </x:c>
      <x:c r="D79" s="200" t="n">
        <x:f>'Source rates'!R59</x:f>
        <x:v>0.4285714285714286</x:v>
      </x:c>
      <x:c r="E79" s="267" t="n">
        <x:f>'Source rates'!R60</x:f>
        <x:v>0.07142857142857142</x:v>
      </x:c>
      <x:c r="F79" s="267" t="n">
        <x:f>'Source rates'!R61</x:f>
        <x:v>0.40476190476190477</x:v>
      </x:c>
    </x:row>
    <x:row r="80" ht="20" customHeight="1">
      <x:c r="A80" s="201" t="str">
        <x:v>S=6D</x:v>
      </x:c>
      <x:c r="B80" s="201" t="str">
        <x:v>FNR</x:v>
      </x:c>
      <x:c r="C80" s="268" t="n">
        <x:f>'Source rates'!O62</x:f>
        <x:v>0.6153846153846154</x:v>
      </x:c>
      <x:c r="D80" s="268" t="n">
        <x:f>'Source rates'!O63</x:f>
        <x:v>0.6923076923076923</x:v>
      </x:c>
      <x:c r="E80" s="203" t="n">
        <x:f>'Source rates'!O64</x:f>
        <x:v>0.38461538461538464</x:v>
      </x:c>
      <x:c r="F80" s="268" t="n">
        <x:f>'Source rates'!O65</x:f>
        <x:v>0.7692307692307693</x:v>
      </x:c>
    </x:row>
    <x:row r="81" ht="20" customHeight="1">
      <x:c r="A81" s="201" t="str"/>
      <x:c r="B81" s="201" t="str">
        <x:v>FPR</x:v>
      </x:c>
      <x:c r="C81" s="268" t="n">
        <x:f>'Source rates'!P62</x:f>
        <x:v>0.75</x:v>
      </x:c>
      <x:c r="D81" s="268" t="n">
        <x:f>'Source rates'!P63</x:f>
        <x:v>1</x:v>
      </x:c>
      <x:c r="E81" s="268" t="n">
        <x:f>'Source rates'!P64</x:f>
        <x:v>1</x:v>
      </x:c>
      <x:c r="F81" s="203" t="n">
        <x:f>'Source rates'!P65</x:f>
        <x:v>0.5</x:v>
      </x:c>
    </x:row>
    <x:row r="82" ht="20" customHeight="1">
      <x:c r="A82" s="201" t="str"/>
      <x:c r="B82" s="201" t="str">
        <x:v>F1</x:v>
      </x:c>
      <x:c r="C82" s="268" t="n">
        <x:f>'Source rates'!Q62</x:f>
        <x:v>0.47619047619047616</x:v>
      </x:c>
      <x:c r="D82" s="268" t="n">
        <x:f>'Source rates'!Q63</x:f>
        <x:v>0.38095238095238093</x:v>
      </x:c>
      <x:c r="E82" s="203" t="n">
        <x:f>'Source rates'!Q64</x:f>
        <x:v>0.64</x:v>
      </x:c>
      <x:c r="F82" s="268" t="n">
        <x:f>'Source rates'!Q65</x:f>
        <x:v>0.3333333333333333</x:v>
      </x:c>
    </x:row>
    <x:row r="83">
      <x:c r="A83" s="201" t="str"/>
      <x:c r="B83" s="201" t="str">
        <x:v>AUC</x:v>
      </x:c>
      <x:c r="C83" s="203" t="n">
        <x:f>'Source rates'!R62</x:f>
        <x:v>0.23076923076923078</x:v>
      </x:c>
      <x:c r="D83" s="268" t="n">
        <x:f>'Source rates'!R63</x:f>
        <x:v>0.07692307692307693</x:v>
      </x:c>
      <x:c r="E83" s="268" t="n">
        <x:f>'Source rates'!R64</x:f>
        <x:v>0.019230769230769232</x:v>
      </x:c>
      <x:c r="F83" s="203" t="n">
        <x:f>'Source rates'!R65</x:f>
        <x:v>0.23076923076923078</x:v>
      </x:c>
    </x:row>
    <x:row r="84" ht="26" customHeight="1">
      <x:c r="A84" s="204"/>
      <x:c r="B84" s="204"/>
      <x:c r="C84" s="204"/>
      <x:c r="D84" s="204"/>
      <x:c r="E84" s="204"/>
      <x:c r="F84" s="204"/>
    </x:row>
    <x:row r="85" ht="22" customHeight="1">
      <x:c r="A85" s="187" t="str">
        <x:v>Posterior MMD — Assumed M1</x:v>
      </x:c>
      <x:c r="B85" s="187"/>
      <x:c r="C85" s="187"/>
      <x:c r="D85" s="187"/>
      <x:c r="E85" s="187"/>
      <x:c r="F85" s="187"/>
    </x:row>
    <x:row r="86" ht="22" customHeight="1">
      <x:c r="A86" s="205" t="str">
        <x:v>ESS-filtered raw, network-specific NPE-MCMC interval [0, q95]</x:v>
      </x:c>
      <x:c r="B86" s="205"/>
      <x:c r="C86" s="205"/>
      <x:c r="D86" s="205"/>
      <x:c r="E86" s="205"/>
      <x:c r="F86" s="205"/>
    </x:row>
    <x:row r="87" ht="20" customHeight="1">
      <x:c r="A87" s="206" t="str">
        <x:v>Summary</x:v>
      </x:c>
      <x:c r="B87" s="206" t="str">
        <x:v>Statistic</x:v>
      </x:c>
      <x:c r="C87" s="206" t="str">
        <x:v>L2</x:v>
      </x:c>
      <x:c r="D87" s="206" t="str">
        <x:v>L∞</x:v>
      </x:c>
      <x:c r="E87" s="206" t="str">
        <x:v>Density</x:v>
      </x:c>
      <x:c r="F87" s="206" t="str">
        <x:v>MMD</x:v>
      </x:c>
    </x:row>
    <x:row r="88" ht="20" customHeight="1">
      <x:c r="A88" s="198" t="str">
        <x:v>S=D</x:v>
      </x:c>
      <x:c r="B88" s="198" t="str">
        <x:v>FNR</x:v>
      </x:c>
      <x:c r="C88" s="267" t="n">
        <x:f>'Source rates'!O66</x:f>
        <x:v>0.125</x:v>
      </x:c>
      <x:c r="D88" s="200" t="n">
        <x:f>'Source rates'!O67</x:f>
        <x:v>0</x:v>
      </x:c>
      <x:c r="E88" s="267" t="n">
        <x:f>'Source rates'!O68</x:f>
        <x:v>0.375</x:v>
      </x:c>
      <x:c r="F88" s="267" t="n">
        <x:f>'Source rates'!O69</x:f>
        <x:v>0.8125</x:v>
      </x:c>
    </x:row>
    <x:row r="89" ht="20" customHeight="1">
      <x:c r="A89" s="198" t="str"/>
      <x:c r="B89" s="198" t="str">
        <x:v>FPR</x:v>
      </x:c>
      <x:c r="C89" s="267" t="n">
        <x:f>'Source rates'!P66</x:f>
        <x:v>1</x:v>
      </x:c>
      <x:c r="D89" s="267" t="n">
        <x:f>'Source rates'!P67</x:f>
        <x:v>1</x:v>
      </x:c>
      <x:c r="E89" s="200" t="n">
        <x:f>'Source rates'!P68</x:f>
        <x:v>0</x:v>
      </x:c>
      <x:c r="F89" s="200" t="n">
        <x:f>'Source rates'!P69</x:f>
        <x:v>0</x:v>
      </x:c>
    </x:row>
    <x:row r="90" ht="20" customHeight="1">
      <x:c r="A90" s="198" t="str"/>
      <x:c r="B90" s="198" t="str">
        <x:v>F1</x:v>
      </x:c>
      <x:c r="C90" s="267" t="n">
        <x:f>'Source rates'!Q66</x:f>
        <x:v>0.9032258064516129</x:v>
      </x:c>
      <x:c r="D90" s="200" t="n">
        <x:f>'Source rates'!Q67</x:f>
        <x:v>0.9696969696969697</x:v>
      </x:c>
      <x:c r="E90" s="267" t="n">
        <x:f>'Source rates'!Q68</x:f>
        <x:v>0.7692307692307693</x:v>
      </x:c>
      <x:c r="F90" s="267" t="n">
        <x:f>'Source rates'!Q69</x:f>
        <x:v>0.3157894736842105</x:v>
      </x:c>
    </x:row>
    <x:row r="91" ht="20" customHeight="1">
      <x:c r="A91" s="198" t="str"/>
      <x:c r="B91" s="198" t="str">
        <x:v>AUC</x:v>
      </x:c>
      <x:c r="C91" s="267" t="n">
        <x:f>'Source rates'!R66</x:f>
        <x:v>0.5</x:v>
      </x:c>
      <x:c r="D91" s="267" t="n">
        <x:f>'Source rates'!R67</x:f>
        <x:v>0.4375</x:v>
      </x:c>
      <x:c r="E91" s="200" t="n">
        <x:f>'Source rates'!R68</x:f>
        <x:v>0.8125</x:v>
      </x:c>
      <x:c r="F91" s="267" t="n">
        <x:f>'Source rates'!R69</x:f>
        <x:v>0.25</x:v>
      </x:c>
    </x:row>
    <x:row r="92" ht="20" customHeight="1">
      <x:c r="A92" s="201" t="str">
        <x:v>S=2D</x:v>
      </x:c>
      <x:c r="B92" s="201" t="str">
        <x:v>FNR</x:v>
      </x:c>
      <x:c r="C92" s="268" t="n">
        <x:f>'Source rates'!O70</x:f>
        <x:v>0.6428571428571429</x:v>
      </x:c>
      <x:c r="D92" s="203" t="n">
        <x:f>'Source rates'!O71</x:f>
        <x:v>0.14285714285714285</x:v>
      </x:c>
      <x:c r="E92" s="203" t="n">
        <x:f>'Source rates'!O72</x:f>
        <x:v>0.14285714285714285</x:v>
      </x:c>
      <x:c r="F92" s="268" t="n">
        <x:f>'Source rates'!O73</x:f>
        <x:v>1</x:v>
      </x:c>
    </x:row>
    <x:row r="93" ht="20" customHeight="1">
      <x:c r="A93" s="201" t="str"/>
      <x:c r="B93" s="201" t="str">
        <x:v>FPR</x:v>
      </x:c>
      <x:c r="C93" s="203" t="n">
        <x:f>'Source rates'!P70</x:f>
        <x:v>0</x:v>
      </x:c>
      <x:c r="D93" s="268" t="n">
        <x:f>'Source rates'!P71</x:f>
        <x:v>0.6666666666666666</x:v>
      </x:c>
      <x:c r="E93" s="268" t="n">
        <x:f>'Source rates'!P72</x:f>
        <x:v>0.6666666666666666</x:v>
      </x:c>
      <x:c r="F93" s="203" t="n">
        <x:f>'Source rates'!P73</x:f>
        <x:v>0</x:v>
      </x:c>
    </x:row>
    <x:row r="94" ht="20" customHeight="1">
      <x:c r="A94" s="201" t="str"/>
      <x:c r="B94" s="201" t="str">
        <x:v>F1</x:v>
      </x:c>
      <x:c r="C94" s="268" t="n">
        <x:f>'Source rates'!Q70</x:f>
        <x:v>0.5263157894736842</x:v>
      </x:c>
      <x:c r="D94" s="203" t="n">
        <x:f>'Source rates'!Q71</x:f>
        <x:v>0.8571428571428571</x:v>
      </x:c>
      <x:c r="E94" s="203" t="n">
        <x:f>'Source rates'!Q72</x:f>
        <x:v>0.8571428571428571</x:v>
      </x:c>
      <x:c r="F94" s="268" t="n">
        <x:f>'Source rates'!Q73</x:f>
        <x:v>0</x:v>
      </x:c>
    </x:row>
    <x:row r="95" ht="20" customHeight="1">
      <x:c r="A95" s="201" t="str"/>
      <x:c r="B95" s="201" t="str">
        <x:v>AUC</x:v>
      </x:c>
      <x:c r="C95" s="268" t="n">
        <x:f>'Source rates'!R70</x:f>
        <x:v>0.6666666666666667</x:v>
      </x:c>
      <x:c r="D95" s="203" t="n">
        <x:f>'Source rates'!R71</x:f>
        <x:v>0.7142857142857143</x:v>
      </x:c>
      <x:c r="E95" s="268" t="n">
        <x:f>'Source rates'!R72</x:f>
        <x:v>0.6428571428571429</x:v>
      </x:c>
      <x:c r="F95" s="268" t="n">
        <x:f>'Source rates'!R73</x:f>
        <x:v>0.6190476190476191</x:v>
      </x:c>
    </x:row>
    <x:row r="96" ht="20" customHeight="1">
      <x:c r="A96" s="198" t="str">
        <x:v>S=4D</x:v>
      </x:c>
      <x:c r="B96" s="198" t="str">
        <x:v>FNR</x:v>
      </x:c>
      <x:c r="C96" s="267" t="n">
        <x:f>'Source rates'!O74</x:f>
        <x:v>0.13333333333333333</x:v>
      </x:c>
      <x:c r="D96" s="267" t="n">
        <x:f>'Source rates'!O75</x:f>
        <x:v>0.2</x:v>
      </x:c>
      <x:c r="E96" s="200" t="n">
        <x:f>'Source rates'!O76</x:f>
        <x:v>0</x:v>
      </x:c>
      <x:c r="F96" s="267" t="n">
        <x:f>'Source rates'!O77</x:f>
        <x:v>0.8666666666666667</x:v>
      </x:c>
    </x:row>
    <x:row r="97" ht="20" customHeight="1">
      <x:c r="A97" s="198" t="str"/>
      <x:c r="B97" s="198" t="str">
        <x:v>FPR</x:v>
      </x:c>
      <x:c r="C97" s="267" t="n">
        <x:f>'Source rates'!P74</x:f>
        <x:v>1</x:v>
      </x:c>
      <x:c r="D97" s="200" t="n">
        <x:f>'Source rates'!P75</x:f>
        <x:v>0</x:v>
      </x:c>
      <x:c r="E97" s="267" t="n">
        <x:f>'Source rates'!P76</x:f>
        <x:v>1</x:v>
      </x:c>
      <x:c r="F97" s="200" t="n">
        <x:f>'Source rates'!P77</x:f>
        <x:v>0</x:v>
      </x:c>
    </x:row>
    <x:row r="98" ht="20" customHeight="1">
      <x:c r="A98" s="198" t="str"/>
      <x:c r="B98" s="198" t="str">
        <x:v>F1</x:v>
      </x:c>
      <x:c r="C98" s="267" t="n">
        <x:f>'Source rates'!Q74</x:f>
        <x:v>0.8666666666666667</x:v>
      </x:c>
      <x:c r="D98" s="267" t="n">
        <x:f>'Source rates'!Q75</x:f>
        <x:v>0.8888888888888888</x:v>
      </x:c>
      <x:c r="E98" s="200" t="n">
        <x:f>'Source rates'!Q76</x:f>
        <x:v>0.9375</x:v>
      </x:c>
      <x:c r="F98" s="267" t="n">
        <x:f>'Source rates'!Q77</x:f>
        <x:v>0.23529411764705882</x:v>
      </x:c>
    </x:row>
    <x:row r="99">
      <x:c r="A99" s="198" t="str"/>
      <x:c r="B99" s="198" t="str">
        <x:v>AUC</x:v>
      </x:c>
      <x:c r="C99" s="267" t="n">
        <x:f>'Source rates'!R74</x:f>
        <x:v>0.8666666666666667</x:v>
      </x:c>
      <x:c r="D99" s="267" t="n">
        <x:f>'Source rates'!R75</x:f>
        <x:v>0.8666666666666667</x:v>
      </x:c>
      <x:c r="E99" s="200" t="n">
        <x:f>'Source rates'!R76</x:f>
        <x:v>0.9</x:v>
      </x:c>
      <x:c r="F99" s="267" t="n">
        <x:f>'Source rates'!R77</x:f>
        <x:v>0.7333333333333334</x:v>
      </x:c>
    </x:row>
    <x:row r="100">
      <x:c r="A100" s="201" t="str">
        <x:v>S=6D</x:v>
      </x:c>
      <x:c r="B100" s="201" t="str">
        <x:v>FNR</x:v>
      </x:c>
      <x:c r="C100" s="203" t="n">
        <x:f>'Source rates'!O78</x:f>
        <x:v>0</x:v>
      </x:c>
      <x:c r="D100" s="268" t="n">
        <x:f>'Source rates'!O79</x:f>
        <x:v>0.06666666666666667</x:v>
      </x:c>
      <x:c r="E100" s="203" t="n">
        <x:f>'Source rates'!O80</x:f>
        <x:v>0</x:v>
      </x:c>
      <x:c r="F100" s="268" t="n">
        <x:f>'Source rates'!O81</x:f>
        <x:v>0.9333333333333333</x:v>
      </x:c>
    </x:row>
    <x:row r="101">
      <x:c r="A101" s="201" t="str"/>
      <x:c r="B101" s="201" t="str">
        <x:v>FPR</x:v>
      </x:c>
      <x:c r="C101" s="268" t="n">
        <x:f>'Source rates'!P78</x:f>
        <x:v>1</x:v>
      </x:c>
      <x:c r="D101" s="268" t="n">
        <x:f>'Source rates'!P79</x:f>
        <x:v>1</x:v>
      </x:c>
      <x:c r="E101" s="268" t="n">
        <x:f>'Source rates'!P80</x:f>
        <x:v>1</x:v>
      </x:c>
      <x:c r="F101" s="203" t="n">
        <x:f>'Source rates'!P81</x:f>
        <x:v>0</x:v>
      </x:c>
    </x:row>
    <x:row r="102">
      <x:c r="A102" s="201" t="str"/>
      <x:c r="B102" s="201" t="str">
        <x:v>F1</x:v>
      </x:c>
      <x:c r="C102" s="203" t="n">
        <x:f>'Source rates'!Q78</x:f>
        <x:v>0.9375</x:v>
      </x:c>
      <x:c r="D102" s="268" t="n">
        <x:f>'Source rates'!Q79</x:f>
        <x:v>0.9032258064516129</x:v>
      </x:c>
      <x:c r="E102" s="203" t="n">
        <x:f>'Source rates'!Q80</x:f>
        <x:v>0.9375</x:v>
      </x:c>
      <x:c r="F102" s="268" t="n">
        <x:f>'Source rates'!Q81</x:f>
        <x:v>0.125</x:v>
      </x:c>
    </x:row>
    <x:row r="103">
      <x:c r="A103" s="201" t="str"/>
      <x:c r="B103" s="201" t="str">
        <x:v>AUC</x:v>
      </x:c>
      <x:c r="C103" s="268" t="n">
        <x:f>'Source rates'!R78</x:f>
        <x:v>0.5333333333333333</x:v>
      </x:c>
      <x:c r="D103" s="268" t="n">
        <x:f>'Source rates'!R79</x:f>
        <x:v>0.6</x:v>
      </x:c>
      <x:c r="E103" s="203" t="n">
        <x:f>'Source rates'!R80</x:f>
        <x:v>0.7333333333333334</x:v>
      </x:c>
      <x:c r="F103" s="268" t="n">
        <x:f>'Source rates'!R81</x:f>
        <x:v>0.5333333333333333</x:v>
      </x:c>
    </x:row>
    <x:row r="104">
      <x:c r="A104" s="204"/>
      <x:c r="B104" s="204"/>
      <x:c r="C104" s="204"/>
      <x:c r="D104" s="204"/>
      <x:c r="E104" s="204"/>
      <x:c r="F104" s="204"/>
    </x:row>
    <x:row r="105" ht="22" customHeight="1">
      <x:c r="A105" s="187" t="str">
        <x:v>Posterior MMD — Assumed M3</x:v>
      </x:c>
      <x:c r="B105" s="187"/>
      <x:c r="C105" s="187"/>
      <x:c r="D105" s="187"/>
      <x:c r="E105" s="187"/>
      <x:c r="F105" s="187"/>
    </x:row>
    <x:row r="106">
      <x:c r="A106" s="205" t="str">
        <x:v>ESS-filtered raw, network-specific NPE-MCMC interval [0, q95]</x:v>
      </x:c>
      <x:c r="B106" s="205"/>
      <x:c r="C106" s="205"/>
      <x:c r="D106" s="205"/>
      <x:c r="E106" s="205"/>
      <x:c r="F106" s="205"/>
    </x:row>
    <x:row r="107">
      <x:c r="A107" s="206" t="str">
        <x:v>Summary</x:v>
      </x:c>
      <x:c r="B107" s="206" t="str">
        <x:v>Statistic</x:v>
      </x:c>
      <x:c r="C107" s="206" t="str">
        <x:v>L2</x:v>
      </x:c>
      <x:c r="D107" s="206" t="str">
        <x:v>L∞</x:v>
      </x:c>
      <x:c r="E107" s="206" t="str">
        <x:v>Density</x:v>
      </x:c>
      <x:c r="F107" s="206" t="str">
        <x:v>MMD</x:v>
      </x:c>
    </x:row>
    <x:row r="108">
      <x:c r="A108" s="198" t="str">
        <x:v>S=D</x:v>
      </x:c>
      <x:c r="B108" s="198" t="str">
        <x:v>FNR</x:v>
      </x:c>
      <x:c r="C108" s="200" t="n">
        <x:f>'Source rates'!O82</x:f>
        <x:v>0.7777777777777778</x:v>
      </x:c>
      <x:c r="D108" s="200" t="n">
        <x:f>'Source rates'!O83</x:f>
        <x:v>0.7777777777777778</x:v>
      </x:c>
      <x:c r="E108" s="267" t="n">
        <x:f>'Source rates'!O84</x:f>
        <x:v>0.8888888888888888</x:v>
      </x:c>
      <x:c r="F108" s="267" t="n">
        <x:f>'Source rates'!O85</x:f>
        <x:v>1</x:v>
      </x:c>
    </x:row>
    <x:row r="109">
      <x:c r="A109" s="198" t="str"/>
      <x:c r="B109" s="198" t="str">
        <x:v>FPR</x:v>
      </x:c>
      <x:c r="C109" s="267" t="n">
        <x:f>'Source rates'!P82</x:f>
        <x:v>0.5</x:v>
      </x:c>
      <x:c r="D109" s="267" t="n">
        <x:f>'Source rates'!P83</x:f>
        <x:v>0.375</x:v>
      </x:c>
      <x:c r="E109" s="267" t="n">
        <x:f>'Source rates'!P84</x:f>
        <x:v>0.375</x:v>
      </x:c>
      <x:c r="F109" s="200" t="n">
        <x:f>'Source rates'!P85</x:f>
        <x:v>0</x:v>
      </x:c>
    </x:row>
    <x:row r="110">
      <x:c r="A110" s="198" t="str"/>
      <x:c r="B110" s="198" t="str">
        <x:v>F1</x:v>
      </x:c>
      <x:c r="C110" s="267" t="n">
        <x:f>'Source rates'!Q82</x:f>
        <x:v>0.26666666666666666</x:v>
      </x:c>
      <x:c r="D110" s="200" t="n">
        <x:f>'Source rates'!Q83</x:f>
        <x:v>0.2857142857142857</x:v>
      </x:c>
      <x:c r="E110" s="267" t="n">
        <x:f>'Source rates'!Q84</x:f>
        <x:v>0.15384615384615385</x:v>
      </x:c>
      <x:c r="F110" s="267" t="n">
        <x:f>'Source rates'!Q85</x:f>
        <x:v>0</x:v>
      </x:c>
    </x:row>
    <x:row r="111">
      <x:c r="A111" s="198" t="str"/>
      <x:c r="B111" s="198" t="str">
        <x:v>AUC</x:v>
      </x:c>
      <x:c r="C111" s="267" t="n">
        <x:f>'Source rates'!R82</x:f>
        <x:v>0.2777777777777778</x:v>
      </x:c>
      <x:c r="D111" s="267" t="n">
        <x:f>'Source rates'!R83</x:f>
        <x:v>0.33333333333333337</x:v>
      </x:c>
      <x:c r="E111" s="200" t="n">
        <x:f>'Source rates'!R84</x:f>
        <x:v>0.5</x:v>
      </x:c>
      <x:c r="F111" s="267" t="n">
        <x:f>'Source rates'!R85</x:f>
        <x:v>0.3472222222222222</x:v>
      </x:c>
    </x:row>
    <x:row r="112">
      <x:c r="A112" s="201" t="str">
        <x:v>S=2D</x:v>
      </x:c>
      <x:c r="B112" s="201" t="str">
        <x:v>FNR</x:v>
      </x:c>
      <x:c r="C112" s="203" t="n">
        <x:f>'Source rates'!O86</x:f>
        <x:v>0.5882352941176471</x:v>
      </x:c>
      <x:c r="D112" s="268" t="n">
        <x:f>'Source rates'!O87</x:f>
        <x:v>0.8823529411764706</x:v>
      </x:c>
      <x:c r="E112" s="268" t="n">
        <x:f>'Source rates'!O88</x:f>
        <x:v>0.8235294117647058</x:v>
      </x:c>
      <x:c r="F112" s="268" t="n">
        <x:f>'Source rates'!O89</x:f>
        <x:v>1</x:v>
      </x:c>
    </x:row>
    <x:row r="113">
      <x:c r="A113" s="201" t="str"/>
      <x:c r="B113" s="201" t="str">
        <x:v>FPR</x:v>
      </x:c>
      <x:c r="C113" s="268" t="str">
        <x:f>'Source rates'!P86</x:f>
        <x:v>N/A</x:v>
      </x:c>
      <x:c r="D113" s="268" t="str">
        <x:f>'Source rates'!P87</x:f>
        <x:v>N/A</x:v>
      </x:c>
      <x:c r="E113" s="268" t="str">
        <x:f>'Source rates'!P88</x:f>
        <x:v>N/A</x:v>
      </x:c>
      <x:c r="F113" s="268" t="str">
        <x:f>'Source rates'!P89</x:f>
        <x:v>N/A</x:v>
      </x:c>
    </x:row>
    <x:row r="114">
      <x:c r="A114" s="201" t="str"/>
      <x:c r="B114" s="201" t="str">
        <x:v>F1</x:v>
      </x:c>
      <x:c r="C114" s="203" t="n">
        <x:f>'Source rates'!Q86</x:f>
        <x:v>0.5833333333333334</x:v>
      </x:c>
      <x:c r="D114" s="268" t="n">
        <x:f>'Source rates'!Q87</x:f>
        <x:v>0.21052631578947367</x:v>
      </x:c>
      <x:c r="E114" s="268" t="n">
        <x:f>'Source rates'!Q88</x:f>
        <x:v>0.3</x:v>
      </x:c>
      <x:c r="F114" s="268" t="n">
        <x:f>'Source rates'!Q89</x:f>
        <x:v>0</x:v>
      </x:c>
    </x:row>
    <x:row r="115">
      <x:c r="A115" s="201" t="str"/>
      <x:c r="B115" s="201" t="str">
        <x:v>AUC</x:v>
      </x:c>
      <x:c r="C115" s="268" t="str">
        <x:f>'Source rates'!R86</x:f>
        <x:v>N/A</x:v>
      </x:c>
      <x:c r="D115" s="268" t="str">
        <x:f>'Source rates'!R87</x:f>
        <x:v>N/A</x:v>
      </x:c>
      <x:c r="E115" s="268" t="str">
        <x:f>'Source rates'!R88</x:f>
        <x:v>N/A</x:v>
      </x:c>
      <x:c r="F115" s="268" t="str">
        <x:f>'Source rates'!R89</x:f>
        <x:v>N/A</x:v>
      </x:c>
    </x:row>
    <x:row r="116">
      <x:c r="A116" s="198" t="str">
        <x:v>S=4D</x:v>
      </x:c>
      <x:c r="B116" s="198" t="str">
        <x:v>FNR</x:v>
      </x:c>
      <x:c r="C116" s="267" t="n">
        <x:f>'Source rates'!O90</x:f>
        <x:v>0.625</x:v>
      </x:c>
      <x:c r="D116" s="267" t="n">
        <x:f>'Source rates'!O91</x:f>
        <x:v>0.8125</x:v>
      </x:c>
      <x:c r="E116" s="200" t="n">
        <x:f>'Source rates'!O92</x:f>
        <x:v>0.4375</x:v>
      </x:c>
      <x:c r="F116" s="267" t="n">
        <x:f>'Source rates'!O93</x:f>
        <x:v>1</x:v>
      </x:c>
    </x:row>
    <x:row r="117">
      <x:c r="A117" s="198" t="str"/>
      <x:c r="B117" s="198" t="str">
        <x:v>FPR</x:v>
      </x:c>
      <x:c r="C117" s="267" t="n">
        <x:f>'Source rates'!P90</x:f>
        <x:v>1</x:v>
      </x:c>
      <x:c r="D117" s="267" t="n">
        <x:f>'Source rates'!P91</x:f>
        <x:v>1</x:v>
      </x:c>
      <x:c r="E117" s="267" t="n">
        <x:f>'Source rates'!P92</x:f>
        <x:v>1</x:v>
      </x:c>
      <x:c r="F117" s="200" t="n">
        <x:f>'Source rates'!P93</x:f>
        <x:v>0</x:v>
      </x:c>
    </x:row>
    <x:row r="118">
      <x:c r="A118" s="198" t="str"/>
      <x:c r="B118" s="198" t="str">
        <x:v>F1</x:v>
      </x:c>
      <x:c r="C118" s="267" t="n">
        <x:f>'Source rates'!Q90</x:f>
        <x:v>0.5217391304347826</x:v>
      </x:c>
      <x:c r="D118" s="267" t="n">
        <x:f>'Source rates'!Q91</x:f>
        <x:v>0.3</x:v>
      </x:c>
      <x:c r="E118" s="200" t="n">
        <x:f>'Source rates'!Q92</x:f>
        <x:v>0.6923076923076923</x:v>
      </x:c>
      <x:c r="F118" s="267" t="n">
        <x:f>'Source rates'!Q93</x:f>
        <x:v>0</x:v>
      </x:c>
    </x:row>
    <x:row r="119">
      <x:c r="A119" s="198" t="str"/>
      <x:c r="B119" s="198" t="str">
        <x:v>AUC</x:v>
      </x:c>
      <x:c r="C119" s="267" t="n">
        <x:f>'Source rates'!R90</x:f>
        <x:v>0</x:v>
      </x:c>
      <x:c r="D119" s="267" t="n">
        <x:f>'Source rates'!R91</x:f>
        <x:v>0</x:v>
      </x:c>
      <x:c r="E119" s="200" t="n">
        <x:f>'Source rates'!R92</x:f>
        <x:v>0.0625</x:v>
      </x:c>
      <x:c r="F119" s="267" t="n">
        <x:f>'Source rates'!R93</x:f>
        <x:v>0</x:v>
      </x:c>
    </x:row>
    <x:row r="120">
      <x:c r="A120" s="201" t="str">
        <x:v>S=6D</x:v>
      </x:c>
      <x:c r="B120" s="201" t="str">
        <x:v>FNR</x:v>
      </x:c>
      <x:c r="C120" s="268" t="n">
        <x:f>'Source rates'!O94</x:f>
        <x:v>0.5625</x:v>
      </x:c>
      <x:c r="D120" s="268" t="n">
        <x:f>'Source rates'!O95</x:f>
        <x:v>0.5625</x:v>
      </x:c>
      <x:c r="E120" s="203" t="n">
        <x:f>'Source rates'!O96</x:f>
        <x:v>0.3125</x:v>
      </x:c>
      <x:c r="F120" s="268" t="n">
        <x:f>'Source rates'!O97</x:f>
        <x:v>0.6875</x:v>
      </x:c>
    </x:row>
    <x:row r="121">
      <x:c r="A121" s="201" t="str"/>
      <x:c r="B121" s="201" t="str">
        <x:v>FPR</x:v>
      </x:c>
      <x:c r="C121" s="268" t="n">
        <x:f>'Source rates'!P94</x:f>
        <x:v>1</x:v>
      </x:c>
      <x:c r="D121" s="268" t="n">
        <x:f>'Source rates'!P95</x:f>
        <x:v>1</x:v>
      </x:c>
      <x:c r="E121" s="268" t="n">
        <x:f>'Source rates'!P96</x:f>
        <x:v>1</x:v>
      </x:c>
      <x:c r="F121" s="203" t="n">
        <x:f>'Source rates'!P97</x:f>
        <x:v>0</x:v>
      </x:c>
    </x:row>
    <x:row r="122">
      <x:c r="A122" s="201" t="str"/>
      <x:c r="B122" s="201" t="str">
        <x:v>F1</x:v>
      </x:c>
      <x:c r="C122" s="268" t="n">
        <x:f>'Source rates'!Q94</x:f>
        <x:v>0.5833333333333334</x:v>
      </x:c>
      <x:c r="D122" s="268" t="n">
        <x:f>'Source rates'!Q95</x:f>
        <x:v>0.5833333333333334</x:v>
      </x:c>
      <x:c r="E122" s="203" t="n">
        <x:f>'Source rates'!Q96</x:f>
        <x:v>0.7857142857142857</x:v>
      </x:c>
      <x:c r="F122" s="268" t="n">
        <x:f>'Source rates'!Q97</x:f>
        <x:v>0.47619047619047616</x:v>
      </x:c>
    </x:row>
    <x:row r="123">
      <x:c r="A123" s="201" t="str"/>
      <x:c r="B123" s="201" t="str">
        <x:v>AUC</x:v>
      </x:c>
      <x:c r="C123" s="268" t="n">
        <x:f>'Source rates'!R94</x:f>
        <x:v>0.1875</x:v>
      </x:c>
      <x:c r="D123" s="268" t="n">
        <x:f>'Source rates'!R95</x:f>
        <x:v>0.25</x:v>
      </x:c>
      <x:c r="E123" s="203" t="n">
        <x:f>'Source rates'!R96</x:f>
        <x:v>0.5625</x:v>
      </x:c>
      <x:c r="F123" s="268" t="n">
        <x:f>'Source rates'!R97</x:f>
        <x:v>0.4375</x:v>
      </x:c>
    </x:row>
    <x:row r="124">
      <x:c r="A124" s="204"/>
      <x:c r="B124" s="204"/>
      <x:c r="C124" s="204"/>
      <x:c r="D124" s="204"/>
      <x:c r="E124" s="204"/>
      <x:c r="F124" s="204"/>
    </x:row>
    <x:row r="125" ht="22" customHeight="1">
      <x:c r="A125" s="298" t="str">
        <x:v>Signed log10 ML error — Assumed M0</x:v>
      </x:c>
      <x:c r="B125" s="298"/>
      <x:c r="C125" s="298"/>
      <x:c r="D125" s="298"/>
      <x:c r="E125" s="298"/>
      <x:c r="F125" s="298"/>
    </x:row>
    <x:row r="126" ht="22" customHeight="1">
      <x:c r="A126" s="301" t="str">
        <x:v>ESS-filtered raw, network-specific NPE-MCMC central 90% interval [q5, q95]</x:v>
      </x:c>
      <x:c r="B126" s="301"/>
      <x:c r="C126" s="301"/>
      <x:c r="D126" s="301"/>
      <x:c r="E126" s="301"/>
      <x:c r="F126" s="301"/>
    </x:row>
    <x:row r="127" ht="20" customHeight="1">
      <x:c r="A127" s="305" t="str">
        <x:v>Summary</x:v>
      </x:c>
      <x:c r="B127" s="305" t="str">
        <x:v>Statistic</x:v>
      </x:c>
      <x:c r="C127" s="305" t="str">
        <x:v>L2</x:v>
      </x:c>
      <x:c r="D127" s="305" t="str">
        <x:v>L∞</x:v>
      </x:c>
      <x:c r="E127" s="305" t="str">
        <x:v>Density</x:v>
      </x:c>
      <x:c r="F127" s="305" t="str">
        <x:v>MMD</x:v>
      </x:c>
    </x:row>
    <x:row r="128" ht="20" customHeight="1">
      <x:c r="A128" s="309" t="str">
        <x:v>S=D</x:v>
      </x:c>
      <x:c r="B128" s="309" t="str">
        <x:v>FNR</x:v>
      </x:c>
      <x:c r="C128" s="310" t="n">
        <x:f>IFERROR('Source rates'!$O$338,NA())</x:f>
        <x:v>0.2</x:v>
      </x:c>
      <x:c r="D128" s="317" t="n">
        <x:f>IFERROR('Source rates'!$O$339,NA())</x:f>
        <x:v>0.06666666666666667</x:v>
      </x:c>
      <x:c r="E128" s="310" t="n">
        <x:f>IFERROR('Source rates'!$O$340,NA())</x:f>
        <x:v>0.4</x:v>
      </x:c>
      <x:c r="F128" s="310" t="n">
        <x:f>IFERROR('Source rates'!$O$341,NA())</x:f>
        <x:v>0.9333333333333333</x:v>
      </x:c>
    </x:row>
    <x:row r="129" ht="20" customHeight="1">
      <x:c r="A129" s="309"/>
      <x:c r="B129" s="309" t="str">
        <x:v>FPR</x:v>
      </x:c>
      <x:c r="C129" s="310" t="n">
        <x:f>IFERROR('Source rates'!$P$338,NA())</x:f>
        <x:v>1</x:v>
      </x:c>
      <x:c r="D129" s="310" t="n">
        <x:f>IFERROR('Source rates'!$P$339,NA())</x:f>
        <x:v>1</x:v>
      </x:c>
      <x:c r="E129" s="310" t="n">
        <x:f>IFERROR('Source rates'!$P$340,NA())</x:f>
        <x:v>1</x:v>
      </x:c>
      <x:c r="F129" s="317" t="n">
        <x:f>IFERROR('Source rates'!$P$341,NA())</x:f>
        <x:v>0</x:v>
      </x:c>
    </x:row>
    <x:row r="130" ht="20" customHeight="1">
      <x:c r="A130" s="309"/>
      <x:c r="B130" s="309" t="str">
        <x:v>F1</x:v>
      </x:c>
      <x:c r="C130" s="310" t="n">
        <x:f>IFERROR('Source rates'!$Q$338,NA())</x:f>
        <x:v>0.8275862068965517</x:v>
      </x:c>
      <x:c r="D130" s="317" t="n">
        <x:f>IFERROR('Source rates'!$Q$339,NA())</x:f>
        <x:v>0.9032258064516129</x:v>
      </x:c>
      <x:c r="E130" s="310" t="n">
        <x:f>IFERROR('Source rates'!$Q$340,NA())</x:f>
        <x:v>0.6923076923076923</x:v>
      </x:c>
      <x:c r="F130" s="310" t="n">
        <x:f>IFERROR('Source rates'!$Q$341,NA())</x:f>
        <x:v>0.125</x:v>
      </x:c>
    </x:row>
    <x:row r="131" ht="20" customHeight="1">
      <x:c r="A131" s="309"/>
      <x:c r="B131" s="309" t="str">
        <x:v>AUC</x:v>
      </x:c>
      <x:c r="C131" s="317" t="n">
        <x:f>IFERROR('Source rates'!$R$338,NA())</x:f>
        <x:v>0.5</x:v>
      </x:c>
      <x:c r="D131" s="310" t="n">
        <x:f>IFERROR('Source rates'!$R$339,NA())</x:f>
        <x:v>0.36666666666666664</x:v>
      </x:c>
      <x:c r="E131" s="310" t="n">
        <x:f>IFERROR('Source rates'!$R$340,NA())</x:f>
        <x:v>0.1</x:v>
      </x:c>
      <x:c r="F131" s="310" t="n">
        <x:f>IFERROR('Source rates'!$R$341,NA())</x:f>
        <x:v>0.4666666666666667</x:v>
      </x:c>
    </x:row>
    <x:row r="132" ht="20" customHeight="1">
      <x:c r="A132" s="314" t="str">
        <x:v>S=2D</x:v>
      </x:c>
      <x:c r="B132" s="314" t="str">
        <x:v>FNR</x:v>
      </x:c>
      <x:c r="C132" s="319" t="n">
        <x:f>IFERROR('Source rates'!$O$342,NA())</x:f>
        <x:v>0</x:v>
      </x:c>
      <x:c r="D132" s="319" t="n">
        <x:f>IFERROR('Source rates'!$O$343,NA())</x:f>
        <x:v>0</x:v>
      </x:c>
      <x:c r="E132" s="319" t="n">
        <x:f>IFERROR('Source rates'!$O$344,NA())</x:f>
        <x:v>0</x:v>
      </x:c>
      <x:c r="F132" s="315" t="n">
        <x:f>IFERROR('Source rates'!$O$345,NA())</x:f>
        <x:v>0.4166666666666667</x:v>
      </x:c>
    </x:row>
    <x:row r="133" ht="20" customHeight="1">
      <x:c r="A133" s="314"/>
      <x:c r="B133" s="314" t="str">
        <x:v>FPR</x:v>
      </x:c>
      <x:c r="C133" s="315" t="n">
        <x:f>IFERROR('Source rates'!$P$342,NA())</x:f>
        <x:v>1</x:v>
      </x:c>
      <x:c r="D133" s="315" t="n">
        <x:f>IFERROR('Source rates'!$P$343,NA())</x:f>
        <x:v>1</x:v>
      </x:c>
      <x:c r="E133" s="315" t="n">
        <x:f>IFERROR('Source rates'!$P$344,NA())</x:f>
        <x:v>1</x:v>
      </x:c>
      <x:c r="F133" s="319" t="n">
        <x:f>IFERROR('Source rates'!$P$345,NA())</x:f>
        <x:v>0</x:v>
      </x:c>
    </x:row>
    <x:row r="134" ht="20" customHeight="1">
      <x:c r="A134" s="314"/>
      <x:c r="B134" s="314" t="str">
        <x:v>F1</x:v>
      </x:c>
      <x:c r="C134" s="319" t="n">
        <x:f>IFERROR('Source rates'!$Q$342,NA())</x:f>
        <x:v>0.8275862068965517</x:v>
      </x:c>
      <x:c r="D134" s="319" t="n">
        <x:f>IFERROR('Source rates'!$Q$343,NA())</x:f>
        <x:v>0.8275862068965517</x:v>
      </x:c>
      <x:c r="E134" s="319" t="n">
        <x:f>IFERROR('Source rates'!$Q$344,NA())</x:f>
        <x:v>0.8275862068965517</x:v>
      </x:c>
      <x:c r="F134" s="315" t="n">
        <x:f>IFERROR('Source rates'!$Q$345,NA())</x:f>
        <x:v>0.7368421052631579</x:v>
      </x:c>
    </x:row>
    <x:row r="135" ht="20" customHeight="1">
      <x:c r="A135" s="314"/>
      <x:c r="B135" s="314" t="str">
        <x:v>AUC</x:v>
      </x:c>
      <x:c r="C135" s="315" t="n">
        <x:f>IFERROR('Source rates'!$R$342,NA())</x:f>
        <x:v>0.7666666666666667</x:v>
      </x:c>
      <x:c r="D135" s="315" t="n">
        <x:f>IFERROR('Source rates'!$R$343,NA())</x:f>
        <x:v>0.65</x:v>
      </x:c>
      <x:c r="E135" s="315" t="n">
        <x:f>IFERROR('Source rates'!$R$344,NA())</x:f>
        <x:v>0.35</x:v>
      </x:c>
      <x:c r="F135" s="319" t="n">
        <x:f>IFERROR('Source rates'!$R$345,NA())</x:f>
        <x:v>0.7833333333333333</x:v>
      </x:c>
    </x:row>
    <x:row r="136" ht="20" customHeight="1">
      <x:c r="A136" s="309" t="str">
        <x:v>S=4D</x:v>
      </x:c>
      <x:c r="B136" s="309" t="str">
        <x:v>FNR</x:v>
      </x:c>
      <x:c r="C136" s="310" t="n">
        <x:f>IFERROR('Source rates'!$O$346,NA())</x:f>
        <x:v>0.08333333333333333</x:v>
      </x:c>
      <x:c r="D136" s="310" t="n">
        <x:f>IFERROR('Source rates'!$O$347,NA())</x:f>
        <x:v>0.25</x:v>
      </x:c>
      <x:c r="E136" s="317" t="n">
        <x:f>IFERROR('Source rates'!$O$348,NA())</x:f>
        <x:v>0</x:v>
      </x:c>
      <x:c r="F136" s="310" t="n">
        <x:f>IFERROR('Source rates'!$O$349,NA())</x:f>
        <x:v>0.5833333333333334</x:v>
      </x:c>
    </x:row>
    <x:row r="137" ht="20" customHeight="1">
      <x:c r="A137" s="309"/>
      <x:c r="B137" s="309" t="str">
        <x:v>FPR</x:v>
      </x:c>
      <x:c r="C137" s="310" t="n">
        <x:f>IFERROR('Source rates'!$P$346,NA())</x:f>
        <x:v>1</x:v>
      </x:c>
      <x:c r="D137" s="310" t="n">
        <x:f>IFERROR('Source rates'!$P$347,NA())</x:f>
        <x:v>1</x:v>
      </x:c>
      <x:c r="E137" s="310" t="n">
        <x:f>IFERROR('Source rates'!$P$348,NA())</x:f>
        <x:v>1</x:v>
      </x:c>
      <x:c r="F137" s="317" t="n">
        <x:f>IFERROR('Source rates'!$P$349,NA())</x:f>
        <x:v>0.8</x:v>
      </x:c>
    </x:row>
    <x:row r="138" ht="20" customHeight="1">
      <x:c r="A138" s="309"/>
      <x:c r="B138" s="309" t="str">
        <x:v>F1</x:v>
      </x:c>
      <x:c r="C138" s="310" t="n">
        <x:f>IFERROR('Source rates'!$Q$346,NA())</x:f>
        <x:v>0.7857142857142857</x:v>
      </x:c>
      <x:c r="D138" s="310" t="n">
        <x:f>IFERROR('Source rates'!$Q$347,NA())</x:f>
        <x:v>0.6923076923076923</x:v>
      </x:c>
      <x:c r="E138" s="317" t="n">
        <x:f>IFERROR('Source rates'!$Q$348,NA())</x:f>
        <x:v>0.8275862068965517</x:v>
      </x:c>
      <x:c r="F138" s="310" t="n">
        <x:f>IFERROR('Source rates'!$Q$349,NA())</x:f>
        <x:v>0.47619047619047616</x:v>
      </x:c>
    </x:row>
    <x:row r="139" ht="20" customHeight="1">
      <x:c r="A139" s="309"/>
      <x:c r="B139" s="309" t="str">
        <x:v>AUC</x:v>
      </x:c>
      <x:c r="C139" s="310" t="n">
        <x:f>IFERROR('Source rates'!$R$346,NA())</x:f>
        <x:v>0.15</x:v>
      </x:c>
      <x:c r="D139" s="310" t="n">
        <x:f>IFERROR('Source rates'!$R$347,NA())</x:f>
        <x:v>0.13333333333333333</x:v>
      </x:c>
      <x:c r="E139" s="317" t="n">
        <x:f>IFERROR('Source rates'!$R$348,NA())</x:f>
        <x:v>0.25</x:v>
      </x:c>
      <x:c r="F139" s="310" t="n">
        <x:f>IFERROR('Source rates'!$R$349,NA())</x:f>
        <x:v>0.21666666666666667</x:v>
      </x:c>
    </x:row>
    <x:row r="140" ht="20" customHeight="1">
      <x:c r="A140" s="314" t="str">
        <x:v>S=6D</x:v>
      </x:c>
      <x:c r="B140" s="314" t="str">
        <x:v>FNR</x:v>
      </x:c>
      <x:c r="C140" s="315" t="n">
        <x:f>IFERROR('Source rates'!$O$350,NA())</x:f>
        <x:v>0.06666666666666667</x:v>
      </x:c>
      <x:c r="D140" s="315" t="n">
        <x:f>IFERROR('Source rates'!$O$351,NA())</x:f>
        <x:v>0.06666666666666667</x:v>
      </x:c>
      <x:c r="E140" s="319" t="n">
        <x:f>IFERROR('Source rates'!$O$352,NA())</x:f>
        <x:v>0</x:v>
      </x:c>
      <x:c r="F140" s="315" t="n">
        <x:f>IFERROR('Source rates'!$O$353,NA())</x:f>
        <x:v>0.6666666666666666</x:v>
      </x:c>
    </x:row>
    <x:row r="141" ht="20" customHeight="1">
      <x:c r="A141" s="314"/>
      <x:c r="B141" s="314" t="str">
        <x:v>FPR</x:v>
      </x:c>
      <x:c r="C141" s="315" t="n">
        <x:f>IFERROR('Source rates'!$P$350,NA())</x:f>
        <x:v>1</x:v>
      </x:c>
      <x:c r="D141" s="315" t="n">
        <x:f>IFERROR('Source rates'!$P$351,NA())</x:f>
        <x:v>1</x:v>
      </x:c>
      <x:c r="E141" s="315" t="n">
        <x:f>IFERROR('Source rates'!$P$352,NA())</x:f>
        <x:v>1</x:v>
      </x:c>
      <x:c r="F141" s="319" t="n">
        <x:f>IFERROR('Source rates'!$P$353,NA())</x:f>
        <x:v>0</x:v>
      </x:c>
    </x:row>
    <x:row r="142" ht="20" customHeight="1">
      <x:c r="A142" s="314"/>
      <x:c r="B142" s="314" t="str">
        <x:v>F1</x:v>
      </x:c>
      <x:c r="C142" s="315" t="n">
        <x:f>IFERROR('Source rates'!$Q$350,NA())</x:f>
        <x:v>0.9032258064516129</x:v>
      </x:c>
      <x:c r="D142" s="315" t="n">
        <x:f>IFERROR('Source rates'!$Q$351,NA())</x:f>
        <x:v>0.9032258064516129</x:v>
      </x:c>
      <x:c r="E142" s="319" t="n">
        <x:f>IFERROR('Source rates'!$Q$352,NA())</x:f>
        <x:v>0.9375</x:v>
      </x:c>
      <x:c r="F142" s="315" t="n">
        <x:f>IFERROR('Source rates'!$Q$353,NA())</x:f>
        <x:v>0.5</x:v>
      </x:c>
    </x:row>
    <x:row r="143" ht="20" customHeight="1">
      <x:c r="A143" s="314"/>
      <x:c r="B143" s="314" t="str">
        <x:v>AUC</x:v>
      </x:c>
      <x:c r="C143" s="315" t="n">
        <x:f>IFERROR('Source rates'!$R$350,NA())</x:f>
        <x:v>0.6333333333333333</x:v>
      </x:c>
      <x:c r="D143" s="315" t="n">
        <x:f>IFERROR('Source rates'!$R$351,NA())</x:f>
        <x:v>0.6333333333333333</x:v>
      </x:c>
      <x:c r="E143" s="319" t="n">
        <x:f>IFERROR('Source rates'!$R$352,NA())</x:f>
        <x:v>0.7</x:v>
      </x:c>
      <x:c r="F143" s="315" t="n">
        <x:f>IFERROR('Source rates'!$R$353,NA())</x:f>
        <x:v>0.6</x:v>
      </x:c>
    </x:row>
    <x:row r="145" ht="22" customHeight="1">
      <x:c r="A145" s="298" t="str">
        <x:v>Signed log10 ML error — Assumed M2</x:v>
      </x:c>
      <x:c r="B145" s="298"/>
      <x:c r="C145" s="298"/>
      <x:c r="D145" s="298"/>
      <x:c r="E145" s="298"/>
      <x:c r="F145" s="298"/>
    </x:row>
    <x:row r="146" ht="22" customHeight="1">
      <x:c r="A146" s="301" t="str">
        <x:v>ESS-filtered raw, network-specific NPE-MCMC central 90% interval [q5, q95]</x:v>
      </x:c>
      <x:c r="B146" s="301"/>
      <x:c r="C146" s="301"/>
      <x:c r="D146" s="301"/>
      <x:c r="E146" s="301"/>
      <x:c r="F146" s="301"/>
    </x:row>
    <x:row r="147" ht="20" customHeight="1">
      <x:c r="A147" s="305" t="str">
        <x:v>Summary</x:v>
      </x:c>
      <x:c r="B147" s="305" t="str">
        <x:v>Statistic</x:v>
      </x:c>
      <x:c r="C147" s="305" t="str">
        <x:v>L2</x:v>
      </x:c>
      <x:c r="D147" s="305" t="str">
        <x:v>L∞</x:v>
      </x:c>
      <x:c r="E147" s="305" t="str">
        <x:v>Density</x:v>
      </x:c>
      <x:c r="F147" s="305" t="str">
        <x:v>MMD</x:v>
      </x:c>
    </x:row>
    <x:row r="148" ht="20" customHeight="1">
      <x:c r="A148" s="309" t="str">
        <x:v>S=D</x:v>
      </x:c>
      <x:c r="B148" s="309" t="str">
        <x:v>FNR</x:v>
      </x:c>
      <x:c r="C148" s="317" t="n">
        <x:f>IFERROR('Source rates'!$O$354,NA())</x:f>
        <x:v>0.15384615384615385</x:v>
      </x:c>
      <x:c r="D148" s="310" t="n">
        <x:f>IFERROR('Source rates'!$O$355,NA())</x:f>
        <x:v>0.6153846153846154</x:v>
      </x:c>
      <x:c r="E148" s="310" t="n">
        <x:f>IFERROR('Source rates'!$O$356,NA())</x:f>
        <x:v>0.46153846153846156</x:v>
      </x:c>
      <x:c r="F148" s="310" t="n">
        <x:f>IFERROR('Source rates'!$O$357,NA())</x:f>
        <x:v>0.8461538461538461</x:v>
      </x:c>
    </x:row>
    <x:row r="149" ht="20" customHeight="1">
      <x:c r="A149" s="309"/>
      <x:c r="B149" s="309" t="str">
        <x:v>FPR</x:v>
      </x:c>
      <x:c r="C149" s="310" t="n">
        <x:f>IFERROR('Source rates'!$P$354,NA())</x:f>
        <x:v>0.25</x:v>
      </x:c>
      <x:c r="D149" s="317" t="n">
        <x:f>IFERROR('Source rates'!$P$355,NA())</x:f>
        <x:v>0</x:v>
      </x:c>
      <x:c r="E149" s="310" t="n">
        <x:f>IFERROR('Source rates'!$P$356,NA())</x:f>
        <x:v>1</x:v>
      </x:c>
      <x:c r="F149" s="317" t="n">
        <x:f>IFERROR('Source rates'!$P$357,NA())</x:f>
        <x:v>0</x:v>
      </x:c>
    </x:row>
    <x:row r="150" ht="20" customHeight="1">
      <x:c r="A150" s="309"/>
      <x:c r="B150" s="309" t="str">
        <x:v>F1</x:v>
      </x:c>
      <x:c r="C150" s="317" t="n">
        <x:f>IFERROR('Source rates'!$Q$354,NA())</x:f>
        <x:v>0.88</x:v>
      </x:c>
      <x:c r="D150" s="310" t="n">
        <x:f>IFERROR('Source rates'!$Q$355,NA())</x:f>
        <x:v>0.5555555555555556</x:v>
      </x:c>
      <x:c r="E150" s="310" t="n">
        <x:f>IFERROR('Source rates'!$Q$356,NA())</x:f>
        <x:v>0.5833333333333334</x:v>
      </x:c>
      <x:c r="F150" s="310" t="n">
        <x:f>IFERROR('Source rates'!$Q$357,NA())</x:f>
        <x:v>0.26666666666666666</x:v>
      </x:c>
    </x:row>
    <x:row r="151" ht="20" customHeight="1">
      <x:c r="A151" s="309"/>
      <x:c r="B151" s="309" t="str">
        <x:v>AUC</x:v>
      </x:c>
      <x:c r="C151" s="317" t="n">
        <x:f>IFERROR('Source rates'!$R$354,NA())</x:f>
        <x:v>0.8653846153846154</x:v>
      </x:c>
      <x:c r="D151" s="310" t="n">
        <x:f>IFERROR('Source rates'!$R$355,NA())</x:f>
        <x:v>0.8269230769230769</x:v>
      </x:c>
      <x:c r="E151" s="310" t="n">
        <x:f>IFERROR('Source rates'!$R$356,NA())</x:f>
        <x:v>0.21153846153846154</x:v>
      </x:c>
      <x:c r="F151" s="317" t="n">
        <x:f>IFERROR('Source rates'!$R$357,NA())</x:f>
        <x:v>0.8653846153846154</x:v>
      </x:c>
    </x:row>
    <x:row r="152" ht="20" customHeight="1">
      <x:c r="A152" s="314" t="str">
        <x:v>S=2D</x:v>
      </x:c>
      <x:c r="B152" s="314" t="str">
        <x:v>FNR</x:v>
      </x:c>
      <x:c r="C152" s="315" t="n">
        <x:f>IFERROR('Source rates'!$O$358,NA())</x:f>
        <x:v>0.5333333333333333</x:v>
      </x:c>
      <x:c r="D152" s="319" t="n">
        <x:f>IFERROR('Source rates'!$O$359,NA())</x:f>
        <x:v>0</x:v>
      </x:c>
      <x:c r="E152" s="319" t="n">
        <x:f>IFERROR('Source rates'!$O$360,NA())</x:f>
        <x:v>0</x:v>
      </x:c>
      <x:c r="F152" s="315" t="n">
        <x:f>IFERROR('Source rates'!$O$361,NA())</x:f>
        <x:v>0.9333333333333333</x:v>
      </x:c>
    </x:row>
    <x:row r="153" ht="20" customHeight="1">
      <x:c r="A153" s="314"/>
      <x:c r="B153" s="314" t="str">
        <x:v>FPR</x:v>
      </x:c>
      <x:c r="C153" s="315" t="n">
        <x:f>IFERROR('Source rates'!$P$358,NA())</x:f>
        <x:v>0.5</x:v>
      </x:c>
      <x:c r="D153" s="315" t="n">
        <x:f>IFERROR('Source rates'!$P$359,NA())</x:f>
        <x:v>1</x:v>
      </x:c>
      <x:c r="E153" s="315" t="n">
        <x:f>IFERROR('Source rates'!$P$360,NA())</x:f>
        <x:v>1</x:v>
      </x:c>
      <x:c r="F153" s="319" t="n">
        <x:f>IFERROR('Source rates'!$P$361,NA())</x:f>
        <x:v>0</x:v>
      </x:c>
    </x:row>
    <x:row r="154" ht="20" customHeight="1">
      <x:c r="A154" s="314"/>
      <x:c r="B154" s="314" t="str">
        <x:v>F1</x:v>
      </x:c>
      <x:c r="C154" s="315" t="n">
        <x:f>IFERROR('Source rates'!$Q$358,NA())</x:f>
        <x:v>0.6086956521739131</x:v>
      </x:c>
      <x:c r="D154" s="319" t="n">
        <x:f>IFERROR('Source rates'!$Q$359,NA())</x:f>
        <x:v>0.9375</x:v>
      </x:c>
      <x:c r="E154" s="319" t="n">
        <x:f>IFERROR('Source rates'!$Q$360,NA())</x:f>
        <x:v>0.9375</x:v>
      </x:c>
      <x:c r="F154" s="315" t="n">
        <x:f>IFERROR('Source rates'!$Q$361,NA())</x:f>
        <x:v>0.125</x:v>
      </x:c>
    </x:row>
    <x:row r="155" ht="20" customHeight="1">
      <x:c r="A155" s="314"/>
      <x:c r="B155" s="314" t="str">
        <x:v>AUC</x:v>
      </x:c>
      <x:c r="C155" s="315" t="n">
        <x:f>IFERROR('Source rates'!$R$358,NA())</x:f>
        <x:v>0.36666666666666664</x:v>
      </x:c>
      <x:c r="D155" s="315" t="n">
        <x:f>IFERROR('Source rates'!$R$359,NA())</x:f>
        <x:v>0.26666666666666666</x:v>
      </x:c>
      <x:c r="E155" s="315" t="n">
        <x:f>IFERROR('Source rates'!$R$360,NA())</x:f>
        <x:v>0.3</x:v>
      </x:c>
      <x:c r="F155" s="319" t="n">
        <x:f>IFERROR('Source rates'!$R$361,NA())</x:f>
        <x:v>0.6</x:v>
      </x:c>
    </x:row>
    <x:row r="156" ht="20" customHeight="1">
      <x:c r="A156" s="309" t="str">
        <x:v>S=4D</x:v>
      </x:c>
      <x:c r="B156" s="309" t="str">
        <x:v>FNR</x:v>
      </x:c>
      <x:c r="C156" s="317" t="n">
        <x:f>IFERROR('Source rates'!$O$362,NA())</x:f>
        <x:v>0</x:v>
      </x:c>
      <x:c r="D156" s="317" t="n">
        <x:f>IFERROR('Source rates'!$O$363,NA())</x:f>
        <x:v>0</x:v>
      </x:c>
      <x:c r="E156" s="317" t="n">
        <x:f>IFERROR('Source rates'!$O$364,NA())</x:f>
        <x:v>0</x:v>
      </x:c>
      <x:c r="F156" s="310" t="n">
        <x:f>IFERROR('Source rates'!$O$365,NA())</x:f>
        <x:v>0.9166666666666666</x:v>
      </x:c>
    </x:row>
    <x:row r="157" ht="20" customHeight="1">
      <x:c r="A157" s="309"/>
      <x:c r="B157" s="309" t="str">
        <x:v>FPR</x:v>
      </x:c>
      <x:c r="C157" s="310" t="n">
        <x:f>IFERROR('Source rates'!$P$362,NA())</x:f>
        <x:v>0.6</x:v>
      </x:c>
      <x:c r="D157" s="310" t="n">
        <x:f>IFERROR('Source rates'!$P$363,NA())</x:f>
        <x:v>0.6</x:v>
      </x:c>
      <x:c r="E157" s="310" t="n">
        <x:f>IFERROR('Source rates'!$P$364,NA())</x:f>
        <x:v>1</x:v>
      </x:c>
      <x:c r="F157" s="317" t="n">
        <x:f>IFERROR('Source rates'!$P$365,NA())</x:f>
        <x:v>0</x:v>
      </x:c>
    </x:row>
    <x:row r="158" ht="20" customHeight="1">
      <x:c r="A158" s="309"/>
      <x:c r="B158" s="309" t="str">
        <x:v>F1</x:v>
      </x:c>
      <x:c r="C158" s="317" t="n">
        <x:f>IFERROR('Source rates'!$Q$362,NA())</x:f>
        <x:v>0.8888888888888888</x:v>
      </x:c>
      <x:c r="D158" s="317" t="n">
        <x:f>IFERROR('Source rates'!$Q$363,NA())</x:f>
        <x:v>0.8888888888888888</x:v>
      </x:c>
      <x:c r="E158" s="310" t="n">
        <x:f>IFERROR('Source rates'!$Q$364,NA())</x:f>
        <x:v>0.8275862068965517</x:v>
      </x:c>
      <x:c r="F158" s="310" t="n">
        <x:f>IFERROR('Source rates'!$Q$365,NA())</x:f>
        <x:v>0.15384615384615385</x:v>
      </x:c>
    </x:row>
    <x:row r="159" ht="20" customHeight="1">
      <x:c r="A159" s="309"/>
      <x:c r="B159" s="309" t="str">
        <x:v>AUC</x:v>
      </x:c>
      <x:c r="C159" s="310" t="n">
        <x:f>IFERROR('Source rates'!$R$362,NA())</x:f>
        <x:v>0.8</x:v>
      </x:c>
      <x:c r="D159" s="310" t="n">
        <x:f>IFERROR('Source rates'!$R$363,NA())</x:f>
        <x:v>0.75</x:v>
      </x:c>
      <x:c r="E159" s="310" t="n">
        <x:f>IFERROR('Source rates'!$R$364,NA())</x:f>
        <x:v>0.4166666666666667</x:v>
      </x:c>
      <x:c r="F159" s="317" t="n">
        <x:f>IFERROR('Source rates'!$R$365,NA())</x:f>
        <x:v>0.8333333333333334</x:v>
      </x:c>
    </x:row>
    <x:row r="160" ht="20" customHeight="1">
      <x:c r="A160" s="314" t="str">
        <x:v>S=6D</x:v>
      </x:c>
      <x:c r="B160" s="314" t="str">
        <x:v>FNR</x:v>
      </x:c>
      <x:c r="C160" s="315" t="n">
        <x:f>IFERROR('Source rates'!$O$366,NA())</x:f>
        <x:v>0.5</x:v>
      </x:c>
      <x:c r="D160" s="315" t="n">
        <x:f>IFERROR('Source rates'!$O$367,NA())</x:f>
        <x:v>0.8</x:v>
      </x:c>
      <x:c r="E160" s="319" t="n">
        <x:f>IFERROR('Source rates'!$O$368,NA())</x:f>
        <x:v>0</x:v>
      </x:c>
      <x:c r="F160" s="315" t="n">
        <x:f>IFERROR('Source rates'!$O$369,NA())</x:f>
        <x:v>0.9</x:v>
      </x:c>
    </x:row>
    <x:row r="161" ht="20" customHeight="1">
      <x:c r="A161" s="314"/>
      <x:c r="B161" s="314" t="str">
        <x:v>FPR</x:v>
      </x:c>
      <x:c r="C161" s="315" t="n">
        <x:f>IFERROR('Source rates'!$P$366,NA())</x:f>
        <x:v>0.7142857142857143</x:v>
      </x:c>
      <x:c r="D161" s="315" t="n">
        <x:f>IFERROR('Source rates'!$P$367,NA())</x:f>
        <x:v>0.14285714285714285</x:v>
      </x:c>
      <x:c r="E161" s="315" t="n">
        <x:f>IFERROR('Source rates'!$P$368,NA())</x:f>
        <x:v>1</x:v>
      </x:c>
      <x:c r="F161" s="319" t="n">
        <x:f>IFERROR('Source rates'!$P$369,NA())</x:f>
        <x:v>0</x:v>
      </x:c>
    </x:row>
    <x:row r="162" ht="20" customHeight="1">
      <x:c r="A162" s="314"/>
      <x:c r="B162" s="314" t="str">
        <x:v>F1</x:v>
      </x:c>
      <x:c r="C162" s="315" t="n">
        <x:f>IFERROR('Source rates'!$Q$366,NA())</x:f>
        <x:v>0.5</x:v>
      </x:c>
      <x:c r="D162" s="315" t="n">
        <x:f>IFERROR('Source rates'!$Q$367,NA())</x:f>
        <x:v>0.3076923076923077</x:v>
      </x:c>
      <x:c r="E162" s="319" t="n">
        <x:f>IFERROR('Source rates'!$Q$368,NA())</x:f>
        <x:v>0.7407407407407407</x:v>
      </x:c>
      <x:c r="F162" s="315" t="n">
        <x:f>IFERROR('Source rates'!$Q$369,NA())</x:f>
        <x:v>0.18181818181818182</x:v>
      </x:c>
    </x:row>
    <x:row r="163" ht="20" customHeight="1">
      <x:c r="A163" s="314"/>
      <x:c r="B163" s="314" t="str">
        <x:v>AUC</x:v>
      </x:c>
      <x:c r="C163" s="315" t="n">
        <x:f>IFERROR('Source rates'!$R$366,NA())</x:f>
        <x:v>0.5857142857142857</x:v>
      </x:c>
      <x:c r="D163" s="315" t="n">
        <x:f>IFERROR('Source rates'!$R$367,NA())</x:f>
        <x:v>0.5285714285714286</x:v>
      </x:c>
      <x:c r="E163" s="315" t="n">
        <x:f>IFERROR('Source rates'!$R$368,NA())</x:f>
        <x:v>0.2857142857142857</x:v>
      </x:c>
      <x:c r="F163" s="319" t="n">
        <x:f>IFERROR('Source rates'!$R$369,NA())</x:f>
        <x:v>0.8571428571428571</x:v>
      </x:c>
    </x:row>
    <x:row r="165" ht="22" customHeight="1">
      <x:c r="A165" s="298" t="str">
        <x:v>Signed PMP error — Assumed M0</x:v>
      </x:c>
      <x:c r="B165" s="298"/>
      <x:c r="C165" s="298"/>
      <x:c r="D165" s="298"/>
      <x:c r="E165" s="298"/>
      <x:c r="F165" s="298"/>
    </x:row>
    <x:row r="166" ht="22" customHeight="1">
      <x:c r="A166" s="301" t="str">
        <x:v>ESS-filtered raw, network-specific NPE-MCMC central 90% interval [q5, q95]</x:v>
      </x:c>
      <x:c r="B166" s="301"/>
      <x:c r="C166" s="301"/>
      <x:c r="D166" s="301"/>
      <x:c r="E166" s="301"/>
      <x:c r="F166" s="301"/>
    </x:row>
    <x:row r="167" ht="20" customHeight="1">
      <x:c r="A167" s="305" t="str">
        <x:v>Summary</x:v>
      </x:c>
      <x:c r="B167" s="305" t="str">
        <x:v>Statistic</x:v>
      </x:c>
      <x:c r="C167" s="305" t="str">
        <x:v>L2</x:v>
      </x:c>
      <x:c r="D167" s="305" t="str">
        <x:v>L∞</x:v>
      </x:c>
      <x:c r="E167" s="305" t="str">
        <x:v>Density</x:v>
      </x:c>
      <x:c r="F167" s="305" t="str">
        <x:v>MMD</x:v>
      </x:c>
    </x:row>
    <x:row r="168" ht="20" customHeight="1">
      <x:c r="A168" s="309" t="str">
        <x:v>S=D</x:v>
      </x:c>
      <x:c r="B168" s="309" t="str">
        <x:v>FNR</x:v>
      </x:c>
      <x:c r="C168" s="310" t="str">
        <x:f>IFERROR('Source rates'!$O$370,NA())</x:f>
        <x:v>N/A</x:v>
      </x:c>
      <x:c r="D168" s="310" t="str">
        <x:f>IFERROR('Source rates'!$O$371,NA())</x:f>
        <x:v>N/A</x:v>
      </x:c>
      <x:c r="E168" s="310" t="str">
        <x:f>IFERROR('Source rates'!$O$372,NA())</x:f>
        <x:v>N/A</x:v>
      </x:c>
      <x:c r="F168" s="310" t="str">
        <x:f>IFERROR('Source rates'!$O$373,NA())</x:f>
        <x:v>N/A</x:v>
      </x:c>
    </x:row>
    <x:row r="169" ht="20" customHeight="1">
      <x:c r="A169" s="309"/>
      <x:c r="B169" s="309" t="str">
        <x:v>FPR</x:v>
      </x:c>
      <x:c r="C169" s="310" t="n">
        <x:f>IFERROR('Source rates'!$P$370,NA())</x:f>
        <x:v>0.8235294117647058</x:v>
      </x:c>
      <x:c r="D169" s="310" t="n">
        <x:f>IFERROR('Source rates'!$P$371,NA())</x:f>
        <x:v>0.9411764705882353</x:v>
      </x:c>
      <x:c r="E169" s="310" t="n">
        <x:f>IFERROR('Source rates'!$P$372,NA())</x:f>
        <x:v>0.6470588235294118</x:v>
      </x:c>
      <x:c r="F169" s="317" t="n">
        <x:f>IFERROR('Source rates'!$P$373,NA())</x:f>
        <x:v>0.058823529411764705</x:v>
      </x:c>
    </x:row>
    <x:row r="170" ht="20" customHeight="1">
      <x:c r="A170" s="309"/>
      <x:c r="B170" s="309" t="str">
        <x:v>F1</x:v>
      </x:c>
      <x:c r="C170" s="317" t="n">
        <x:f>IFERROR('Source rates'!$Q$370,NA())</x:f>
        <x:v>0</x:v>
      </x:c>
      <x:c r="D170" s="317" t="n">
        <x:f>IFERROR('Source rates'!$Q$371,NA())</x:f>
        <x:v>0</x:v>
      </x:c>
      <x:c r="E170" s="317" t="n">
        <x:f>IFERROR('Source rates'!$Q$372,NA())</x:f>
        <x:v>0</x:v>
      </x:c>
      <x:c r="F170" s="317" t="n">
        <x:f>IFERROR('Source rates'!$Q$373,NA())</x:f>
        <x:v>0</x:v>
      </x:c>
    </x:row>
    <x:row r="171" ht="20" customHeight="1">
      <x:c r="A171" s="309"/>
      <x:c r="B171" s="309" t="str">
        <x:v>AUC</x:v>
      </x:c>
      <x:c r="C171" s="310" t="str">
        <x:f>IFERROR('Source rates'!$R$370,NA())</x:f>
        <x:v>N/A</x:v>
      </x:c>
      <x:c r="D171" s="310" t="str">
        <x:f>IFERROR('Source rates'!$R$371,NA())</x:f>
        <x:v>N/A</x:v>
      </x:c>
      <x:c r="E171" s="310" t="str">
        <x:f>IFERROR('Source rates'!$R$372,NA())</x:f>
        <x:v>N/A</x:v>
      </x:c>
      <x:c r="F171" s="310" t="str">
        <x:f>IFERROR('Source rates'!$R$373,NA())</x:f>
        <x:v>N/A</x:v>
      </x:c>
    </x:row>
    <x:row r="172" ht="20" customHeight="1">
      <x:c r="A172" s="314" t="str">
        <x:v>S=2D</x:v>
      </x:c>
      <x:c r="B172" s="314" t="str">
        <x:v>FNR</x:v>
      </x:c>
      <x:c r="C172" s="315" t="str">
        <x:f>IFERROR('Source rates'!$O$374,NA())</x:f>
        <x:v>N/A</x:v>
      </x:c>
      <x:c r="D172" s="315" t="str">
        <x:f>IFERROR('Source rates'!$O$375,NA())</x:f>
        <x:v>N/A</x:v>
      </x:c>
      <x:c r="E172" s="315" t="str">
        <x:f>IFERROR('Source rates'!$O$376,NA())</x:f>
        <x:v>N/A</x:v>
      </x:c>
      <x:c r="F172" s="315" t="str">
        <x:f>IFERROR('Source rates'!$O$377,NA())</x:f>
        <x:v>N/A</x:v>
      </x:c>
    </x:row>
    <x:row r="173" ht="20" customHeight="1">
      <x:c r="A173" s="314"/>
      <x:c r="B173" s="314" t="str">
        <x:v>FPR</x:v>
      </x:c>
      <x:c r="C173" s="315" t="n">
        <x:f>IFERROR('Source rates'!$P$374,NA())</x:f>
        <x:v>1</x:v>
      </x:c>
      <x:c r="D173" s="315" t="n">
        <x:f>IFERROR('Source rates'!$P$375,NA())</x:f>
        <x:v>1</x:v>
      </x:c>
      <x:c r="E173" s="315" t="n">
        <x:f>IFERROR('Source rates'!$P$376,NA())</x:f>
        <x:v>1</x:v>
      </x:c>
      <x:c r="F173" s="319" t="n">
        <x:f>IFERROR('Source rates'!$P$377,NA())</x:f>
        <x:v>0.4117647058823529</x:v>
      </x:c>
    </x:row>
    <x:row r="174" ht="20" customHeight="1">
      <x:c r="A174" s="314"/>
      <x:c r="B174" s="314" t="str">
        <x:v>F1</x:v>
      </x:c>
      <x:c r="C174" s="319" t="n">
        <x:f>IFERROR('Source rates'!$Q$374,NA())</x:f>
        <x:v>0</x:v>
      </x:c>
      <x:c r="D174" s="319" t="n">
        <x:f>IFERROR('Source rates'!$Q$375,NA())</x:f>
        <x:v>0</x:v>
      </x:c>
      <x:c r="E174" s="319" t="n">
        <x:f>IFERROR('Source rates'!$Q$376,NA())</x:f>
        <x:v>0</x:v>
      </x:c>
      <x:c r="F174" s="319" t="n">
        <x:f>IFERROR('Source rates'!$Q$377,NA())</x:f>
        <x:v>0</x:v>
      </x:c>
    </x:row>
    <x:row r="175" ht="20" customHeight="1">
      <x:c r="A175" s="314"/>
      <x:c r="B175" s="314" t="str">
        <x:v>AUC</x:v>
      </x:c>
      <x:c r="C175" s="315" t="str">
        <x:f>IFERROR('Source rates'!$R$374,NA())</x:f>
        <x:v>N/A</x:v>
      </x:c>
      <x:c r="D175" s="315" t="str">
        <x:f>IFERROR('Source rates'!$R$375,NA())</x:f>
        <x:v>N/A</x:v>
      </x:c>
      <x:c r="E175" s="315" t="str">
        <x:f>IFERROR('Source rates'!$R$376,NA())</x:f>
        <x:v>N/A</x:v>
      </x:c>
      <x:c r="F175" s="315" t="str">
        <x:f>IFERROR('Source rates'!$R$377,NA())</x:f>
        <x:v>N/A</x:v>
      </x:c>
    </x:row>
    <x:row r="176" ht="20" customHeight="1">
      <x:c r="A176" s="309" t="str">
        <x:v>S=4D</x:v>
      </x:c>
      <x:c r="B176" s="309" t="str">
        <x:v>FNR</x:v>
      </x:c>
      <x:c r="C176" s="310" t="str">
        <x:f>IFERROR('Source rates'!$O$378,NA())</x:f>
        <x:v>N/A</x:v>
      </x:c>
      <x:c r="D176" s="310" t="str">
        <x:f>IFERROR('Source rates'!$O$379,NA())</x:f>
        <x:v>N/A</x:v>
      </x:c>
      <x:c r="E176" s="310" t="str">
        <x:f>IFERROR('Source rates'!$O$380,NA())</x:f>
        <x:v>N/A</x:v>
      </x:c>
      <x:c r="F176" s="310" t="str">
        <x:f>IFERROR('Source rates'!$O$381,NA())</x:f>
        <x:v>N/A</x:v>
      </x:c>
    </x:row>
    <x:row r="177" ht="20" customHeight="1">
      <x:c r="A177" s="309"/>
      <x:c r="B177" s="309" t="str">
        <x:v>FPR</x:v>
      </x:c>
      <x:c r="C177" s="310" t="n">
        <x:f>IFERROR('Source rates'!$P$378,NA())</x:f>
        <x:v>0.9411764705882353</x:v>
      </x:c>
      <x:c r="D177" s="310" t="n">
        <x:f>IFERROR('Source rates'!$P$379,NA())</x:f>
        <x:v>0.8235294117647058</x:v>
      </x:c>
      <x:c r="E177" s="310" t="n">
        <x:f>IFERROR('Source rates'!$P$380,NA())</x:f>
        <x:v>1</x:v>
      </x:c>
      <x:c r="F177" s="317" t="n">
        <x:f>IFERROR('Source rates'!$P$381,NA())</x:f>
        <x:v>0.5294117647058824</x:v>
      </x:c>
    </x:row>
    <x:row r="178" ht="20" customHeight="1">
      <x:c r="A178" s="309"/>
      <x:c r="B178" s="309" t="str">
        <x:v>F1</x:v>
      </x:c>
      <x:c r="C178" s="317" t="n">
        <x:f>IFERROR('Source rates'!$Q$378,NA())</x:f>
        <x:v>0</x:v>
      </x:c>
      <x:c r="D178" s="317" t="n">
        <x:f>IFERROR('Source rates'!$Q$379,NA())</x:f>
        <x:v>0</x:v>
      </x:c>
      <x:c r="E178" s="317" t="n">
        <x:f>IFERROR('Source rates'!$Q$380,NA())</x:f>
        <x:v>0</x:v>
      </x:c>
      <x:c r="F178" s="317" t="n">
        <x:f>IFERROR('Source rates'!$Q$381,NA())</x:f>
        <x:v>0</x:v>
      </x:c>
    </x:row>
    <x:row r="179" ht="20" customHeight="1">
      <x:c r="A179" s="309"/>
      <x:c r="B179" s="309" t="str">
        <x:v>AUC</x:v>
      </x:c>
      <x:c r="C179" s="310" t="str">
        <x:f>IFERROR('Source rates'!$R$378,NA())</x:f>
        <x:v>N/A</x:v>
      </x:c>
      <x:c r="D179" s="310" t="str">
        <x:f>IFERROR('Source rates'!$R$379,NA())</x:f>
        <x:v>N/A</x:v>
      </x:c>
      <x:c r="E179" s="310" t="str">
        <x:f>IFERROR('Source rates'!$R$380,NA())</x:f>
        <x:v>N/A</x:v>
      </x:c>
      <x:c r="F179" s="310" t="str">
        <x:f>IFERROR('Source rates'!$R$381,NA())</x:f>
        <x:v>N/A</x:v>
      </x:c>
    </x:row>
    <x:row r="180" ht="20" customHeight="1">
      <x:c r="A180" s="314" t="str">
        <x:v>S=6D</x:v>
      </x:c>
      <x:c r="B180" s="314" t="str">
        <x:v>FNR</x:v>
      </x:c>
      <x:c r="C180" s="315" t="str">
        <x:f>IFERROR('Source rates'!$O$382,NA())</x:f>
        <x:v>N/A</x:v>
      </x:c>
      <x:c r="D180" s="315" t="str">
        <x:f>IFERROR('Source rates'!$O$383,NA())</x:f>
        <x:v>N/A</x:v>
      </x:c>
      <x:c r="E180" s="315" t="str">
        <x:f>IFERROR('Source rates'!$O$384,NA())</x:f>
        <x:v>N/A</x:v>
      </x:c>
      <x:c r="F180" s="315" t="str">
        <x:f>IFERROR('Source rates'!$O$385,NA())</x:f>
        <x:v>N/A</x:v>
      </x:c>
    </x:row>
    <x:row r="181" ht="20" customHeight="1">
      <x:c r="A181" s="314"/>
      <x:c r="B181" s="314" t="str">
        <x:v>FPR</x:v>
      </x:c>
      <x:c r="C181" s="315" t="n">
        <x:f>IFERROR('Source rates'!$P$382,NA())</x:f>
        <x:v>0.9411764705882353</x:v>
      </x:c>
      <x:c r="D181" s="315" t="n">
        <x:f>IFERROR('Source rates'!$P$383,NA())</x:f>
        <x:v>0.9411764705882353</x:v>
      </x:c>
      <x:c r="E181" s="315" t="n">
        <x:f>IFERROR('Source rates'!$P$384,NA())</x:f>
        <x:v>1</x:v>
      </x:c>
      <x:c r="F181" s="319" t="n">
        <x:f>IFERROR('Source rates'!$P$385,NA())</x:f>
        <x:v>0.29411764705882354</x:v>
      </x:c>
    </x:row>
    <x:row r="182" ht="20" customHeight="1">
      <x:c r="A182" s="314"/>
      <x:c r="B182" s="314" t="str">
        <x:v>F1</x:v>
      </x:c>
      <x:c r="C182" s="319" t="n">
        <x:f>IFERROR('Source rates'!$Q$382,NA())</x:f>
        <x:v>0</x:v>
      </x:c>
      <x:c r="D182" s="319" t="n">
        <x:f>IFERROR('Source rates'!$Q$383,NA())</x:f>
        <x:v>0</x:v>
      </x:c>
      <x:c r="E182" s="319" t="n">
        <x:f>IFERROR('Source rates'!$Q$384,NA())</x:f>
        <x:v>0</x:v>
      </x:c>
      <x:c r="F182" s="319" t="n">
        <x:f>IFERROR('Source rates'!$Q$385,NA())</x:f>
        <x:v>0</x:v>
      </x:c>
    </x:row>
    <x:row r="183" ht="20" customHeight="1">
      <x:c r="A183" s="314"/>
      <x:c r="B183" s="314" t="str">
        <x:v>AUC</x:v>
      </x:c>
      <x:c r="C183" s="315" t="str">
        <x:f>IFERROR('Source rates'!$R$382,NA())</x:f>
        <x:v>N/A</x:v>
      </x:c>
      <x:c r="D183" s="315" t="str">
        <x:f>IFERROR('Source rates'!$R$383,NA())</x:f>
        <x:v>N/A</x:v>
      </x:c>
      <x:c r="E183" s="315" t="str">
        <x:f>IFERROR('Source rates'!$R$384,NA())</x:f>
        <x:v>N/A</x:v>
      </x:c>
      <x:c r="F183" s="315" t="str">
        <x:f>IFERROR('Source rates'!$R$385,NA())</x:f>
        <x:v>N/A</x:v>
      </x:c>
    </x:row>
    <x:row r="185" ht="22" customHeight="1">
      <x:c r="A185" s="298" t="str">
        <x:v>Signed PMP error — Assumed M2</x:v>
      </x:c>
      <x:c r="B185" s="298"/>
      <x:c r="C185" s="298"/>
      <x:c r="D185" s="298"/>
      <x:c r="E185" s="298"/>
      <x:c r="F185" s="298"/>
    </x:row>
    <x:row r="186" ht="22" customHeight="1">
      <x:c r="A186" s="301" t="str">
        <x:v>ESS-filtered raw, network-specific NPE-MCMC central 90% interval [q5, q95]</x:v>
      </x:c>
      <x:c r="B186" s="301"/>
      <x:c r="C186" s="301"/>
      <x:c r="D186" s="301"/>
      <x:c r="E186" s="301"/>
      <x:c r="F186" s="301"/>
    </x:row>
    <x:row r="187" ht="20" customHeight="1">
      <x:c r="A187" s="305" t="str">
        <x:v>Summary</x:v>
      </x:c>
      <x:c r="B187" s="305" t="str">
        <x:v>Statistic</x:v>
      </x:c>
      <x:c r="C187" s="305" t="str">
        <x:v>L2</x:v>
      </x:c>
      <x:c r="D187" s="305" t="str">
        <x:v>L∞</x:v>
      </x:c>
      <x:c r="E187" s="305" t="str">
        <x:v>Density</x:v>
      </x:c>
      <x:c r="F187" s="305" t="str">
        <x:v>MMD</x:v>
      </x:c>
    </x:row>
    <x:row r="188" ht="20" customHeight="1">
      <x:c r="A188" s="309" t="str">
        <x:v>S=D</x:v>
      </x:c>
      <x:c r="B188" s="309" t="str">
        <x:v>FNR</x:v>
      </x:c>
      <x:c r="C188" s="317" t="n">
        <x:f>IFERROR('Source rates'!$O$386,NA())</x:f>
        <x:v>0</x:v>
      </x:c>
      <x:c r="D188" s="317" t="n">
        <x:f>IFERROR('Source rates'!$O$387,NA())</x:f>
        <x:v>0</x:v>
      </x:c>
      <x:c r="E188" s="317" t="n">
        <x:f>IFERROR('Source rates'!$O$388,NA())</x:f>
        <x:v>0</x:v>
      </x:c>
      <x:c r="F188" s="317" t="n">
        <x:f>IFERROR('Source rates'!$O$389,NA())</x:f>
        <x:v>0</x:v>
      </x:c>
    </x:row>
    <x:row r="189" ht="20" customHeight="1">
      <x:c r="A189" s="309"/>
      <x:c r="B189" s="309" t="str">
        <x:v>FPR</x:v>
      </x:c>
      <x:c r="C189" s="310" t="n">
        <x:f>IFERROR('Source rates'!$P$386,NA())</x:f>
        <x:v>0.6875</x:v>
      </x:c>
      <x:c r="D189" s="310" t="n">
        <x:f>IFERROR('Source rates'!$P$387,NA())</x:f>
        <x:v>0.25</x:v>
      </x:c>
      <x:c r="E189" s="310" t="n">
        <x:f>IFERROR('Source rates'!$P$388,NA())</x:f>
        <x:v>0.625</x:v>
      </x:c>
      <x:c r="F189" s="317" t="n">
        <x:f>IFERROR('Source rates'!$P$389,NA())</x:f>
        <x:v>0.0625</x:v>
      </x:c>
    </x:row>
    <x:row r="190" ht="20" customHeight="1">
      <x:c r="A190" s="309"/>
      <x:c r="B190" s="309" t="str">
        <x:v>F1</x:v>
      </x:c>
      <x:c r="C190" s="310" t="n">
        <x:f>IFERROR('Source rates'!$Q$386,NA())</x:f>
        <x:v>0.15384615384615385</x:v>
      </x:c>
      <x:c r="D190" s="310" t="n">
        <x:f>IFERROR('Source rates'!$Q$387,NA())</x:f>
        <x:v>0.3333333333333333</x:v>
      </x:c>
      <x:c r="E190" s="310" t="n">
        <x:f>IFERROR('Source rates'!$Q$388,NA())</x:f>
        <x:v>0.16666666666666666</x:v>
      </x:c>
      <x:c r="F190" s="317" t="n">
        <x:f>IFERROR('Source rates'!$Q$389,NA())</x:f>
        <x:v>0.6666666666666666</x:v>
      </x:c>
    </x:row>
    <x:row r="191" ht="20" customHeight="1">
      <x:c r="A191" s="309"/>
      <x:c r="B191" s="309" t="str">
        <x:v>AUC</x:v>
      </x:c>
      <x:c r="C191" s="317" t="n">
        <x:f>IFERROR('Source rates'!$R$386,NA())</x:f>
        <x:v>1</x:v>
      </x:c>
      <x:c r="D191" s="317" t="n">
        <x:f>IFERROR('Source rates'!$R$387,NA())</x:f>
        <x:v>1</x:v>
      </x:c>
      <x:c r="E191" s="317" t="n">
        <x:f>IFERROR('Source rates'!$R$388,NA())</x:f>
        <x:v>1</x:v>
      </x:c>
      <x:c r="F191" s="317" t="n">
        <x:f>IFERROR('Source rates'!$R$389,NA())</x:f>
        <x:v>1</x:v>
      </x:c>
    </x:row>
    <x:row r="192" ht="20" customHeight="1">
      <x:c r="A192" s="314" t="str">
        <x:v>S=2D</x:v>
      </x:c>
      <x:c r="B192" s="314" t="str">
        <x:v>FNR</x:v>
      </x:c>
      <x:c r="C192" s="315" t="str">
        <x:f>IFERROR('Source rates'!$O$390,NA())</x:f>
        <x:v>N/A</x:v>
      </x:c>
      <x:c r="D192" s="315" t="str">
        <x:f>IFERROR('Source rates'!$O$391,NA())</x:f>
        <x:v>N/A</x:v>
      </x:c>
      <x:c r="E192" s="315" t="str">
        <x:f>IFERROR('Source rates'!$O$392,NA())</x:f>
        <x:v>N/A</x:v>
      </x:c>
      <x:c r="F192" s="315" t="str">
        <x:f>IFERROR('Source rates'!$O$393,NA())</x:f>
        <x:v>N/A</x:v>
      </x:c>
    </x:row>
    <x:row r="193" ht="20" customHeight="1">
      <x:c r="A193" s="314"/>
      <x:c r="B193" s="314" t="str">
        <x:v>FPR</x:v>
      </x:c>
      <x:c r="C193" s="315" t="n">
        <x:f>IFERROR('Source rates'!$P$390,NA())</x:f>
        <x:v>0.47058823529411764</x:v>
      </x:c>
      <x:c r="D193" s="315" t="n">
        <x:f>IFERROR('Source rates'!$P$391,NA())</x:f>
        <x:v>1</x:v>
      </x:c>
      <x:c r="E193" s="315" t="n">
        <x:f>IFERROR('Source rates'!$P$392,NA())</x:f>
        <x:v>1</x:v>
      </x:c>
      <x:c r="F193" s="319" t="n">
        <x:f>IFERROR('Source rates'!$P$393,NA())</x:f>
        <x:v>0.058823529411764705</x:v>
      </x:c>
    </x:row>
    <x:row r="194" ht="20" customHeight="1">
      <x:c r="A194" s="314"/>
      <x:c r="B194" s="314" t="str">
        <x:v>F1</x:v>
      </x:c>
      <x:c r="C194" s="319" t="n">
        <x:f>IFERROR('Source rates'!$Q$390,NA())</x:f>
        <x:v>0</x:v>
      </x:c>
      <x:c r="D194" s="319" t="n">
        <x:f>IFERROR('Source rates'!$Q$391,NA())</x:f>
        <x:v>0</x:v>
      </x:c>
      <x:c r="E194" s="319" t="n">
        <x:f>IFERROR('Source rates'!$Q$392,NA())</x:f>
        <x:v>0</x:v>
      </x:c>
      <x:c r="F194" s="319" t="n">
        <x:f>IFERROR('Source rates'!$Q$393,NA())</x:f>
        <x:v>0</x:v>
      </x:c>
    </x:row>
    <x:row r="195" ht="20" customHeight="1">
      <x:c r="A195" s="314"/>
      <x:c r="B195" s="314" t="str">
        <x:v>AUC</x:v>
      </x:c>
      <x:c r="C195" s="315" t="str">
        <x:f>IFERROR('Source rates'!$R$390,NA())</x:f>
        <x:v>N/A</x:v>
      </x:c>
      <x:c r="D195" s="315" t="str">
        <x:f>IFERROR('Source rates'!$R$391,NA())</x:f>
        <x:v>N/A</x:v>
      </x:c>
      <x:c r="E195" s="315" t="str">
        <x:f>IFERROR('Source rates'!$R$392,NA())</x:f>
        <x:v>N/A</x:v>
      </x:c>
      <x:c r="F195" s="315" t="str">
        <x:f>IFERROR('Source rates'!$R$393,NA())</x:f>
        <x:v>N/A</x:v>
      </x:c>
    </x:row>
    <x:row r="196" ht="20" customHeight="1">
      <x:c r="A196" s="309" t="str">
        <x:v>S=4D</x:v>
      </x:c>
      <x:c r="B196" s="309" t="str">
        <x:v>FNR</x:v>
      </x:c>
      <x:c r="C196" s="310" t="str">
        <x:f>IFERROR('Source rates'!$O$394,NA())</x:f>
        <x:v>N/A</x:v>
      </x:c>
      <x:c r="D196" s="310" t="str">
        <x:f>IFERROR('Source rates'!$O$395,NA())</x:f>
        <x:v>N/A</x:v>
      </x:c>
      <x:c r="E196" s="310" t="str">
        <x:f>IFERROR('Source rates'!$O$396,NA())</x:f>
        <x:v>N/A</x:v>
      </x:c>
      <x:c r="F196" s="310" t="str">
        <x:f>IFERROR('Source rates'!$O$397,NA())</x:f>
        <x:v>N/A</x:v>
      </x:c>
    </x:row>
    <x:row r="197" ht="20" customHeight="1">
      <x:c r="A197" s="309"/>
      <x:c r="B197" s="309" t="str">
        <x:v>FPR</x:v>
      </x:c>
      <x:c r="C197" s="310" t="n">
        <x:f>IFERROR('Source rates'!$P$394,NA())</x:f>
        <x:v>0.8823529411764706</x:v>
      </x:c>
      <x:c r="D197" s="310" t="n">
        <x:f>IFERROR('Source rates'!$P$395,NA())</x:f>
        <x:v>0.8823529411764706</x:v>
      </x:c>
      <x:c r="E197" s="310" t="n">
        <x:f>IFERROR('Source rates'!$P$396,NA())</x:f>
        <x:v>1</x:v>
      </x:c>
      <x:c r="F197" s="317" t="n">
        <x:f>IFERROR('Source rates'!$P$397,NA())</x:f>
        <x:v>0.058823529411764705</x:v>
      </x:c>
    </x:row>
    <x:row r="198" ht="20" customHeight="1">
      <x:c r="A198" s="309"/>
      <x:c r="B198" s="309" t="str">
        <x:v>F1</x:v>
      </x:c>
      <x:c r="C198" s="317" t="n">
        <x:f>IFERROR('Source rates'!$Q$394,NA())</x:f>
        <x:v>0</x:v>
      </x:c>
      <x:c r="D198" s="317" t="n">
        <x:f>IFERROR('Source rates'!$Q$395,NA())</x:f>
        <x:v>0</x:v>
      </x:c>
      <x:c r="E198" s="317" t="n">
        <x:f>IFERROR('Source rates'!$Q$396,NA())</x:f>
        <x:v>0</x:v>
      </x:c>
      <x:c r="F198" s="317" t="n">
        <x:f>IFERROR('Source rates'!$Q$397,NA())</x:f>
        <x:v>0</x:v>
      </x:c>
    </x:row>
    <x:row r="199" ht="20" customHeight="1">
      <x:c r="A199" s="309"/>
      <x:c r="B199" s="309" t="str">
        <x:v>AUC</x:v>
      </x:c>
      <x:c r="C199" s="310" t="str">
        <x:f>IFERROR('Source rates'!$R$394,NA())</x:f>
        <x:v>N/A</x:v>
      </x:c>
      <x:c r="D199" s="310" t="str">
        <x:f>IFERROR('Source rates'!$R$395,NA())</x:f>
        <x:v>N/A</x:v>
      </x:c>
      <x:c r="E199" s="310" t="str">
        <x:f>IFERROR('Source rates'!$R$396,NA())</x:f>
        <x:v>N/A</x:v>
      </x:c>
      <x:c r="F199" s="310" t="str">
        <x:f>IFERROR('Source rates'!$R$397,NA())</x:f>
        <x:v>N/A</x:v>
      </x:c>
    </x:row>
    <x:row r="200" ht="20" customHeight="1">
      <x:c r="A200" s="314" t="str">
        <x:v>S=6D</x:v>
      </x:c>
      <x:c r="B200" s="314" t="str">
        <x:v>FNR</x:v>
      </x:c>
      <x:c r="C200" s="315" t="str">
        <x:f>IFERROR('Source rates'!$O$398,NA())</x:f>
        <x:v>N/A</x:v>
      </x:c>
      <x:c r="D200" s="315" t="str">
        <x:f>IFERROR('Source rates'!$O$399,NA())</x:f>
        <x:v>N/A</x:v>
      </x:c>
      <x:c r="E200" s="315" t="str">
        <x:f>IFERROR('Source rates'!$O$400,NA())</x:f>
        <x:v>N/A</x:v>
      </x:c>
      <x:c r="F200" s="315" t="str">
        <x:f>IFERROR('Source rates'!$O$401,NA())</x:f>
        <x:v>N/A</x:v>
      </x:c>
    </x:row>
    <x:row r="201" ht="20" customHeight="1">
      <x:c r="A201" s="314"/>
      <x:c r="B201" s="314" t="str">
        <x:v>FPR</x:v>
      </x:c>
      <x:c r="C201" s="315" t="n">
        <x:f>IFERROR('Source rates'!$P$398,NA())</x:f>
        <x:v>0.5882352941176471</x:v>
      </x:c>
      <x:c r="D201" s="315" t="n">
        <x:f>IFERROR('Source rates'!$P$399,NA())</x:f>
        <x:v>0.17647058823529413</x:v>
      </x:c>
      <x:c r="E201" s="315" t="n">
        <x:f>IFERROR('Source rates'!$P$400,NA())</x:f>
        <x:v>1</x:v>
      </x:c>
      <x:c r="F201" s="319" t="n">
        <x:f>IFERROR('Source rates'!$P$401,NA())</x:f>
        <x:v>0.058823529411764705</x:v>
      </x:c>
    </x:row>
    <x:row r="202" ht="20" customHeight="1">
      <x:c r="A202" s="314"/>
      <x:c r="B202" s="314" t="str">
        <x:v>F1</x:v>
      </x:c>
      <x:c r="C202" s="319" t="n">
        <x:f>IFERROR('Source rates'!$Q$398,NA())</x:f>
        <x:v>0</x:v>
      </x:c>
      <x:c r="D202" s="319" t="n">
        <x:f>IFERROR('Source rates'!$Q$399,NA())</x:f>
        <x:v>0</x:v>
      </x:c>
      <x:c r="E202" s="319" t="n">
        <x:f>IFERROR('Source rates'!$Q$400,NA())</x:f>
        <x:v>0</x:v>
      </x:c>
      <x:c r="F202" s="319" t="n">
        <x:f>IFERROR('Source rates'!$Q$401,NA())</x:f>
        <x:v>0</x:v>
      </x:c>
    </x:row>
    <x:row r="203" ht="20" customHeight="1">
      <x:c r="A203" s="314"/>
      <x:c r="B203" s="314" t="str">
        <x:v>AUC</x:v>
      </x:c>
      <x:c r="C203" s="315" t="str">
        <x:f>IFERROR('Source rates'!$R$398,NA())</x:f>
        <x:v>N/A</x:v>
      </x:c>
      <x:c r="D203" s="315" t="str">
        <x:f>IFERROR('Source rates'!$R$399,NA())</x:f>
        <x:v>N/A</x:v>
      </x:c>
      <x:c r="E203" s="315" t="str">
        <x:f>IFERROR('Source rates'!$R$400,NA())</x:f>
        <x:v>N/A</x:v>
      </x:c>
      <x:c r="F203" s="315" t="str">
        <x:f>IFERROR('Source rates'!$R$401,NA())</x:f>
        <x:v>N/A</x:v>
      </x:c>
    </x:row>
    <x:row r="205" ht="22" customHeight="1">
      <x:c r="A205" s="298" t="str">
        <x:v>Posterior MMD — Assumed M0</x:v>
      </x:c>
      <x:c r="B205" s="298"/>
      <x:c r="C205" s="298"/>
      <x:c r="D205" s="298"/>
      <x:c r="E205" s="298"/>
      <x:c r="F205" s="298"/>
    </x:row>
    <x:row r="206" ht="22" customHeight="1">
      <x:c r="A206" s="301" t="str">
        <x:v>ESS-filtered raw, network-specific NPE-MCMC interval [0, q95]</x:v>
      </x:c>
      <x:c r="B206" s="301"/>
      <x:c r="C206" s="301"/>
      <x:c r="D206" s="301"/>
      <x:c r="E206" s="301"/>
      <x:c r="F206" s="301"/>
    </x:row>
    <x:row r="207" ht="20" customHeight="1">
      <x:c r="A207" s="305" t="str">
        <x:v>Summary</x:v>
      </x:c>
      <x:c r="B207" s="305" t="str">
        <x:v>Statistic</x:v>
      </x:c>
      <x:c r="C207" s="305" t="str">
        <x:v>L2</x:v>
      </x:c>
      <x:c r="D207" s="305" t="str">
        <x:v>L∞</x:v>
      </x:c>
      <x:c r="E207" s="305" t="str">
        <x:v>Density</x:v>
      </x:c>
      <x:c r="F207" s="305" t="str">
        <x:v>MMD</x:v>
      </x:c>
    </x:row>
    <x:row r="208" ht="20" customHeight="1">
      <x:c r="A208" s="309" t="str">
        <x:v>S=D</x:v>
      </x:c>
      <x:c r="B208" s="309" t="str">
        <x:v>FNR</x:v>
      </x:c>
      <x:c r="C208" s="310" t="n">
        <x:f>IFERROR('Source rates'!$O$402,NA())</x:f>
        <x:v>0.2</x:v>
      </x:c>
      <x:c r="D208" s="317" t="n">
        <x:f>IFERROR('Source rates'!$O$403,NA())</x:f>
        <x:v>0.06666666666666667</x:v>
      </x:c>
      <x:c r="E208" s="310" t="n">
        <x:f>IFERROR('Source rates'!$O$404,NA())</x:f>
        <x:v>0.26666666666666666</x:v>
      </x:c>
      <x:c r="F208" s="310" t="n">
        <x:f>IFERROR('Source rates'!$O$405,NA())</x:f>
        <x:v>1</x:v>
      </x:c>
    </x:row>
    <x:row r="209" ht="20" customHeight="1">
      <x:c r="A209" s="309"/>
      <x:c r="B209" s="309" t="str">
        <x:v>FPR</x:v>
      </x:c>
      <x:c r="C209" s="310" t="n">
        <x:f>IFERROR('Source rates'!$P$402,NA())</x:f>
        <x:v>1</x:v>
      </x:c>
      <x:c r="D209" s="310" t="n">
        <x:f>IFERROR('Source rates'!$P$403,NA())</x:f>
        <x:v>1</x:v>
      </x:c>
      <x:c r="E209" s="317" t="n">
        <x:f>IFERROR('Source rates'!$P$404,NA())</x:f>
        <x:v>0</x:v>
      </x:c>
      <x:c r="F209" s="310" t="n">
        <x:f>IFERROR('Source rates'!$P$405,NA())</x:f>
        <x:v>0.5</x:v>
      </x:c>
    </x:row>
    <x:row r="210" ht="20" customHeight="1">
      <x:c r="A210" s="309"/>
      <x:c r="B210" s="309" t="str">
        <x:v>F1</x:v>
      </x:c>
      <x:c r="C210" s="310" t="n">
        <x:f>IFERROR('Source rates'!$Q$402,NA())</x:f>
        <x:v>0.8275862068965517</x:v>
      </x:c>
      <x:c r="D210" s="317" t="n">
        <x:f>IFERROR('Source rates'!$Q$403,NA())</x:f>
        <x:v>0.9032258064516129</x:v>
      </x:c>
      <x:c r="E210" s="310" t="n">
        <x:f>IFERROR('Source rates'!$Q$404,NA())</x:f>
        <x:v>0.8461538461538461</x:v>
      </x:c>
      <x:c r="F210" s="310" t="n">
        <x:f>IFERROR('Source rates'!$Q$405,NA())</x:f>
        <x:v>0</x:v>
      </x:c>
    </x:row>
    <x:row r="211" ht="20" customHeight="1">
      <x:c r="A211" s="309"/>
      <x:c r="B211" s="309" t="str">
        <x:v>AUC</x:v>
      </x:c>
      <x:c r="C211" s="310" t="n">
        <x:f>IFERROR('Source rates'!$R$402,NA())</x:f>
        <x:v>0.5</x:v>
      </x:c>
      <x:c r="D211" s="310" t="n">
        <x:f>IFERROR('Source rates'!$R$403,NA())</x:f>
        <x:v>0.43333333333333335</x:v>
      </x:c>
      <x:c r="E211" s="317" t="n">
        <x:f>IFERROR('Source rates'!$R$404,NA())</x:f>
        <x:v>0.7333333333333333</x:v>
      </x:c>
      <x:c r="F211" s="310" t="n">
        <x:f>IFERROR('Source rates'!$R$405,NA())</x:f>
        <x:v>0.13333333333333333</x:v>
      </x:c>
    </x:row>
    <x:row r="212" ht="20" customHeight="1">
      <x:c r="A212" s="314" t="str">
        <x:v>S=2D</x:v>
      </x:c>
      <x:c r="B212" s="314" t="str">
        <x:v>FNR</x:v>
      </x:c>
      <x:c r="C212" s="319" t="n">
        <x:f>IFERROR('Source rates'!$O$406,NA())</x:f>
        <x:v>0</x:v>
      </x:c>
      <x:c r="D212" s="319" t="n">
        <x:f>IFERROR('Source rates'!$O$407,NA())</x:f>
        <x:v>0</x:v>
      </x:c>
      <x:c r="E212" s="319" t="n">
        <x:f>IFERROR('Source rates'!$O$408,NA())</x:f>
        <x:v>0</x:v>
      </x:c>
      <x:c r="F212" s="315" t="n">
        <x:f>IFERROR('Source rates'!$O$409,NA())</x:f>
        <x:v>0.5</x:v>
      </x:c>
    </x:row>
    <x:row r="213" ht="20" customHeight="1">
      <x:c r="A213" s="314"/>
      <x:c r="B213" s="314" t="str">
        <x:v>FPR</x:v>
      </x:c>
      <x:c r="C213" s="315" t="n">
        <x:f>IFERROR('Source rates'!$P$406,NA())</x:f>
        <x:v>1</x:v>
      </x:c>
      <x:c r="D213" s="315" t="n">
        <x:f>IFERROR('Source rates'!$P$407,NA())</x:f>
        <x:v>1</x:v>
      </x:c>
      <x:c r="E213" s="315" t="n">
        <x:f>IFERROR('Source rates'!$P$408,NA())</x:f>
        <x:v>1</x:v>
      </x:c>
      <x:c r="F213" s="319" t="n">
        <x:f>IFERROR('Source rates'!$P$409,NA())</x:f>
        <x:v>0.2</x:v>
      </x:c>
    </x:row>
    <x:row r="214" ht="20" customHeight="1">
      <x:c r="A214" s="314"/>
      <x:c r="B214" s="314" t="str">
        <x:v>F1</x:v>
      </x:c>
      <x:c r="C214" s="319" t="n">
        <x:f>IFERROR('Source rates'!$Q$406,NA())</x:f>
        <x:v>0.8275862068965517</x:v>
      </x:c>
      <x:c r="D214" s="319" t="n">
        <x:f>IFERROR('Source rates'!$Q$407,NA())</x:f>
        <x:v>0.8275862068965517</x:v>
      </x:c>
      <x:c r="E214" s="319" t="n">
        <x:f>IFERROR('Source rates'!$Q$408,NA())</x:f>
        <x:v>0.8275862068965517</x:v>
      </x:c>
      <x:c r="F214" s="315" t="n">
        <x:f>IFERROR('Source rates'!$Q$409,NA())</x:f>
        <x:v>0.631578947368421</x:v>
      </x:c>
    </x:row>
    <x:row r="215" ht="20" customHeight="1">
      <x:c r="A215" s="314"/>
      <x:c r="B215" s="314" t="str">
        <x:v>AUC</x:v>
      </x:c>
      <x:c r="C215" s="319" t="n">
        <x:f>IFERROR('Source rates'!$R$406,NA())</x:f>
        <x:v>0.7</x:v>
      </x:c>
      <x:c r="D215" s="315" t="n">
        <x:f>IFERROR('Source rates'!$R$407,NA())</x:f>
        <x:v>0.6833333333333333</x:v>
      </x:c>
      <x:c r="E215" s="315" t="n">
        <x:f>IFERROR('Source rates'!$R$408,NA())</x:f>
        <x:v>0.6333333333333333</x:v>
      </x:c>
      <x:c r="F215" s="315" t="n">
        <x:f>IFERROR('Source rates'!$R$409,NA())</x:f>
        <x:v>0.6666666666666666</x:v>
      </x:c>
    </x:row>
    <x:row r="216" ht="20" customHeight="1">
      <x:c r="A216" s="309" t="str">
        <x:v>S=4D</x:v>
      </x:c>
      <x:c r="B216" s="309" t="str">
        <x:v>FNR</x:v>
      </x:c>
      <x:c r="C216" s="317" t="n">
        <x:f>IFERROR('Source rates'!$O$410,NA())</x:f>
        <x:v>0</x:v>
      </x:c>
      <x:c r="D216" s="310" t="n">
        <x:f>IFERROR('Source rates'!$O$411,NA())</x:f>
        <x:v>0.09090909090909091</x:v>
      </x:c>
      <x:c r="E216" s="317" t="n">
        <x:f>IFERROR('Source rates'!$O$412,NA())</x:f>
        <x:v>0</x:v>
      </x:c>
      <x:c r="F216" s="310" t="n">
        <x:f>IFERROR('Source rates'!$O$413,NA())</x:f>
        <x:v>0.45454545454545453</x:v>
      </x:c>
    </x:row>
    <x:row r="217" ht="20" customHeight="1">
      <x:c r="A217" s="309"/>
      <x:c r="B217" s="309" t="str">
        <x:v>FPR</x:v>
      </x:c>
      <x:c r="C217" s="310" t="n">
        <x:f>IFERROR('Source rates'!$P$410,NA())</x:f>
        <x:v>0.8333333333333334</x:v>
      </x:c>
      <x:c r="D217" s="310" t="n">
        <x:f>IFERROR('Source rates'!$P$411,NA())</x:f>
        <x:v>0.6666666666666666</x:v>
      </x:c>
      <x:c r="E217" s="310" t="n">
        <x:f>IFERROR('Source rates'!$P$412,NA())</x:f>
        <x:v>1</x:v>
      </x:c>
      <x:c r="F217" s="317" t="n">
        <x:f>IFERROR('Source rates'!$P$413,NA())</x:f>
        <x:v>0.5</x:v>
      </x:c>
    </x:row>
    <x:row r="218" ht="20" customHeight="1">
      <x:c r="A218" s="309"/>
      <x:c r="B218" s="309" t="str">
        <x:v>F1</x:v>
      </x:c>
      <x:c r="C218" s="317" t="n">
        <x:f>IFERROR('Source rates'!$Q$410,NA())</x:f>
        <x:v>0.8148148148148148</x:v>
      </x:c>
      <x:c r="D218" s="310" t="n">
        <x:f>IFERROR('Source rates'!$Q$411,NA())</x:f>
        <x:v>0.8</x:v>
      </x:c>
      <x:c r="E218" s="310" t="n">
        <x:f>IFERROR('Source rates'!$Q$412,NA())</x:f>
        <x:v>0.7857142857142857</x:v>
      </x:c>
      <x:c r="F218" s="310" t="n">
        <x:f>IFERROR('Source rates'!$Q$413,NA())</x:f>
        <x:v>0.6</x:v>
      </x:c>
    </x:row>
    <x:row r="219" ht="20" customHeight="1">
      <x:c r="A219" s="309"/>
      <x:c r="B219" s="309" t="str">
        <x:v>AUC</x:v>
      </x:c>
      <x:c r="C219" s="310" t="n">
        <x:f>IFERROR('Source rates'!$R$410,NA())</x:f>
        <x:v>0.6666666666666666</x:v>
      </x:c>
      <x:c r="D219" s="317" t="n">
        <x:f>IFERROR('Source rates'!$R$411,NA())</x:f>
        <x:v>0.7878787878787878</x:v>
      </x:c>
      <x:c r="E219" s="310" t="n">
        <x:f>IFERROR('Source rates'!$R$412,NA())</x:f>
        <x:v>0.696969696969697</x:v>
      </x:c>
      <x:c r="F219" s="310" t="n">
        <x:f>IFERROR('Source rates'!$R$413,NA())</x:f>
        <x:v>0.5757575757575758</x:v>
      </x:c>
    </x:row>
    <x:row r="220" ht="20" customHeight="1">
      <x:c r="A220" s="314" t="str">
        <x:v>S=6D</x:v>
      </x:c>
      <x:c r="B220" s="314" t="str">
        <x:v>FNR</x:v>
      </x:c>
      <x:c r="C220" s="315" t="n">
        <x:f>IFERROR('Source rates'!$O$414,NA())</x:f>
        <x:v>0.07142857142857142</x:v>
      </x:c>
      <x:c r="D220" s="315" t="n">
        <x:f>IFERROR('Source rates'!$O$415,NA())</x:f>
        <x:v>0.07142857142857142</x:v>
      </x:c>
      <x:c r="E220" s="319" t="n">
        <x:f>IFERROR('Source rates'!$O$416,NA())</x:f>
        <x:v>0</x:v>
      </x:c>
      <x:c r="F220" s="315" t="n">
        <x:f>IFERROR('Source rates'!$O$417,NA())</x:f>
        <x:v>0.7142857142857143</x:v>
      </x:c>
    </x:row>
    <x:row r="221" ht="20" customHeight="1">
      <x:c r="A221" s="314"/>
      <x:c r="B221" s="314" t="str">
        <x:v>FPR</x:v>
      </x:c>
      <x:c r="C221" s="315" t="n">
        <x:f>IFERROR('Source rates'!$P$414,NA())</x:f>
        <x:v>1</x:v>
      </x:c>
      <x:c r="D221" s="315" t="n">
        <x:f>IFERROR('Source rates'!$P$415,NA())</x:f>
        <x:v>1</x:v>
      </x:c>
      <x:c r="E221" s="315" t="n">
        <x:f>IFERROR('Source rates'!$P$416,NA())</x:f>
        <x:v>1</x:v>
      </x:c>
      <x:c r="F221" s="319" t="n">
        <x:f>IFERROR('Source rates'!$P$417,NA())</x:f>
        <x:v>0.3333333333333333</x:v>
      </x:c>
    </x:row>
    <x:row r="222" ht="20" customHeight="1">
      <x:c r="A222" s="314"/>
      <x:c r="B222" s="314" t="str">
        <x:v>F1</x:v>
      </x:c>
      <x:c r="C222" s="315" t="n">
        <x:f>IFERROR('Source rates'!$Q$414,NA())</x:f>
        <x:v>0.8666666666666667</x:v>
      </x:c>
      <x:c r="D222" s="315" t="n">
        <x:f>IFERROR('Source rates'!$Q$415,NA())</x:f>
        <x:v>0.8666666666666667</x:v>
      </x:c>
      <x:c r="E222" s="319" t="n">
        <x:f>IFERROR('Source rates'!$Q$416,NA())</x:f>
        <x:v>0.9032258064516129</x:v>
      </x:c>
      <x:c r="F222" s="315" t="n">
        <x:f>IFERROR('Source rates'!$Q$417,NA())</x:f>
        <x:v>0.42105263157894735</x:v>
      </x:c>
    </x:row>
    <x:row r="223" ht="20" customHeight="1">
      <x:c r="A223" s="314"/>
      <x:c r="B223" s="314" t="str">
        <x:v>AUC</x:v>
      </x:c>
      <x:c r="C223" s="315" t="n">
        <x:f>IFERROR('Source rates'!$R$414,NA())</x:f>
        <x:v>0.5952380952380952</x:v>
      </x:c>
      <x:c r="D223" s="315" t="n">
        <x:f>IFERROR('Source rates'!$R$415,NA())</x:f>
        <x:v>0.7142857142857143</x:v>
      </x:c>
      <x:c r="E223" s="319" t="n">
        <x:f>IFERROR('Source rates'!$R$416,NA())</x:f>
        <x:v>0.8571428571428571</x:v>
      </x:c>
      <x:c r="F223" s="315" t="n">
        <x:f>IFERROR('Source rates'!$R$417,NA())</x:f>
        <x:v>0.3333333333333333</x:v>
      </x:c>
    </x:row>
    <x:row r="225" ht="22" customHeight="1">
      <x:c r="A225" s="298" t="str">
        <x:v>Posterior MMD — Assumed M2</x:v>
      </x:c>
      <x:c r="B225" s="298"/>
      <x:c r="C225" s="298"/>
      <x:c r="D225" s="298"/>
      <x:c r="E225" s="298"/>
      <x:c r="F225" s="298"/>
    </x:row>
    <x:row r="226" ht="22" customHeight="1">
      <x:c r="A226" s="301" t="str">
        <x:v>ESS-filtered raw, network-specific NPE-MCMC interval [0, q95]</x:v>
      </x:c>
      <x:c r="B226" s="301"/>
      <x:c r="C226" s="301"/>
      <x:c r="D226" s="301"/>
      <x:c r="E226" s="301"/>
      <x:c r="F226" s="301"/>
    </x:row>
    <x:row r="227" ht="20" customHeight="1">
      <x:c r="A227" s="305" t="str">
        <x:v>Summary</x:v>
      </x:c>
      <x:c r="B227" s="305" t="str">
        <x:v>Statistic</x:v>
      </x:c>
      <x:c r="C227" s="305" t="str">
        <x:v>L2</x:v>
      </x:c>
      <x:c r="D227" s="305" t="str">
        <x:v>L∞</x:v>
      </x:c>
      <x:c r="E227" s="305" t="str">
        <x:v>Density</x:v>
      </x:c>
      <x:c r="F227" s="305" t="str">
        <x:v>MMD</x:v>
      </x:c>
    </x:row>
    <x:row r="228" ht="20" customHeight="1">
      <x:c r="A228" s="309" t="str">
        <x:v>S=D</x:v>
      </x:c>
      <x:c r="B228" s="309" t="str">
        <x:v>FNR</x:v>
      </x:c>
      <x:c r="C228" s="310" t="n">
        <x:f>IFERROR('Source rates'!$O$418,NA())</x:f>
        <x:v>0.3333333333333333</x:v>
      </x:c>
      <x:c r="D228" s="310" t="n">
        <x:f>IFERROR('Source rates'!$O$419,NA())</x:f>
        <x:v>0.7333333333333333</x:v>
      </x:c>
      <x:c r="E228" s="317" t="n">
        <x:f>IFERROR('Source rates'!$O$420,NA())</x:f>
        <x:v>0.26666666666666666</x:v>
      </x:c>
      <x:c r="F228" s="310" t="n">
        <x:f>IFERROR('Source rates'!$O$421,NA())</x:f>
        <x:v>0.8666666666666667</x:v>
      </x:c>
    </x:row>
    <x:row r="229" ht="20" customHeight="1">
      <x:c r="A229" s="309"/>
      <x:c r="B229" s="309" t="str">
        <x:v>FPR</x:v>
      </x:c>
      <x:c r="C229" s="310" t="n">
        <x:f>IFERROR('Source rates'!$P$418,NA())</x:f>
        <x:v>1</x:v>
      </x:c>
      <x:c r="D229" s="310" t="n">
        <x:f>IFERROR('Source rates'!$P$419,NA())</x:f>
        <x:v>0.5</x:v>
      </x:c>
      <x:c r="E229" s="317" t="n">
        <x:f>IFERROR('Source rates'!$P$420,NA())</x:f>
        <x:v>0</x:v>
      </x:c>
      <x:c r="F229" s="317" t="n">
        <x:f>IFERROR('Source rates'!$P$421,NA())</x:f>
        <x:v>0</x:v>
      </x:c>
    </x:row>
    <x:row r="230" ht="20" customHeight="1">
      <x:c r="A230" s="309"/>
      <x:c r="B230" s="309" t="str">
        <x:v>F1</x:v>
      </x:c>
      <x:c r="C230" s="310" t="n">
        <x:f>IFERROR('Source rates'!$Q$418,NA())</x:f>
        <x:v>0.7407407407407407</x:v>
      </x:c>
      <x:c r="D230" s="310" t="n">
        <x:f>IFERROR('Source rates'!$Q$419,NA())</x:f>
        <x:v>0.4</x:v>
      </x:c>
      <x:c r="E230" s="317" t="n">
        <x:f>IFERROR('Source rates'!$Q$420,NA())</x:f>
        <x:v>0.8461538461538461</x:v>
      </x:c>
      <x:c r="F230" s="310" t="n">
        <x:f>IFERROR('Source rates'!$Q$421,NA())</x:f>
        <x:v>0.23529411764705882</x:v>
      </x:c>
    </x:row>
    <x:row r="231" ht="20" customHeight="1">
      <x:c r="A231" s="309"/>
      <x:c r="B231" s="309" t="str">
        <x:v>AUC</x:v>
      </x:c>
      <x:c r="C231" s="310" t="n">
        <x:f>IFERROR('Source rates'!$R$418,NA())</x:f>
        <x:v>0.3</x:v>
      </x:c>
      <x:c r="D231" s="310" t="n">
        <x:f>IFERROR('Source rates'!$R$419,NA())</x:f>
        <x:v>0.36666666666666664</x:v>
      </x:c>
      <x:c r="E231" s="317" t="n">
        <x:f>IFERROR('Source rates'!$R$420,NA())</x:f>
        <x:v>0.9333333333333333</x:v>
      </x:c>
      <x:c r="F231" s="310" t="n">
        <x:f>IFERROR('Source rates'!$R$421,NA())</x:f>
        <x:v>0.3</x:v>
      </x:c>
    </x:row>
    <x:row r="232" ht="20" customHeight="1">
      <x:c r="A232" s="314" t="str">
        <x:v>S=2D</x:v>
      </x:c>
      <x:c r="B232" s="314" t="str">
        <x:v>FNR</x:v>
      </x:c>
      <x:c r="C232" s="315" t="n">
        <x:f>IFERROR('Source rates'!$O$422,NA())</x:f>
        <x:v>0.5</x:v>
      </x:c>
      <x:c r="D232" s="319" t="n">
        <x:f>IFERROR('Source rates'!$O$423,NA())</x:f>
        <x:v>0</x:v>
      </x:c>
      <x:c r="E232" s="319" t="n">
        <x:f>IFERROR('Source rates'!$O$424,NA())</x:f>
        <x:v>0</x:v>
      </x:c>
      <x:c r="F232" s="315" t="n">
        <x:f>IFERROR('Source rates'!$O$425,NA())</x:f>
        <x:v>0.9375</x:v>
      </x:c>
    </x:row>
    <x:row r="233" ht="20" customHeight="1">
      <x:c r="A233" s="314"/>
      <x:c r="B233" s="314" t="str">
        <x:v>FPR</x:v>
      </x:c>
      <x:c r="C233" s="319" t="n">
        <x:f>IFERROR('Source rates'!$P$422,NA())</x:f>
        <x:v>0</x:v>
      </x:c>
      <x:c r="D233" s="315" t="n">
        <x:f>IFERROR('Source rates'!$P$423,NA())</x:f>
        <x:v>1</x:v>
      </x:c>
      <x:c r="E233" s="315" t="n">
        <x:f>IFERROR('Source rates'!$P$424,NA())</x:f>
        <x:v>1</x:v>
      </x:c>
      <x:c r="F233" s="319" t="n">
        <x:f>IFERROR('Source rates'!$P$425,NA())</x:f>
        <x:v>0</x:v>
      </x:c>
    </x:row>
    <x:row r="234" ht="20" customHeight="1">
      <x:c r="A234" s="314"/>
      <x:c r="B234" s="314" t="str">
        <x:v>F1</x:v>
      </x:c>
      <x:c r="C234" s="315" t="n">
        <x:f>IFERROR('Source rates'!$Q$422,NA())</x:f>
        <x:v>0.6666666666666666</x:v>
      </x:c>
      <x:c r="D234" s="319" t="n">
        <x:f>IFERROR('Source rates'!$Q$423,NA())</x:f>
        <x:v>0.9696969696969697</x:v>
      </x:c>
      <x:c r="E234" s="319" t="n">
        <x:f>IFERROR('Source rates'!$Q$424,NA())</x:f>
        <x:v>0.9696969696969697</x:v>
      </x:c>
      <x:c r="F234" s="315" t="n">
        <x:f>IFERROR('Source rates'!$Q$425,NA())</x:f>
        <x:v>0.11764705882352941</x:v>
      </x:c>
    </x:row>
    <x:row r="235" ht="20" customHeight="1">
      <x:c r="A235" s="314"/>
      <x:c r="B235" s="314" t="str">
        <x:v>AUC</x:v>
      </x:c>
      <x:c r="C235" s="315" t="n">
        <x:f>IFERROR('Source rates'!$R$422,NA())</x:f>
        <x:v>0.8125</x:v>
      </x:c>
      <x:c r="D235" s="315" t="n">
        <x:f>IFERROR('Source rates'!$R$423,NA())</x:f>
        <x:v>0.9375</x:v>
      </x:c>
      <x:c r="E235" s="315" t="n">
        <x:f>IFERROR('Source rates'!$R$424,NA())</x:f>
        <x:v>0.5</x:v>
      </x:c>
      <x:c r="F235" s="319" t="n">
        <x:f>IFERROR('Source rates'!$R$425,NA())</x:f>
        <x:v>1</x:v>
      </x:c>
    </x:row>
    <x:row r="236" ht="20" customHeight="1">
      <x:c r="A236" s="309" t="str">
        <x:v>S=4D</x:v>
      </x:c>
      <x:c r="B236" s="309" t="str">
        <x:v>FNR</x:v>
      </x:c>
      <x:c r="C236" s="310" t="n">
        <x:f>IFERROR('Source rates'!$O$426,NA())</x:f>
        <x:v>0.07142857142857142</x:v>
      </x:c>
      <x:c r="D236" s="310" t="n">
        <x:f>IFERROR('Source rates'!$O$427,NA())</x:f>
        <x:v>0.07142857142857142</x:v>
      </x:c>
      <x:c r="E236" s="317" t="n">
        <x:f>IFERROR('Source rates'!$O$428,NA())</x:f>
        <x:v>0</x:v>
      </x:c>
      <x:c r="F236" s="310" t="n">
        <x:f>IFERROR('Source rates'!$O$429,NA())</x:f>
        <x:v>0.9285714285714286</x:v>
      </x:c>
    </x:row>
    <x:row r="237" ht="20" customHeight="1">
      <x:c r="A237" s="309"/>
      <x:c r="B237" s="309" t="str">
        <x:v>FPR</x:v>
      </x:c>
      <x:c r="C237" s="310" t="n">
        <x:f>IFERROR('Source rates'!$P$426,NA())</x:f>
        <x:v>0.6666666666666666</x:v>
      </x:c>
      <x:c r="D237" s="310" t="n">
        <x:f>IFERROR('Source rates'!$P$427,NA())</x:f>
        <x:v>0.6666666666666666</x:v>
      </x:c>
      <x:c r="E237" s="310" t="n">
        <x:f>IFERROR('Source rates'!$P$428,NA())</x:f>
        <x:v>1</x:v>
      </x:c>
      <x:c r="F237" s="317" t="n">
        <x:f>IFERROR('Source rates'!$P$429,NA())</x:f>
        <x:v>0</x:v>
      </x:c>
    </x:row>
    <x:row r="238" ht="20" customHeight="1">
      <x:c r="A238" s="309"/>
      <x:c r="B238" s="309" t="str">
        <x:v>F1</x:v>
      </x:c>
      <x:c r="C238" s="310" t="n">
        <x:f>IFERROR('Source rates'!$Q$426,NA())</x:f>
        <x:v>0.896551724137931</x:v>
      </x:c>
      <x:c r="D238" s="310" t="n">
        <x:f>IFERROR('Source rates'!$Q$427,NA())</x:f>
        <x:v>0.896551724137931</x:v>
      </x:c>
      <x:c r="E238" s="317" t="n">
        <x:f>IFERROR('Source rates'!$Q$428,NA())</x:f>
        <x:v>0.9032258064516129</x:v>
      </x:c>
      <x:c r="F238" s="310" t="n">
        <x:f>IFERROR('Source rates'!$Q$429,NA())</x:f>
        <x:v>0.13333333333333333</x:v>
      </x:c>
    </x:row>
    <x:row r="239" ht="20" customHeight="1">
      <x:c r="A239" s="309"/>
      <x:c r="B239" s="309" t="str">
        <x:v>AUC</x:v>
      </x:c>
      <x:c r="C239" s="310" t="n">
        <x:f>IFERROR('Source rates'!$R$426,NA())</x:f>
        <x:v>0.6904761904761905</x:v>
      </x:c>
      <x:c r="D239" s="310" t="n">
        <x:f>IFERROR('Source rates'!$R$427,NA())</x:f>
        <x:v>0.8571428571428571</x:v>
      </x:c>
      <x:c r="E239" s="317" t="n">
        <x:f>IFERROR('Source rates'!$R$428,NA())</x:f>
        <x:v>0.8809523809523809</x:v>
      </x:c>
      <x:c r="F239" s="310" t="n">
        <x:f>IFERROR('Source rates'!$R$429,NA())</x:f>
        <x:v>0.5476190476190477</x:v>
      </x:c>
    </x:row>
    <x:row r="240" ht="20" customHeight="1">
      <x:c r="A240" s="314" t="str">
        <x:v>S=6D</x:v>
      </x:c>
      <x:c r="B240" s="314" t="str">
        <x:v>FNR</x:v>
      </x:c>
      <x:c r="C240" s="315" t="n">
        <x:f>IFERROR('Source rates'!$O$430,NA())</x:f>
        <x:v>0.4</x:v>
      </x:c>
      <x:c r="D240" s="315" t="n">
        <x:f>IFERROR('Source rates'!$O$431,NA())</x:f>
        <x:v>0.8</x:v>
      </x:c>
      <x:c r="E240" s="319" t="n">
        <x:f>IFERROR('Source rates'!$O$432,NA())</x:f>
        <x:v>0</x:v>
      </x:c>
      <x:c r="F240" s="315" t="n">
        <x:f>IFERROR('Source rates'!$O$433,NA())</x:f>
        <x:v>0.9333333333333333</x:v>
      </x:c>
    </x:row>
    <x:row r="241" ht="20" customHeight="1">
      <x:c r="A241" s="314"/>
      <x:c r="B241" s="314" t="str">
        <x:v>FPR</x:v>
      </x:c>
      <x:c r="C241" s="315" t="n">
        <x:f>IFERROR('Source rates'!$P$430,NA())</x:f>
        <x:v>0.5</x:v>
      </x:c>
      <x:c r="D241" s="319" t="n">
        <x:f>IFERROR('Source rates'!$P$431,NA())</x:f>
        <x:v>0</x:v>
      </x:c>
      <x:c r="E241" s="315" t="n">
        <x:f>IFERROR('Source rates'!$P$432,NA())</x:f>
        <x:v>1</x:v>
      </x:c>
      <x:c r="F241" s="319" t="n">
        <x:f>IFERROR('Source rates'!$P$433,NA())</x:f>
        <x:v>0</x:v>
      </x:c>
    </x:row>
    <x:row r="242" ht="20" customHeight="1">
      <x:c r="A242" s="314"/>
      <x:c r="B242" s="314" t="str">
        <x:v>F1</x:v>
      </x:c>
      <x:c r="C242" s="315" t="n">
        <x:f>IFERROR('Source rates'!$Q$430,NA())</x:f>
        <x:v>0.72</x:v>
      </x:c>
      <x:c r="D242" s="315" t="n">
        <x:f>IFERROR('Source rates'!$Q$431,NA())</x:f>
        <x:v>0.3333333333333333</x:v>
      </x:c>
      <x:c r="E242" s="319" t="n">
        <x:f>IFERROR('Source rates'!$Q$432,NA())</x:f>
        <x:v>0.9375</x:v>
      </x:c>
      <x:c r="F242" s="315" t="n">
        <x:f>IFERROR('Source rates'!$Q$433,NA())</x:f>
        <x:v>0.125</x:v>
      </x:c>
    </x:row>
    <x:row r="243" ht="20" customHeight="1">
      <x:c r="A243" s="314"/>
      <x:c r="B243" s="314" t="str">
        <x:v>AUC</x:v>
      </x:c>
      <x:c r="C243" s="315" t="n">
        <x:f>IFERROR('Source rates'!$R$430,NA())</x:f>
        <x:v>0.5333333333333333</x:v>
      </x:c>
      <x:c r="D243" s="315" t="n">
        <x:f>IFERROR('Source rates'!$R$431,NA())</x:f>
        <x:v>0.4666666666666667</x:v>
      </x:c>
      <x:c r="E243" s="319" t="n">
        <x:f>IFERROR('Source rates'!$R$432,NA())</x:f>
        <x:v>0.6</x:v>
      </x:c>
      <x:c r="F243" s="319" t="n">
        <x:f>IFERROR('Source rates'!$R$433,NA())</x:f>
        <x:v>0.6</x:v>
      </x:c>
    </x:row>
  </x:sheetData>
  <x:mergeCells>
    <x:mergeCell ref="A1:F1"/>
    <x:mergeCell ref="A2:F3"/>
    <x:mergeCell ref="A5:F5"/>
    <x:mergeCell ref="A6:F6"/>
    <x:mergeCell ref="A8:A11"/>
    <x:mergeCell ref="A12:A15"/>
    <x:mergeCell ref="A16:A19"/>
    <x:mergeCell ref="A20:A23"/>
    <x:mergeCell ref="A25:F25"/>
    <x:mergeCell ref="A26:F26"/>
    <x:mergeCell ref="A28:A31"/>
    <x:mergeCell ref="A32:A35"/>
    <x:mergeCell ref="A36:A39"/>
    <x:mergeCell ref="A40:A43"/>
    <x:mergeCell ref="A45:F45"/>
    <x:mergeCell ref="A46:F46"/>
    <x:mergeCell ref="A48:A51"/>
    <x:mergeCell ref="A52:A55"/>
    <x:mergeCell ref="A56:A59"/>
    <x:mergeCell ref="A60:A63"/>
    <x:mergeCell ref="A65:F65"/>
    <x:mergeCell ref="A66:F66"/>
    <x:mergeCell ref="A68:A71"/>
    <x:mergeCell ref="A72:A75"/>
    <x:mergeCell ref="A76:A79"/>
    <x:mergeCell ref="A80:A83"/>
    <x:mergeCell ref="A85:F85"/>
    <x:mergeCell ref="A86:F86"/>
    <x:mergeCell ref="A88:A91"/>
    <x:mergeCell ref="A92:A95"/>
    <x:mergeCell ref="A96:A99"/>
    <x:mergeCell ref="A100:A103"/>
    <x:mergeCell ref="A105:F105"/>
    <x:mergeCell ref="A106:F106"/>
    <x:mergeCell ref="A108:A111"/>
    <x:mergeCell ref="A112:A115"/>
    <x:mergeCell ref="A116:A119"/>
    <x:mergeCell ref="A120:A123"/>
    <x:mergeCell ref="A125:F125"/>
    <x:mergeCell ref="A126:F126"/>
    <x:mergeCell ref="A128:A131"/>
    <x:mergeCell ref="A132:A135"/>
    <x:mergeCell ref="A136:A139"/>
    <x:mergeCell ref="A140:A143"/>
    <x:mergeCell ref="A145:F145"/>
    <x:mergeCell ref="A146:F146"/>
    <x:mergeCell ref="A148:A151"/>
    <x:mergeCell ref="A152:A155"/>
    <x:mergeCell ref="A156:A159"/>
    <x:mergeCell ref="A160:A163"/>
    <x:mergeCell ref="A165:F165"/>
    <x:mergeCell ref="A166:F166"/>
    <x:mergeCell ref="A168:A171"/>
    <x:mergeCell ref="A172:A175"/>
    <x:mergeCell ref="A176:A179"/>
    <x:mergeCell ref="A180:A183"/>
    <x:mergeCell ref="A185:F185"/>
    <x:mergeCell ref="A186:F186"/>
    <x:mergeCell ref="A188:A191"/>
    <x:mergeCell ref="A192:A195"/>
    <x:mergeCell ref="A196:A199"/>
    <x:mergeCell ref="A200:A203"/>
    <x:mergeCell ref="A205:F205"/>
    <x:mergeCell ref="A206:F206"/>
    <x:mergeCell ref="A208:A211"/>
    <x:mergeCell ref="A212:A215"/>
    <x:mergeCell ref="A216:A219"/>
    <x:mergeCell ref="A220:A223"/>
    <x:mergeCell ref="A225:F225"/>
    <x:mergeCell ref="A226:F226"/>
    <x:mergeCell ref="A228:A231"/>
    <x:mergeCell ref="A232:A235"/>
    <x:mergeCell ref="A236:A239"/>
    <x:mergeCell ref="A240:A24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178" t="str">
        <x:v>Gaussian case study — Simulated data</x:v>
      </x:c>
      <x:c r="B1" s="178"/>
      <x:c r="C1" s="178"/>
      <x:c r="D1" s="178"/>
      <x:c r="E1" s="178"/>
      <x:c r="F1" s="178"/>
    </x:row>
    <x:row r="2" ht="24" customHeight="1">
      <x:c r="A2" s="182" t="str">
        <x:v>All classifications use raw, network-specific well-specified reference thresholds. FNR=FN/(FN+TP); FPR=FP/(FP+TN); F1=2TP/(2TP+FP+FN). AUC=ROC-AUC(1[raw error &lt; L or raw error &gt; U], rho). N/A means AUC is undefined because only one error class is present.</x:v>
      </x:c>
      <x:c r="B2" s="182"/>
      <x:c r="C2" s="182"/>
      <x:c r="D2" s="182"/>
      <x:c r="E2" s="182"/>
      <x:c r="F2" s="182"/>
    </x:row>
    <x:row r="3" ht="24" customHeight="1">
      <x:c r="A3" s="182"/>
      <x:c r="B3" s="182"/>
      <x:c r="C3" s="182"/>
      <x:c r="D3" s="182"/>
      <x:c r="E3" s="182"/>
      <x:c r="F3" s="182"/>
    </x:row>
    <x:row r="4">
      <x:c r="A4" s="204"/>
      <x:c r="B4" s="204"/>
      <x:c r="C4" s="204"/>
      <x:c r="D4" s="204"/>
      <x:c r="E4" s="204"/>
      <x:c r="F4" s="204"/>
    </x:row>
    <x:row r="5" ht="22" customHeight="1">
      <x:c r="A5" s="187" t="str">
        <x:v>Signed logML error — Assumed M1</x:v>
      </x:c>
      <x:c r="B5" s="187"/>
      <x:c r="C5" s="187"/>
      <x:c r="D5" s="187"/>
      <x:c r="E5" s="187"/>
      <x:c r="F5" s="187"/>
    </x:row>
    <x:row r="6">
      <x:c r="A6" s="205" t="str">
        <x:v>Raw, network-specific NPE–analytical central 90% interval [q5, q95]</x:v>
      </x:c>
      <x:c r="B6" s="205"/>
      <x:c r="C6" s="205"/>
      <x:c r="D6" s="205"/>
      <x:c r="E6" s="205"/>
      <x:c r="F6" s="205"/>
    </x:row>
    <x:row r="7">
      <x:c r="A7" s="206" t="str">
        <x:v>Summary</x:v>
      </x:c>
      <x:c r="B7" s="206" t="str">
        <x:v>Statistic</x:v>
      </x:c>
      <x:c r="C7" s="206" t="str">
        <x:v>L2</x:v>
      </x:c>
      <x:c r="D7" s="206" t="str">
        <x:v>L∞</x:v>
      </x:c>
      <x:c r="E7" s="206" t="str">
        <x:v>Density</x:v>
      </x:c>
      <x:c r="F7" s="206" t="str">
        <x:v>MMD</x:v>
      </x:c>
    </x:row>
    <x:row r="8">
      <x:c r="A8" s="198" t="str">
        <x:v>S=D</x:v>
      </x:c>
      <x:c r="B8" s="198" t="str">
        <x:v>FNR</x:v>
      </x:c>
      <x:c r="C8" s="200" t="n">
        <x:f>'Source rates'!O194</x:f>
        <x:v>0.4713541666666667</x:v>
      </x:c>
      <x:c r="D8" s="325" t="n">
        <x:f>'Source rates'!O195</x:f>
        <x:v>0.4909090909090909</x:v>
      </x:c>
      <x:c r="E8" s="325" t="n">
        <x:f>'Source rates'!O196</x:f>
        <x:v>0.5442708333333334</x:v>
      </x:c>
      <x:c r="F8" s="200" t="n">
        <x:f>'Source rates'!O197</x:f>
        <x:v>0.4713541666666667</x:v>
      </x:c>
    </x:row>
    <x:row r="9">
      <x:c r="A9" s="198" t="str"/>
      <x:c r="B9" s="198" t="str">
        <x:v>FPR</x:v>
      </x:c>
      <x:c r="C9" s="325" t="n">
        <x:f>'Source rates'!P194</x:f>
        <x:v>0.037037037037037035</x:v>
      </x:c>
      <x:c r="D9" s="325" t="n">
        <x:f>'Source rates'!P195</x:f>
        <x:v>0.05116279069767442</x:v>
      </x:c>
      <x:c r="E9" s="200" t="n">
        <x:f>'Source rates'!P196</x:f>
        <x:v>0.027777777777777776</x:v>
      </x:c>
      <x:c r="F9" s="325" t="n">
        <x:f>'Source rates'!P197</x:f>
        <x:v>0.046296296296296294</x:v>
      </x:c>
    </x:row>
    <x:row r="10">
      <x:c r="A10" s="198" t="str"/>
      <x:c r="B10" s="198" t="str">
        <x:v>F1</x:v>
      </x:c>
      <x:c r="C10" s="200" t="n">
        <x:f>'Source rates'!Q194</x:f>
        <x:v>0.6823529411764706</x:v>
      </x:c>
      <x:c r="D10" s="325" t="n">
        <x:f>'Source rates'!Q195</x:f>
        <x:v>0.6621621621621622</x:v>
      </x:c>
      <x:c r="E10" s="325" t="n">
        <x:f>'Source rates'!Q196</x:f>
        <x:v>0.6194690265486725</x:v>
      </x:c>
      <x:c r="F10" s="325" t="n">
        <x:f>'Source rates'!Q197</x:f>
        <x:v>0.6800670016750419</x:v>
      </x:c>
    </x:row>
    <x:row r="11">
      <x:c r="A11" s="198" t="str"/>
      <x:c r="B11" s="198" t="str">
        <x:v>AUC</x:v>
      </x:c>
      <x:c r="C11" s="325" t="n">
        <x:f>'Source rates'!R194</x:f>
        <x:v>0.7941984953703703</x:v>
      </x:c>
      <x:c r="D11" s="325" t="n">
        <x:f>'Source rates'!R195</x:f>
        <x:v>0.8054726668680157</x:v>
      </x:c>
      <x:c r="E11" s="200" t="n">
        <x:f>'Source rates'!R196</x:f>
        <x:v>0.8228443287037037</x:v>
      </x:c>
      <x:c r="F11" s="325" t="n">
        <x:f>'Source rates'!R197</x:f>
        <x:v>0.7895688657407407</x:v>
      </x:c>
    </x:row>
    <x:row r="12">
      <x:c r="A12" s="201" t="str">
        <x:v>S=2D</x:v>
      </x:c>
      <x:c r="B12" s="201" t="str">
        <x:v>FNR</x:v>
      </x:c>
      <x:c r="C12" s="326" t="n">
        <x:f>'Source rates'!O198</x:f>
        <x:v>0.14917127071823205</x:v>
      </x:c>
      <x:c r="D12" s="326" t="n">
        <x:f>'Source rates'!O199</x:f>
        <x:v>0.27197802197802196</x:v>
      </x:c>
      <x:c r="E12" s="203" t="n">
        <x:f>'Source rates'!O200</x:f>
        <x:v>0.11049723756906077</x:v>
      </x:c>
      <x:c r="F12" s="326" t="n">
        <x:f>'Source rates'!O201</x:f>
        <x:v>0.43370165745856354</x:v>
      </x:c>
    </x:row>
    <x:row r="13">
      <x:c r="A13" s="201" t="str"/>
      <x:c r="B13" s="201" t="str">
        <x:v>FPR</x:v>
      </x:c>
      <x:c r="C13" s="326" t="n">
        <x:f>'Source rates'!P198</x:f>
        <x:v>0.17647058823529413</x:v>
      </x:c>
      <x:c r="D13" s="203" t="n">
        <x:f>'Source rates'!P199</x:f>
        <x:v>0.05508474576271186</x:v>
      </x:c>
      <x:c r="E13" s="326" t="n">
        <x:f>'Source rates'!P200</x:f>
        <x:v>0.3403361344537815</x:v>
      </x:c>
      <x:c r="F13" s="326" t="n">
        <x:f>'Source rates'!P201</x:f>
        <x:v>0.13865546218487396</x:v>
      </x:c>
    </x:row>
    <x:row r="14">
      <x:c r="A14" s="201" t="str"/>
      <x:c r="B14" s="201" t="str">
        <x:v>F1</x:v>
      </x:c>
      <x:c r="C14" s="203" t="n">
        <x:f>'Source rates'!Q198</x:f>
        <x:v>0.8651685393258427</x:v>
      </x:c>
      <x:c r="D14" s="326" t="n">
        <x:f>'Source rates'!Q199</x:f>
        <x:v>0.8255451713395638</x:v>
      </x:c>
      <x:c r="E14" s="326" t="n">
        <x:f>'Source rates'!Q200</x:f>
        <x:v>0.8418300653594771</x:v>
      </x:c>
      <x:c r="F14" s="326" t="n">
        <x:f>'Source rates'!Q201</x:f>
        <x:v>0.6833333333333333</x:v>
      </x:c>
    </x:row>
    <x:row r="15">
      <x:c r="A15" s="201" t="str"/>
      <x:c r="B15" s="201" t="str">
        <x:v>AUC</x:v>
      </x:c>
      <x:c r="C15" s="326" t="n">
        <x:f>'Source rates'!R198</x:f>
        <x:v>0.8988462788430289</x:v>
      </x:c>
      <x:c r="D15" s="203" t="n">
        <x:f>'Source rates'!R199</x:f>
        <x:v>0.9079321102626188</x:v>
      </x:c>
      <x:c r="E15" s="326" t="n">
        <x:f>'Source rates'!R200</x:f>
        <x:v>0.8809485120014857</x:v>
      </x:c>
      <x:c r="F15" s="326" t="n">
        <x:f>'Source rates'!R201</x:f>
        <x:v>0.7179302660290635</x:v>
      </x:c>
    </x:row>
    <x:row r="16">
      <x:c r="A16" s="198" t="str">
        <x:v>S=4D</x:v>
      </x:c>
      <x:c r="B16" s="198" t="str">
        <x:v>FNR</x:v>
      </x:c>
      <x:c r="C16" s="325" t="n">
        <x:f>'Source rates'!O202</x:f>
        <x:v>0.045871559633027525</x:v>
      </x:c>
      <x:c r="D16" s="325" t="n">
        <x:f>'Source rates'!O203</x:f>
        <x:v>0.11041009463722397</x:v>
      </x:c>
      <x:c r="E16" s="200" t="n">
        <x:f>'Source rates'!O204</x:f>
        <x:v>0.039755351681957186</x:v>
      </x:c>
      <x:c r="F16" s="325" t="n">
        <x:f>'Source rates'!O205</x:f>
        <x:v>0.28134556574923547</x:v>
      </x:c>
    </x:row>
    <x:row r="17">
      <x:c r="A17" s="198" t="str"/>
      <x:c r="B17" s="198" t="str">
        <x:v>FPR</x:v>
      </x:c>
      <x:c r="C17" s="325" t="n">
        <x:f>'Source rates'!P202</x:f>
        <x:v>0.315018315018315</x:v>
      </x:c>
      <x:c r="D17" s="200" t="n">
        <x:f>'Source rates'!P203</x:f>
        <x:v>0.18374558303886926</x:v>
      </x:c>
      <x:c r="E17" s="325" t="n">
        <x:f>'Source rates'!P204</x:f>
        <x:v>0.4358974358974359</x:v>
      </x:c>
      <x:c r="F17" s="325" t="n">
        <x:f>'Source rates'!P205</x:f>
        <x:v>0.21978021978021978</x:v>
      </x:c>
    </x:row>
    <x:row r="18">
      <x:c r="A18" s="198" t="str"/>
      <x:c r="B18" s="198" t="str">
        <x:v>F1</x:v>
      </x:c>
      <x:c r="C18" s="325" t="n">
        <x:f>'Source rates'!Q202</x:f>
        <x:v>0.8606896551724138</x:v>
      </x:c>
      <x:c r="D18" s="200" t="n">
        <x:f>'Source rates'!Q203</x:f>
        <x:v>0.8663594470046083</x:v>
      </x:c>
      <x:c r="E18" s="325" t="n">
        <x:f>'Source rates'!Q204</x:f>
        <x:v>0.8263157894736842</x:v>
      </x:c>
      <x:c r="F18" s="325" t="n">
        <x:f>'Source rates'!Q205</x:f>
        <x:v>0.7556270096463023</x:v>
      </x:c>
    </x:row>
    <x:row r="19">
      <x:c r="A19" s="198" t="str"/>
      <x:c r="B19" s="198" t="str">
        <x:v>AUC</x:v>
      </x:c>
      <x:c r="C19" s="200" t="n">
        <x:f>'Source rates'!R202</x:f>
        <x:v>0.953377916680669</x:v>
      </x:c>
      <x:c r="D19" s="325" t="n">
        <x:f>'Source rates'!R203</x:f>
        <x:v>0.9427717894126696</x:v>
      </x:c>
      <x:c r="E19" s="325" t="n">
        <x:f>'Source rates'!R204</x:f>
        <x:v>0.9165350449754119</x:v>
      </x:c>
      <x:c r="F19" s="325" t="n">
        <x:f>'Source rates'!R205</x:f>
        <x:v>0.8147662734818698</x:v>
      </x:c>
    </x:row>
    <x:row r="20">
      <x:c r="A20" s="204"/>
      <x:c r="B20" s="204"/>
      <x:c r="C20" s="204"/>
      <x:c r="D20" s="204"/>
      <x:c r="E20" s="204"/>
      <x:c r="F20" s="204"/>
    </x:row>
    <x:row r="21" ht="22" customHeight="1">
      <x:c r="A21" s="187" t="str">
        <x:v>Signed logML error — Assumed M2</x:v>
      </x:c>
      <x:c r="B21" s="187"/>
      <x:c r="C21" s="187"/>
      <x:c r="D21" s="187"/>
      <x:c r="E21" s="187"/>
      <x:c r="F21" s="187"/>
    </x:row>
    <x:row r="22">
      <x:c r="A22" s="205" t="str">
        <x:v>Raw, network-specific NPE–analytical central 90% interval [q5, q95]</x:v>
      </x:c>
      <x:c r="B22" s="205"/>
      <x:c r="C22" s="205"/>
      <x:c r="D22" s="205"/>
      <x:c r="E22" s="205"/>
      <x:c r="F22" s="205"/>
    </x:row>
    <x:row r="23">
      <x:c r="A23" s="206" t="str">
        <x:v>Summary</x:v>
      </x:c>
      <x:c r="B23" s="206" t="str">
        <x:v>Statistic</x:v>
      </x:c>
      <x:c r="C23" s="206" t="str">
        <x:v>L2</x:v>
      </x:c>
      <x:c r="D23" s="206" t="str">
        <x:v>L∞</x:v>
      </x:c>
      <x:c r="E23" s="206" t="str">
        <x:v>Density</x:v>
      </x:c>
      <x:c r="F23" s="206" t="str">
        <x:v>MMD</x:v>
      </x:c>
    </x:row>
    <x:row r="24">
      <x:c r="A24" s="198" t="str">
        <x:v>S=D</x:v>
      </x:c>
      <x:c r="B24" s="198" t="str">
        <x:v>FNR</x:v>
      </x:c>
      <x:c r="C24" s="325" t="n">
        <x:f>'Source rates'!O206</x:f>
        <x:v>0.1038961038961039</x:v>
      </x:c>
      <x:c r="D24" s="325" t="n">
        <x:f>'Source rates'!O207</x:f>
        <x:v>0.16945996275605213</x:v>
      </x:c>
      <x:c r="E24" s="325" t="n">
        <x:f>'Source rates'!O208</x:f>
        <x:v>0.1836734693877551</x:v>
      </x:c>
      <x:c r="F24" s="200" t="n">
        <x:f>'Source rates'!O209</x:f>
        <x:v>0.10018552875695733</x:v>
      </x:c>
    </x:row>
    <x:row r="25">
      <x:c r="A25" s="198" t="str"/>
      <x:c r="B25" s="198" t="str">
        <x:v>FPR</x:v>
      </x:c>
      <x:c r="C25" s="325" t="n">
        <x:f>'Source rates'!P206</x:f>
        <x:v>0.2786885245901639</x:v>
      </x:c>
      <x:c r="D25" s="325" t="n">
        <x:f>'Source rates'!P207</x:f>
        <x:v>0.31746031746031744</x:v>
      </x:c>
      <x:c r="E25" s="200" t="n">
        <x:f>'Source rates'!P208</x:f>
        <x:v>0.19672131147540983</x:v>
      </x:c>
      <x:c r="F25" s="325" t="n">
        <x:f>'Source rates'!P209</x:f>
        <x:v>0.2786885245901639</x:v>
      </x:c>
    </x:row>
    <x:row r="26">
      <x:c r="A26" s="198" t="str"/>
      <x:c r="B26" s="198" t="str">
        <x:v>F1</x:v>
      </x:c>
      <x:c r="C26" s="325" t="n">
        <x:f>'Source rates'!Q206</x:f>
        <x:v>0.9297401347449471</x:v>
      </x:c>
      <x:c r="D26" s="325" t="n">
        <x:f>'Source rates'!Q207</x:f>
        <x:v>0.8893320039880359</x:v>
      </x:c>
      <x:c r="E26" s="325" t="n">
        <x:f>'Source rates'!Q208</x:f>
        <x:v>0.887991927346115</x:v>
      </x:c>
      <x:c r="F26" s="200" t="n">
        <x:f>'Source rates'!Q209</x:f>
        <x:v>0.9317963496637848</x:v>
      </x:c>
    </x:row>
    <x:row r="27">
      <x:c r="A27" s="198" t="str"/>
      <x:c r="B27" s="198" t="str">
        <x:v>AUC</x:v>
      </x:c>
      <x:c r="C27" s="325" t="n">
        <x:f>'Source rates'!R206</x:f>
        <x:v>0.9131968733842271</x:v>
      </x:c>
      <x:c r="D27" s="325" t="n">
        <x:f>'Source rates'!R207</x:f>
        <x:v>0.8432502734178712</x:v>
      </x:c>
      <x:c r="E27" s="325" t="n">
        <x:f>'Source rates'!R208</x:f>
        <x:v>0.853797256607561</x:v>
      </x:c>
      <x:c r="F27" s="200" t="n">
        <x:f>'Source rates'!R209</x:f>
        <x:v>0.9138659934912863</x:v>
      </x:c>
    </x:row>
    <x:row r="28">
      <x:c r="A28" s="201" t="str">
        <x:v>S=2D</x:v>
      </x:c>
      <x:c r="B28" s="201" t="str">
        <x:v>FNR</x:v>
      </x:c>
      <x:c r="C28" s="203" t="n">
        <x:f>'Source rates'!O210</x:f>
        <x:v>0.03063063063063063</x:v>
      </x:c>
      <x:c r="D28" s="326" t="n">
        <x:f>'Source rates'!O211</x:f>
        <x:v>0.04220183486238532</x:v>
      </x:c>
      <x:c r="E28" s="203" t="n">
        <x:f>'Source rates'!O212</x:f>
        <x:v>0.03063063063063063</x:v>
      </x:c>
      <x:c r="F28" s="326" t="n">
        <x:f>'Source rates'!O213</x:f>
        <x:v>0.06666666666666667</x:v>
      </x:c>
    </x:row>
    <x:row r="29">
      <x:c r="A29" s="201" t="str"/>
      <x:c r="B29" s="201" t="str">
        <x:v>FPR</x:v>
      </x:c>
      <x:c r="C29" s="326" t="n">
        <x:f>'Source rates'!P210</x:f>
        <x:v>0.3333333333333333</x:v>
      </x:c>
      <x:c r="D29" s="203" t="n">
        <x:f>'Source rates'!P211</x:f>
        <x:v>0.21818181818181817</x:v>
      </x:c>
      <x:c r="E29" s="326" t="n">
        <x:f>'Source rates'!P212</x:f>
        <x:v>0.28888888888888886</x:v>
      </x:c>
      <x:c r="F29" s="326" t="n">
        <x:f>'Source rates'!P213</x:f>
        <x:v>0.3333333333333333</x:v>
      </x:c>
    </x:row>
    <x:row r="30">
      <x:c r="A30" s="201" t="str"/>
      <x:c r="B30" s="201" t="str">
        <x:v>F1</x:v>
      </x:c>
      <x:c r="C30" s="326" t="n">
        <x:f>'Source rates'!Q210</x:f>
        <x:v>0.9711191335740073</x:v>
      </x:c>
      <x:c r="D30" s="326" t="n">
        <x:f>'Source rates'!Q211</x:f>
        <x:v>0.9675625579240037</x:v>
      </x:c>
      <x:c r="E30" s="203" t="n">
        <x:f>'Source rates'!Q212</x:f>
        <x:v>0.972875226039783</x:v>
      </x:c>
      <x:c r="F30" s="326" t="n">
        <x:f>'Source rates'!Q213</x:f>
        <x:v>0.9522058823529411</x:v>
      </x:c>
    </x:row>
    <x:row r="31">
      <x:c r="A31" s="201" t="str"/>
      <x:c r="B31" s="201" t="str">
        <x:v>AUC</x:v>
      </x:c>
      <x:c r="C31" s="203" t="n">
        <x:f>'Source rates'!R210</x:f>
        <x:v>0.9687687687687687</x:v>
      </x:c>
      <x:c r="D31" s="326" t="n">
        <x:f>'Source rates'!R211</x:f>
        <x:v>0.9617014178482068</x:v>
      </x:c>
      <x:c r="E31" s="326" t="n">
        <x:f>'Source rates'!R212</x:f>
        <x:v>0.9678478478478478</x:v>
      </x:c>
      <x:c r="F31" s="326" t="n">
        <x:f>'Source rates'!R213</x:f>
        <x:v>0.9297297297297298</x:v>
      </x:c>
    </x:row>
    <x:row r="32">
      <x:c r="A32" s="198" t="str">
        <x:v>S=4D</x:v>
      </x:c>
      <x:c r="B32" s="198" t="str">
        <x:v>FNR</x:v>
      </x:c>
      <x:c r="C32" s="200" t="n">
        <x:f>'Source rates'!O214</x:f>
        <x:v>0.014492753623188406</x:v>
      </x:c>
      <x:c r="D32" s="325" t="n">
        <x:f>'Source rates'!O215</x:f>
        <x:v>0.052823315118397086</x:v>
      </x:c>
      <x:c r="E32" s="200" t="n">
        <x:f>'Source rates'!O216</x:f>
        <x:v>0.014492753623188406</x:v>
      </x:c>
      <x:c r="F32" s="325" t="n">
        <x:f>'Source rates'!O217</x:f>
        <x:v>0.028985507246376812</x:v>
      </x:c>
    </x:row>
    <x:row r="33">
      <x:c r="A33" s="198" t="str"/>
      <x:c r="B33" s="198" t="str">
        <x:v>FPR</x:v>
      </x:c>
      <x:c r="C33" s="325" t="n">
        <x:f>'Source rates'!P214</x:f>
        <x:v>0.14583333333333334</x:v>
      </x:c>
      <x:c r="D33" s="200" t="n">
        <x:f>'Source rates'!P215</x:f>
        <x:v>0.09803921568627451</x:v>
      </x:c>
      <x:c r="E33" s="325" t="n">
        <x:f>'Source rates'!P216</x:f>
        <x:v>0.1875</x:v>
      </x:c>
      <x:c r="F33" s="325" t="n">
        <x:f>'Source rates'!P217</x:f>
        <x:v>0.14583333333333334</x:v>
      </x:c>
    </x:row>
    <x:row r="34">
      <x:c r="A34" s="198" t="str"/>
      <x:c r="B34" s="198" t="str">
        <x:v>F1</x:v>
      </x:c>
      <x:c r="C34" s="200" t="n">
        <x:f>'Source rates'!Q214</x:f>
        <x:v>0.986400725294651</x:v>
      </x:c>
      <x:c r="D34" s="325" t="n">
        <x:f>'Source rates'!Q215</x:f>
        <x:v>0.9683426443202979</x:v>
      </x:c>
      <x:c r="E34" s="325" t="n">
        <x:f>'Source rates'!Q216</x:f>
        <x:v>0.9846153846153847</x:v>
      </x:c>
      <x:c r="F34" s="325" t="n">
        <x:f>'Source rates'!Q217</x:f>
        <x:v>0.9789954337899544</x:v>
      </x:c>
    </x:row>
    <x:row r="35">
      <x:c r="A35" s="198" t="str"/>
      <x:c r="B35" s="198" t="str">
        <x:v>AUC</x:v>
      </x:c>
      <x:c r="C35" s="325" t="n">
        <x:f>'Source rates'!R214</x:f>
        <x:v>0.9904891304347826</x:v>
      </x:c>
      <x:c r="D35" s="325" t="n">
        <x:f>'Source rates'!R215</x:f>
        <x:v>0.9805707346690953</x:v>
      </x:c>
      <x:c r="E35" s="200" t="n">
        <x:f>'Source rates'!R216</x:f>
        <x:v>0.9907910628019324</x:v>
      </x:c>
      <x:c r="F35" s="325" t="n">
        <x:f>'Source rates'!R217</x:f>
        <x:v>0.9766379830917874</x:v>
      </x:c>
    </x:row>
    <x:row r="36">
      <x:c r="A36" s="204"/>
      <x:c r="B36" s="204"/>
      <x:c r="C36" s="204"/>
      <x:c r="D36" s="204"/>
      <x:c r="E36" s="204"/>
      <x:c r="F36" s="204"/>
    </x:row>
    <x:row r="37" ht="22" customHeight="1">
      <x:c r="A37" s="187" t="str">
        <x:v>Signed logML error — Assumed M3</x:v>
      </x:c>
      <x:c r="B37" s="187"/>
      <x:c r="C37" s="187"/>
      <x:c r="D37" s="187"/>
      <x:c r="E37" s="187"/>
      <x:c r="F37" s="187"/>
    </x:row>
    <x:row r="38">
      <x:c r="A38" s="205" t="str">
        <x:v>Raw, network-specific NPE–analytical central 90% interval [q5, q95]</x:v>
      </x:c>
      <x:c r="B38" s="205"/>
      <x:c r="C38" s="205"/>
      <x:c r="D38" s="205"/>
      <x:c r="E38" s="205"/>
      <x:c r="F38" s="205"/>
    </x:row>
    <x:row r="39">
      <x:c r="A39" s="206" t="str">
        <x:v>Summary</x:v>
      </x:c>
      <x:c r="B39" s="206" t="str">
        <x:v>Statistic</x:v>
      </x:c>
      <x:c r="C39" s="206" t="str">
        <x:v>L2</x:v>
      </x:c>
      <x:c r="D39" s="206" t="str">
        <x:v>L∞</x:v>
      </x:c>
      <x:c r="E39" s="206" t="str">
        <x:v>Density</x:v>
      </x:c>
      <x:c r="F39" s="206" t="str">
        <x:v>MMD</x:v>
      </x:c>
    </x:row>
    <x:row r="40">
      <x:c r="A40" s="198" t="str">
        <x:v>S=D</x:v>
      </x:c>
      <x:c r="B40" s="198" t="str">
        <x:v>FNR</x:v>
      </x:c>
      <x:c r="C40" s="200" t="n">
        <x:f>'Source rates'!O218</x:f>
        <x:v>0.2663755458515284</x:v>
      </x:c>
      <x:c r="D40" s="325" t="n">
        <x:f>'Source rates'!O219</x:f>
        <x:v>0.33043478260869563</x:v>
      </x:c>
      <x:c r="E40" s="325" t="n">
        <x:f>'Source rates'!O220</x:f>
        <x:v>0.47161572052401746</x:v>
      </x:c>
      <x:c r="F40" s="325" t="n">
        <x:f>'Source rates'!O221</x:f>
        <x:v>0.2685589519650655</x:v>
      </x:c>
    </x:row>
    <x:row r="41">
      <x:c r="A41" s="198" t="str"/>
      <x:c r="B41" s="198" t="str">
        <x:v>FPR</x:v>
      </x:c>
      <x:c r="C41" s="325" t="n">
        <x:f>'Source rates'!P218</x:f>
        <x:v>0.3873239436619718</x:v>
      </x:c>
      <x:c r="D41" s="200" t="n">
        <x:f>'Source rates'!P219</x:f>
        <x:v>0.2857142857142857</x:v>
      </x:c>
      <x:c r="E41" s="325" t="n">
        <x:f>'Source rates'!P220</x:f>
        <x:v>0.3028169014084507</x:v>
      </x:c>
      <x:c r="F41" s="325" t="n">
        <x:f>'Source rates'!P221</x:f>
        <x:v>0.3873239436619718</x:v>
      </x:c>
    </x:row>
    <x:row r="42">
      <x:c r="A42" s="198" t="str"/>
      <x:c r="B42" s="198" t="str">
        <x:v>F1</x:v>
      </x:c>
      <x:c r="C42" s="200" t="n">
        <x:f>'Source rates'!Q218</x:f>
        <x:v>0.7915194346289752</x:v>
      </x:c>
      <x:c r="D42" s="325" t="n">
        <x:f>'Source rates'!Q219</x:f>
        <x:v>0.7623762376237624</x:v>
      </x:c>
      <x:c r="E42" s="325" t="n">
        <x:f>'Source rates'!Q220</x:f>
        <x:v>0.6514131897711979</x:v>
      </x:c>
      <x:c r="F42" s="325" t="n">
        <x:f>'Source rates'!Q221</x:f>
        <x:v>0.7900943396226415</x:v>
      </x:c>
    </x:row>
    <x:row r="43">
      <x:c r="A43" s="198" t="str"/>
      <x:c r="B43" s="198" t="str">
        <x:v>AUC</x:v>
      </x:c>
      <x:c r="C43" s="325" t="n">
        <x:f>'Source rates'!R218</x:f>
        <x:v>0.6548988252660065</x:v>
      </x:c>
      <x:c r="D43" s="200" t="n">
        <x:f>'Source rates'!R219</x:f>
        <x:v>0.711444099378882</x:v>
      </x:c>
      <x:c r="E43" s="325" t="n">
        <x:f>'Source rates'!R220</x:f>
        <x:v>0.650485884740759</x:v>
      </x:c>
      <x:c r="F43" s="325" t="n">
        <x:f>'Source rates'!R221</x:f>
        <x:v>0.6557752629312996</x:v>
      </x:c>
    </x:row>
    <x:row r="44">
      <x:c r="A44" s="201" t="str">
        <x:v>S=2D</x:v>
      </x:c>
      <x:c r="B44" s="201" t="str">
        <x:v>FNR</x:v>
      </x:c>
      <x:c r="C44" s="326" t="n">
        <x:f>'Source rates'!O222</x:f>
        <x:v>0.26706827309236947</x:v>
      </x:c>
      <x:c r="D44" s="326" t="n">
        <x:f>'Source rates'!O223</x:f>
        <x:v>0.3259109311740891</x:v>
      </x:c>
      <x:c r="E44" s="203" t="n">
        <x:f>'Source rates'!O224</x:f>
        <x:v>0.07228915662650602</x:v>
      </x:c>
      <x:c r="F44" s="326" t="n">
        <x:f>'Source rates'!O225</x:f>
        <x:v>0.285140562248996</x:v>
      </x:c>
    </x:row>
    <x:row r="45">
      <x:c r="A45" s="201" t="str"/>
      <x:c r="B45" s="201" t="str">
        <x:v>FPR</x:v>
      </x:c>
      <x:c r="C45" s="326" t="n">
        <x:f>'Source rates'!P222</x:f>
        <x:v>0.4215686274509804</x:v>
      </x:c>
      <x:c r="D45" s="203" t="n">
        <x:f>'Source rates'!P223</x:f>
        <x:v>0.32075471698113206</x:v>
      </x:c>
      <x:c r="E45" s="326" t="n">
        <x:f>'Source rates'!P224</x:f>
        <x:v>0.5294117647058824</x:v>
      </x:c>
      <x:c r="F45" s="326" t="n">
        <x:f>'Source rates'!P225</x:f>
        <x:v>0.4215686274509804</x:v>
      </x:c>
    </x:row>
    <x:row r="46">
      <x:c r="A46" s="201" t="str"/>
      <x:c r="B46" s="201" t="str">
        <x:v>F1</x:v>
      </x:c>
      <x:c r="C46" s="326" t="n">
        <x:f>'Source rates'!Q222</x:f>
        <x:v>0.8057395143487859</x:v>
      </x:c>
      <x:c r="D46" s="326" t="n">
        <x:f>'Source rates'!Q223</x:f>
        <x:v>0.7735191637630662</x:v>
      </x:c>
      <x:c r="E46" s="203" t="n">
        <x:f>'Source rates'!Q224</x:f>
        <x:v>0.9112426035502958</x:v>
      </x:c>
      <x:c r="F46" s="326" t="n">
        <x:f>'Source rates'!Q225</x:f>
        <x:v>0.7937569676700111</x:v>
      </x:c>
    </x:row>
    <x:row r="47">
      <x:c r="A47" s="201" t="str"/>
      <x:c r="B47" s="201" t="str">
        <x:v>AUC</x:v>
      </x:c>
      <x:c r="C47" s="326" t="n">
        <x:f>'Source rates'!R222</x:f>
        <x:v>0.6212693912906528</x:v>
      </x:c>
      <x:c r="D47" s="326" t="n">
        <x:f>'Source rates'!R223</x:f>
        <x:v>0.6474295317393629</x:v>
      </x:c>
      <x:c r="E47" s="203" t="n">
        <x:f>'Source rates'!R224</x:f>
        <x:v>0.6948184896448539</x:v>
      </x:c>
      <x:c r="F47" s="326" t="n">
        <x:f>'Source rates'!R225</x:f>
        <x:v>0.6005984723206552</x:v>
      </x:c>
    </x:row>
    <x:row r="48">
      <x:c r="A48" s="198" t="str">
        <x:v>S=4D</x:v>
      </x:c>
      <x:c r="B48" s="198" t="str">
        <x:v>FNR</x:v>
      </x:c>
      <x:c r="C48" s="325" t="n">
        <x:f>'Source rates'!O226</x:f>
        <x:v>0.036072144288577156</x:v>
      </x:c>
      <x:c r="D48" s="325" t="n">
        <x:f>'Source rates'!O227</x:f>
        <x:v>0.220675944333996</x:v>
      </x:c>
      <x:c r="E48" s="200" t="n">
        <x:f>'Source rates'!O228</x:f>
        <x:v>0.012024048096192385</x:v>
      </x:c>
      <x:c r="F48" s="325" t="n">
        <x:f>'Source rates'!O229</x:f>
        <x:v>0.27054108216432865</x:v>
      </x:c>
    </x:row>
    <x:row r="49">
      <x:c r="A49" s="198" t="str"/>
      <x:c r="B49" s="198" t="str">
        <x:v>FPR</x:v>
      </x:c>
      <x:c r="C49" s="325" t="n">
        <x:f>'Source rates'!P226</x:f>
        <x:v>0.594059405940594</x:v>
      </x:c>
      <x:c r="D49" s="325" t="n">
        <x:f>'Source rates'!P227</x:f>
        <x:v>0.4948453608247423</x:v>
      </x:c>
      <x:c r="E49" s="325" t="n">
        <x:f>'Source rates'!P228</x:f>
        <x:v>0.594059405940594</x:v>
      </x:c>
      <x:c r="F49" s="200" t="n">
        <x:f>'Source rates'!P229</x:f>
        <x:v>0.33663366336633666</x:v>
      </x:c>
    </x:row>
    <x:row r="50">
      <x:c r="A50" s="198" t="str"/>
      <x:c r="B50" s="198" t="str">
        <x:v>F1</x:v>
      </x:c>
      <x:c r="C50" s="325" t="n">
        <x:f>'Source rates'!Q226</x:f>
        <x:v>0.925</x:v>
      </x:c>
      <x:c r="D50" s="325" t="n">
        <x:f>'Source rates'!Q227</x:f>
        <x:v>0.8313891834570519</x:v>
      </x:c>
      <x:c r="E50" s="200" t="n">
        <x:f>'Source rates'!Q228</x:f>
        <x:v>0.9372623574144486</x:v>
      </x:c>
      <x:c r="F50" s="325" t="n">
        <x:f>'Source rates'!Q229</x:f>
        <x:v>0.8115942028985508</x:v>
      </x:c>
    </x:row>
    <x:row r="51">
      <x:c r="A51" s="198" t="str"/>
      <x:c r="B51" s="198" t="str">
        <x:v>AUC</x:v>
      </x:c>
      <x:c r="C51" s="325" t="n">
        <x:f>'Source rates'!R226</x:f>
        <x:v>0.7256294767753328</x:v>
      </x:c>
      <x:c r="D51" s="325" t="n">
        <x:f>'Source rates'!R227</x:f>
        <x:v>0.6814576458773134</x:v>
      </x:c>
      <x:c r="E51" s="200" t="n">
        <x:f>'Source rates'!R228</x:f>
        <x:v>0.726800134923312</x:v>
      </x:c>
      <x:c r="F51" s="325" t="n">
        <x:f>'Source rates'!R229</x:f>
        <x:v>0.6657274945931467</x:v>
      </x:c>
    </x:row>
    <x:row r="52">
      <x:c r="A52" s="204"/>
      <x:c r="B52" s="204"/>
      <x:c r="C52" s="204"/>
      <x:c r="D52" s="204"/>
      <x:c r="E52" s="204"/>
      <x:c r="F52" s="204"/>
    </x:row>
    <x:row r="53" ht="22" customHeight="1">
      <x:c r="A53" s="187" t="str">
        <x:v>Signed logML error — Assumed M4</x:v>
      </x:c>
      <x:c r="B53" s="187"/>
      <x:c r="C53" s="187"/>
      <x:c r="D53" s="187"/>
      <x:c r="E53" s="187"/>
      <x:c r="F53" s="187"/>
    </x:row>
    <x:row r="54">
      <x:c r="A54" s="205" t="str">
        <x:v>Raw, network-specific NPE–analytical central 90% interval [q5, q95]</x:v>
      </x:c>
      <x:c r="B54" s="205"/>
      <x:c r="C54" s="205"/>
      <x:c r="D54" s="205"/>
      <x:c r="E54" s="205"/>
      <x:c r="F54" s="205"/>
    </x:row>
    <x:row r="55">
      <x:c r="A55" s="206" t="str">
        <x:v>Summary</x:v>
      </x:c>
      <x:c r="B55" s="206" t="str">
        <x:v>Statistic</x:v>
      </x:c>
      <x:c r="C55" s="206" t="str">
        <x:v>L2</x:v>
      </x:c>
      <x:c r="D55" s="206" t="str">
        <x:v>L∞</x:v>
      </x:c>
      <x:c r="E55" s="206" t="str">
        <x:v>Density</x:v>
      </x:c>
      <x:c r="F55" s="206" t="str">
        <x:v>MMD</x:v>
      </x:c>
    </x:row>
    <x:row r="56">
      <x:c r="A56" s="198" t="str">
        <x:v>S=D</x:v>
      </x:c>
      <x:c r="B56" s="198" t="str">
        <x:v>FNR</x:v>
      </x:c>
      <x:c r="C56" s="325" t="n">
        <x:f>'Source rates'!O230</x:f>
        <x:v>0.4597014925373134</x:v>
      </x:c>
      <x:c r="D56" s="200" t="n">
        <x:f>'Source rates'!O231</x:f>
        <x:v>0.45217391304347826</x:v>
      </x:c>
      <x:c r="E56" s="325" t="n">
        <x:f>'Source rates'!O232</x:f>
        <x:v>0.4716417910447761</x:v>
      </x:c>
      <x:c r="F56" s="325" t="n">
        <x:f>'Source rates'!O233</x:f>
        <x:v>0.45671641791044776</x:v>
      </x:c>
    </x:row>
    <x:row r="57">
      <x:c r="A57" s="198" t="str"/>
      <x:c r="B57" s="198" t="str">
        <x:v>FPR</x:v>
      </x:c>
      <x:c r="C57" s="325" t="n">
        <x:f>'Source rates'!P230</x:f>
        <x:v>0.1018867924528302</x:v>
      </x:c>
      <x:c r="D57" s="200" t="n">
        <x:f>'Source rates'!P231</x:f>
        <x:v>0.07058823529411765</x:v>
      </x:c>
      <x:c r="E57" s="325" t="n">
        <x:f>'Source rates'!P232</x:f>
        <x:v>0.1018867924528302</x:v>
      </x:c>
      <x:c r="F57" s="325" t="n">
        <x:f>'Source rates'!P233</x:f>
        <x:v>0.10943396226415095</x:v>
      </x:c>
    </x:row>
    <x:row r="58">
      <x:c r="A58" s="198" t="str"/>
      <x:c r="B58" s="198" t="str">
        <x:v>F1</x:v>
      </x:c>
      <x:c r="C58" s="325" t="n">
        <x:f>'Source rates'!Q230</x:f>
        <x:v>0.6666666666666666</x:v>
      </x:c>
      <x:c r="D58" s="200" t="n">
        <x:f>'Source rates'!Q231</x:f>
        <x:v>0.6847826086956522</x:v>
      </x:c>
      <x:c r="E58" s="325" t="n">
        <x:f>'Source rates'!Q232</x:f>
        <x:v>0.6567717996289425</x:v>
      </x:c>
      <x:c r="F58" s="325" t="n">
        <x:f>'Source rates'!Q233</x:f>
        <x:v>0.6666666666666666</x:v>
      </x:c>
    </x:row>
    <x:row r="59">
      <x:c r="A59" s="198" t="str"/>
      <x:c r="B59" s="198" t="str">
        <x:v>AUC</x:v>
      </x:c>
      <x:c r="C59" s="325" t="n">
        <x:f>'Source rates'!R230</x:f>
        <x:v>0.8320698394818361</x:v>
      </x:c>
      <x:c r="D59" s="200" t="n">
        <x:f>'Source rates'!R231</x:f>
        <x:v>0.8321682296106848</x:v>
      </x:c>
      <x:c r="E59" s="325" t="n">
        <x:f>'Source rates'!R232</x:f>
        <x:v>0.8302900591382709</x:v>
      </x:c>
      <x:c r="F59" s="325" t="n">
        <x:f>'Source rates'!R233</x:f>
        <x:v>0.8313038580681498</x:v>
      </x:c>
    </x:row>
    <x:row r="60">
      <x:c r="A60" s="201" t="str">
        <x:v>S=2D</x:v>
      </x:c>
      <x:c r="B60" s="201" t="str">
        <x:v>FNR</x:v>
      </x:c>
      <x:c r="C60" s="326" t="n">
        <x:f>'Source rates'!O234</x:f>
        <x:v>0.03322259136212625</x:v>
      </x:c>
      <x:c r="D60" s="326" t="n">
        <x:f>'Source rates'!O235</x:f>
        <x:v>0.18354430379746836</x:v>
      </x:c>
      <x:c r="E60" s="203" t="n">
        <x:f>'Source rates'!O236</x:f>
        <x:v>0.016611295681063124</x:v>
      </x:c>
      <x:c r="F60" s="326" t="n">
        <x:f>'Source rates'!O237</x:f>
        <x:v>0.36212624584717606</x:v>
      </x:c>
    </x:row>
    <x:row r="61">
      <x:c r="A61" s="201" t="str"/>
      <x:c r="B61" s="201" t="str">
        <x:v>FPR</x:v>
      </x:c>
      <x:c r="C61" s="326" t="n">
        <x:f>'Source rates'!P234</x:f>
        <x:v>0.2909698996655518</x:v>
      </x:c>
      <x:c r="D61" s="203" t="n">
        <x:f>'Source rates'!P235</x:f>
        <x:v>0.07042253521126761</x:v>
      </x:c>
      <x:c r="E61" s="326" t="n">
        <x:f>'Source rates'!P236</x:f>
        <x:v>0.36454849498327757</x:v>
      </x:c>
      <x:c r="F61" s="326" t="n">
        <x:f>'Source rates'!P237</x:f>
        <x:v>0.2140468227424749</x:v>
      </x:c>
    </x:row>
    <x:row r="62">
      <x:c r="A62" s="201" t="str"/>
      <x:c r="B62" s="201" t="str">
        <x:v>F1</x:v>
      </x:c>
      <x:c r="C62" s="326" t="n">
        <x:f>'Source rates'!Q234</x:f>
        <x:v>0.8571428571428571</x:v>
      </x:c>
      <x:c r="D62" s="203" t="n">
        <x:f>'Source rates'!Q235</x:f>
        <x:v>0.8686868686868687</x:v>
      </x:c>
      <x:c r="E62" s="326" t="n">
        <x:f>'Source rates'!Q236</x:f>
        <x:v>0.8385269121813032</x:v>
      </x:c>
      <x:c r="F62" s="326" t="n">
        <x:f>'Source rates'!Q237</x:f>
        <x:v>0.6894075403949731</x:v>
      </x:c>
    </x:row>
    <x:row r="63">
      <x:c r="A63" s="201" t="str"/>
      <x:c r="B63" s="201" t="str">
        <x:v>AUC</x:v>
      </x:c>
      <x:c r="C63" s="203" t="n">
        <x:f>'Source rates'!R234</x:f>
        <x:v>0.9693663262925144</x:v>
      </x:c>
      <x:c r="D63" s="326" t="n">
        <x:f>'Source rates'!R235</x:f>
        <x:v>0.9450436798003209</x:v>
      </x:c>
      <x:c r="E63" s="326" t="n">
        <x:f>'Source rates'!R236</x:f>
        <x:v>0.9127656973966377</x:v>
      </x:c>
      <x:c r="F63" s="326" t="n">
        <x:f>'Source rates'!R237</x:f>
        <x:v>0.7694974388604318</x:v>
      </x:c>
    </x:row>
    <x:row r="64">
      <x:c r="A64" s="198" t="str">
        <x:v>S=4D</x:v>
      </x:c>
      <x:c r="B64" s="198" t="str">
        <x:v>FNR</x:v>
      </x:c>
      <x:c r="C64" s="325" t="n">
        <x:f>'Source rates'!O238</x:f>
        <x:v>0.08123249299719888</x:v>
      </x:c>
      <x:c r="D64" s="325" t="n">
        <x:f>'Source rates'!O239</x:f>
        <x:v>0.22911051212938005</x:v>
      </x:c>
      <x:c r="E64" s="200" t="n">
        <x:f>'Source rates'!O240</x:f>
        <x:v>0.07563025210084033</x:v>
      </x:c>
      <x:c r="F64" s="325" t="n">
        <x:f>'Source rates'!O241</x:f>
        <x:v>0.38375350140056025</x:v>
      </x:c>
    </x:row>
    <x:row r="65">
      <x:c r="A65" s="198" t="str"/>
      <x:c r="B65" s="198" t="str">
        <x:v>FPR</x:v>
      </x:c>
      <x:c r="C65" s="325" t="n">
        <x:f>'Source rates'!P238</x:f>
        <x:v>0.27983539094650206</x:v>
      </x:c>
      <x:c r="D65" s="200" t="n">
        <x:f>'Source rates'!P239</x:f>
        <x:v>0.07423580786026202</x:v>
      </x:c>
      <x:c r="E65" s="325" t="n">
        <x:f>'Source rates'!P240</x:f>
        <x:v>0.3292181069958848</x:v>
      </x:c>
      <x:c r="F65" s="325" t="n">
        <x:f>'Source rates'!P241</x:f>
        <x:v>0.18106995884773663</x:v>
      </x:c>
    </x:row>
    <x:row r="66">
      <x:c r="A66" s="198" t="str"/>
      <x:c r="B66" s="198" t="str">
        <x:v>F1</x:v>
      </x:c>
      <x:c r="C66" s="200" t="n">
        <x:f>'Source rates'!Q238</x:f>
        <x:v>0.8711819389110226</x:v>
      </x:c>
      <x:c r="D66" s="325" t="n">
        <x:f>'Source rates'!Q239</x:f>
        <x:v>0.8486646884272997</x:v>
      </x:c>
      <x:c r="E66" s="325" t="n">
        <x:f>'Source rates'!Q240</x:f>
        <x:v>0.8604954367666232</x:v>
      </x:c>
      <x:c r="F66" s="325" t="n">
        <x:f>'Source rates'!Q241</x:f>
        <x:v>0.7085346215780999</x:v>
      </x:c>
    </x:row>
    <x:row r="67">
      <x:c r="A67" s="198" t="str"/>
      <x:c r="B67" s="198" t="str">
        <x:v>AUC</x:v>
      </x:c>
      <x:c r="C67" s="200" t="n">
        <x:f>'Source rates'!R238</x:f>
        <x:v>0.9301448974651589</x:v>
      </x:c>
      <x:c r="D67" s="325" t="n">
        <x:f>'Source rates'!R239</x:f>
        <x:v>0.9213149872291341</x:v>
      </x:c>
      <x:c r="E67" s="325" t="n">
        <x:f>'Source rates'!R240</x:f>
        <x:v>0.9007388963815979</x:v>
      </x:c>
      <x:c r="F67" s="325" t="n">
        <x:f>'Source rates'!R241</x:f>
        <x:v>0.77668268953672</x:v>
      </x:c>
    </x:row>
    <x:row r="68">
      <x:c r="A68" s="204"/>
      <x:c r="B68" s="204"/>
      <x:c r="C68" s="204"/>
      <x:c r="D68" s="204"/>
      <x:c r="E68" s="204"/>
      <x:c r="F68" s="204"/>
    </x:row>
    <x:row r="69" ht="22" customHeight="1">
      <x:c r="A69" s="187" t="str">
        <x:v>Signed PMP error — Assumed M1</x:v>
      </x:c>
      <x:c r="B69" s="187"/>
      <x:c r="C69" s="187"/>
      <x:c r="D69" s="187"/>
      <x:c r="E69" s="187"/>
      <x:c r="F69" s="187"/>
    </x:row>
    <x:row r="70">
      <x:c r="A70" s="205" t="str">
        <x:v>Raw, network-specific NPE–analytical central 90% interval [q5, q95]</x:v>
      </x:c>
      <x:c r="B70" s="205"/>
      <x:c r="C70" s="205"/>
      <x:c r="D70" s="205"/>
      <x:c r="E70" s="205"/>
      <x:c r="F70" s="205"/>
    </x:row>
    <x:row r="71">
      <x:c r="A71" s="206" t="str">
        <x:v>Summary</x:v>
      </x:c>
      <x:c r="B71" s="206" t="str">
        <x:v>Statistic</x:v>
      </x:c>
      <x:c r="C71" s="206" t="str">
        <x:v>L2</x:v>
      </x:c>
      <x:c r="D71" s="206" t="str">
        <x:v>L∞</x:v>
      </x:c>
      <x:c r="E71" s="206" t="str">
        <x:v>Density</x:v>
      </x:c>
      <x:c r="F71" s="206" t="str">
        <x:v>MMD</x:v>
      </x:c>
    </x:row>
    <x:row r="72">
      <x:c r="A72" s="198" t="str">
        <x:v>S=D</x:v>
      </x:c>
      <x:c r="B72" s="198" t="str">
        <x:v>FNR</x:v>
      </x:c>
      <x:c r="C72" s="200" t="n">
        <x:f>'Source rates'!O242</x:f>
        <x:v>0.5833333333333334</x:v>
      </x:c>
      <x:c r="D72" s="325" t="n">
        <x:f>'Source rates'!O243</x:f>
        <x:v>0.6212121212121212</x:v>
      </x:c>
      <x:c r="E72" s="325" t="n">
        <x:f>'Source rates'!O244</x:f>
        <x:v>0.6888888888888889</x:v>
      </x:c>
      <x:c r="F72" s="200" t="n">
        <x:f>'Source rates'!O245</x:f>
        <x:v>0.5833333333333334</x:v>
      </x:c>
    </x:row>
    <x:row r="73">
      <x:c r="A73" s="198" t="str"/>
      <x:c r="B73" s="198" t="str">
        <x:v>FPR</x:v>
      </x:c>
      <x:c r="C73" s="325" t="n">
        <x:f>'Source rates'!P242</x:f>
        <x:v>0.3238095238095238</x:v>
      </x:c>
      <x:c r="D73" s="325" t="n">
        <x:f>'Source rates'!P243</x:f>
        <x:v>0.3283582089552239</x:v>
      </x:c>
      <x:c r="E73" s="200" t="n">
        <x:f>'Source rates'!P244</x:f>
        <x:v>0.2976190476190476</x:v>
      </x:c>
      <x:c r="F73" s="325" t="n">
        <x:f>'Source rates'!P245</x:f>
        <x:v>0.32857142857142857</x:v>
      </x:c>
    </x:row>
    <x:row r="74">
      <x:c r="A74" s="198" t="str"/>
      <x:c r="B74" s="198" t="str">
        <x:v>F1</x:v>
      </x:c>
      <x:c r="C74" s="200" t="n">
        <x:f>'Source rates'!Q242</x:f>
        <x:v>0.3836317135549872</x:v>
      </x:c>
      <x:c r="D74" s="325" t="n">
        <x:f>'Source rates'!Q243</x:f>
        <x:v>0.37037037037037035</x:v>
      </x:c>
      <x:c r="E74" s="325" t="n">
        <x:f>'Source rates'!Q244</x:f>
        <x:v>0.31024930747922436</x:v>
      </x:c>
      <x:c r="F74" s="325" t="n">
        <x:f>'Source rates'!Q245</x:f>
        <x:v>0.3816793893129771</x:v>
      </x:c>
    </x:row>
    <x:row r="75">
      <x:c r="A75" s="198" t="str"/>
      <x:c r="B75" s="198" t="str">
        <x:v>AUC</x:v>
      </x:c>
      <x:c r="C75" s="325" t="n">
        <x:f>'Source rates'!R242</x:f>
        <x:v>0.5100661375661376</x:v>
      </x:c>
      <x:c r="D75" s="200" t="n">
        <x:f>'Source rates'!R243</x:f>
        <x:v>0.5377280265339967</x:v>
      </x:c>
      <x:c r="E75" s="325" t="n">
        <x:f>'Source rates'!R244</x:f>
        <x:v>0.5311375661375661</x:v>
      </x:c>
      <x:c r="F75" s="325" t="n">
        <x:f>'Source rates'!R245</x:f>
        <x:v>0.5149206349206349</x:v>
      </x:c>
    </x:row>
    <x:row r="76">
      <x:c r="A76" s="201" t="str">
        <x:v>S=2D</x:v>
      </x:c>
      <x:c r="B76" s="201" t="str">
        <x:v>FNR</x:v>
      </x:c>
      <x:c r="C76" s="326" t="n">
        <x:f>'Source rates'!O246</x:f>
        <x:v>0.3488372093023256</x:v>
      </x:c>
      <x:c r="D76" s="326" t="n">
        <x:f>'Source rates'!O247</x:f>
        <x:v>0.5746268656716418</x:v>
      </x:c>
      <x:c r="E76" s="203" t="n">
        <x:f>'Source rates'!O248</x:f>
        <x:v>0.2713178294573643</x:v>
      </x:c>
      <x:c r="F76" s="326" t="n">
        <x:f>'Source rates'!O249</x:f>
        <x:v>0.3798449612403101</x:v>
      </x:c>
    </x:row>
    <x:row r="77">
      <x:c r="A77" s="201" t="str"/>
      <x:c r="B77" s="201" t="str">
        <x:v>FPR</x:v>
      </x:c>
      <x:c r="C77" s="326" t="n">
        <x:f>'Source rates'!P246</x:f>
        <x:v>0.564755838641189</x:v>
      </x:c>
      <x:c r="D77" s="326" t="n">
        <x:f>'Source rates'!P247</x:f>
        <x:v>0.4742489270386266</x:v>
      </x:c>
      <x:c r="E77" s="326" t="n">
        <x:f>'Source rates'!P248</x:f>
        <x:v>0.6560509554140127</x:v>
      </x:c>
      <x:c r="F77" s="203" t="n">
        <x:f>'Source rates'!P249</x:f>
        <x:v>0.3354564755838641</x:v>
      </x:c>
    </x:row>
    <x:row r="78">
      <x:c r="A78" s="201" t="str"/>
      <x:c r="B78" s="201" t="str">
        <x:v>F1</x:v>
      </x:c>
      <x:c r="C78" s="326" t="n">
        <x:f>'Source rates'!Q246</x:f>
        <x:v>0.35073068893528186</x:v>
      </x:c>
      <x:c r="D78" s="326" t="n">
        <x:f>'Source rates'!Q247</x:f>
        <x:v>0.2766990291262136</x:v>
      </x:c>
      <x:c r="E78" s="326" t="n">
        <x:f>'Source rates'!Q248</x:f>
        <x:v>0.3533834586466165</x:v>
      </x:c>
      <x:c r="F78" s="203" t="n">
        <x:f>'Source rates'!Q249</x:f>
        <x:v>0.4359673024523161</x:v>
      </x:c>
    </x:row>
    <x:row r="79">
      <x:c r="A79" s="201" t="str"/>
      <x:c r="B79" s="201" t="str">
        <x:v>AUC</x:v>
      </x:c>
      <x:c r="C79" s="326" t="n">
        <x:f>'Source rates'!R246</x:f>
        <x:v>0.49883967807238433</x:v>
      </x:c>
      <x:c r="D79" s="326" t="n">
        <x:f>'Source rates'!R247</x:f>
        <x:v>0.4774517968099417</x:v>
      </x:c>
      <x:c r="E79" s="326" t="n">
        <x:f>'Source rates'!R248</x:f>
        <x:v>0.437852828387564</x:v>
      </x:c>
      <x:c r="F79" s="203" t="n">
        <x:f>'Source rates'!R249</x:f>
        <x:v>0.65445448410935</x:v>
      </x:c>
    </x:row>
    <x:row r="80">
      <x:c r="A80" s="198" t="str">
        <x:v>S=4D</x:v>
      </x:c>
      <x:c r="B80" s="198" t="str">
        <x:v>FNR</x:v>
      </x:c>
      <x:c r="C80" s="325" t="n">
        <x:f>'Source rates'!O250</x:f>
        <x:v>0.21052631578947367</x:v>
      </x:c>
      <x:c r="D80" s="325" t="n">
        <x:f>'Source rates'!O251</x:f>
        <x:v>0.38686131386861317</x:v>
      </x:c>
      <x:c r="E80" s="200" t="n">
        <x:f>'Source rates'!O252</x:f>
        <x:v>0.15789473684210525</x:v>
      </x:c>
      <x:c r="F80" s="325" t="n">
        <x:f>'Source rates'!O253</x:f>
        <x:v>0.3082706766917293</x:v>
      </x:c>
    </x:row>
    <x:row r="81">
      <x:c r="A81" s="198" t="str"/>
      <x:c r="B81" s="198" t="str">
        <x:v>FPR</x:v>
      </x:c>
      <x:c r="C81" s="325" t="n">
        <x:f>'Source rates'!P250</x:f>
        <x:v>0.6274089935760171</x:v>
      </x:c>
      <x:c r="D81" s="325" t="n">
        <x:f>'Source rates'!P251</x:f>
        <x:v>0.5399568034557235</x:v>
      </x:c>
      <x:c r="E81" s="325" t="n">
        <x:f>'Source rates'!P252</x:f>
        <x:v>0.6873661670235546</x:v>
      </x:c>
      <x:c r="F81" s="200" t="n">
        <x:f>'Source rates'!P253</x:f>
        <x:v>0.4346895074946467</x:v>
      </x:c>
    </x:row>
    <x:row r="82">
      <x:c r="A82" s="198" t="str"/>
      <x:c r="B82" s="198" t="str">
        <x:v>F1</x:v>
      </x:c>
      <x:c r="C82" s="325" t="n">
        <x:f>'Source rates'!Q250</x:f>
        <x:v>0.3954802259887006</x:v>
      </x:c>
      <x:c r="D82" s="325" t="n">
        <x:f>'Source rates'!Q251</x:f>
        <x:v>0.35668789808917195</x:v>
      </x:c>
      <x:c r="E82" s="325" t="n">
        <x:f>'Source rates'!Q252</x:f>
        <x:v>0.3957597173144876</x:v>
      </x:c>
      <x:c r="F82" s="200" t="n">
        <x:f>'Source rates'!Q253</x:f>
        <x:v>0.42990654205607476</x:v>
      </x:c>
    </x:row>
    <x:row r="83">
      <x:c r="A83" s="198" t="str"/>
      <x:c r="B83" s="198" t="str">
        <x:v>AUC</x:v>
      </x:c>
      <x:c r="C83" s="325" t="n">
        <x:f>'Source rates'!R250</x:f>
        <x:v>0.486773679380464</x:v>
      </x:c>
      <x:c r="D83" s="325" t="n">
        <x:f>'Source rates'!R251</x:f>
        <x:v>0.49210953634658133</x:v>
      </x:c>
      <x:c r="E83" s="325" t="n">
        <x:f>'Source rates'!R252</x:f>
        <x:v>0.4622691632722062</x:v>
      </x:c>
      <x:c r="F83" s="200" t="n">
        <x:f>'Source rates'!R253</x:f>
        <x:v>0.6002962438215453</x:v>
      </x:c>
    </x:row>
    <x:row r="84">
      <x:c r="A84" s="204"/>
      <x:c r="B84" s="204"/>
      <x:c r="C84" s="204"/>
      <x:c r="D84" s="204"/>
      <x:c r="E84" s="204"/>
      <x:c r="F84" s="204"/>
    </x:row>
    <x:row r="85" ht="22" customHeight="1">
      <x:c r="A85" s="187" t="str">
        <x:v>Signed PMP error — Assumed M2</x:v>
      </x:c>
      <x:c r="B85" s="187"/>
      <x:c r="C85" s="187"/>
      <x:c r="D85" s="187"/>
      <x:c r="E85" s="187"/>
      <x:c r="F85" s="187"/>
    </x:row>
    <x:row r="86">
      <x:c r="A86" s="205" t="str">
        <x:v>Raw, network-specific NPE–analytical central 90% interval [q5, q95]</x:v>
      </x:c>
      <x:c r="B86" s="205"/>
      <x:c r="C86" s="205"/>
      <x:c r="D86" s="205"/>
      <x:c r="E86" s="205"/>
      <x:c r="F86" s="205"/>
    </x:row>
    <x:row r="87">
      <x:c r="A87" s="206" t="str">
        <x:v>Summary</x:v>
      </x:c>
      <x:c r="B87" s="206" t="str">
        <x:v>Statistic</x:v>
      </x:c>
      <x:c r="C87" s="206" t="str">
        <x:v>L2</x:v>
      </x:c>
      <x:c r="D87" s="206" t="str">
        <x:v>L∞</x:v>
      </x:c>
      <x:c r="E87" s="206" t="str">
        <x:v>Density</x:v>
      </x:c>
      <x:c r="F87" s="206" t="str">
        <x:v>MMD</x:v>
      </x:c>
    </x:row>
    <x:row r="88">
      <x:c r="A88" s="198" t="str">
        <x:v>S=D</x:v>
      </x:c>
      <x:c r="B88" s="198" t="str">
        <x:v>FNR</x:v>
      </x:c>
      <x:c r="C88" s="200" t="n">
        <x:f>'Source rates'!O254</x:f>
        <x:v>0.01282051282051282</x:v>
      </x:c>
      <x:c r="D88" s="325" t="n">
        <x:f>'Source rates'!O255</x:f>
        <x:v>0.05128205128205128</x:v>
      </x:c>
      <x:c r="E88" s="325" t="n">
        <x:f>'Source rates'!O256</x:f>
        <x:v>0.14102564102564102</x:v>
      </x:c>
      <x:c r="F88" s="200" t="n">
        <x:f>'Source rates'!O257</x:f>
        <x:v>0.01282051282051282</x:v>
      </x:c>
    </x:row>
    <x:row r="89">
      <x:c r="A89" s="198" t="str"/>
      <x:c r="B89" s="198" t="str">
        <x:v>FPR</x:v>
      </x:c>
      <x:c r="C89" s="325" t="n">
        <x:f>'Source rates'!P254</x:f>
        <x:v>0.8103448275862069</x:v>
      </x:c>
      <x:c r="D89" s="325" t="n">
        <x:f>'Source rates'!P255</x:f>
        <x:v>0.7509578544061303</x:v>
      </x:c>
      <x:c r="E89" s="200" t="n">
        <x:f>'Source rates'!P256</x:f>
        <x:v>0.7375478927203065</x:v>
      </x:c>
      <x:c r="F89" s="325" t="n">
        <x:f>'Source rates'!P257</x:f>
        <x:v>0.814176245210728</x:v>
      </x:c>
    </x:row>
    <x:row r="90">
      <x:c r="A90" s="198" t="str"/>
      <x:c r="B90" s="198" t="str">
        <x:v>F1</x:v>
      </x:c>
      <x:c r="C90" s="325" t="n">
        <x:f>'Source rates'!Q254</x:f>
        <x:v>0.2664359861591695</x:v>
      </x:c>
      <x:c r="D90" s="200" t="n">
        <x:f>'Source rates'!Q255</x:f>
        <x:v>0.27205882352941174</x:v>
      </x:c>
      <x:c r="E90" s="325" t="n">
        <x:f>'Source rates'!Q256</x:f>
        <x:v>0.2528301886792453</x:v>
      </x:c>
      <x:c r="F90" s="325" t="n">
        <x:f>'Source rates'!Q257</x:f>
        <x:v>0.2655172413793103</x:v>
      </x:c>
    </x:row>
    <x:row r="91">
      <x:c r="A91" s="198" t="str"/>
      <x:c r="B91" s="198" t="str">
        <x:v>AUC</x:v>
      </x:c>
      <x:c r="C91" s="325" t="n">
        <x:f>'Source rates'!R254</x:f>
        <x:v>0.4106739365360055</x:v>
      </x:c>
      <x:c r="D91" s="325" t="n">
        <x:f>'Source rates'!R255</x:f>
        <x:v>0.5494400235779546</x:v>
      </x:c>
      <x:c r="E91" s="200" t="n">
        <x:f>'Source rates'!R256</x:f>
        <x:v>0.5836526181353767</x:v>
      </x:c>
      <x:c r="F91" s="325" t="n">
        <x:f>'Source rates'!R257</x:f>
        <x:v>0.4082424599665979</x:v>
      </x:c>
    </x:row>
    <x:row r="92">
      <x:c r="A92" s="201" t="str">
        <x:v>S=2D</x:v>
      </x:c>
      <x:c r="B92" s="201" t="str">
        <x:v>FNR</x:v>
      </x:c>
      <x:c r="C92" s="203" t="n">
        <x:f>'Source rates'!O258</x:f>
        <x:v>0</x:v>
      </x:c>
      <x:c r="D92" s="326" t="n">
        <x:f>'Source rates'!O259</x:f>
        <x:v>0.10112359550561797</x:v>
      </x:c>
      <x:c r="E92" s="326" t="n">
        <x:f>'Source rates'!O260</x:f>
        <x:v>0.022727272727272728</x:v>
      </x:c>
      <x:c r="F92" s="203" t="n">
        <x:f>'Source rates'!O261</x:f>
        <x:v>0</x:v>
      </x:c>
    </x:row>
    <x:row r="93">
      <x:c r="A93" s="201" t="str"/>
      <x:c r="B93" s="201" t="str">
        <x:v>FPR</x:v>
      </x:c>
      <x:c r="C93" s="326" t="n">
        <x:f>'Source rates'!P258</x:f>
        <x:v>0.908203125</x:v>
      </x:c>
      <x:c r="D93" s="326" t="n">
        <x:f>'Source rates'!P259</x:f>
        <x:v>0.8884540117416829</x:v>
      </x:c>
      <x:c r="E93" s="326" t="n">
        <x:f>'Source rates'!P260</x:f>
        <x:v>0.908203125</x:v>
      </x:c>
      <x:c r="F93" s="203" t="n">
        <x:f>'Source rates'!P261</x:f>
        <x:v>0.869140625</x:v>
      </x:c>
    </x:row>
    <x:row r="94">
      <x:c r="A94" s="201" t="str"/>
      <x:c r="B94" s="201" t="str">
        <x:v>F1</x:v>
      </x:c>
      <x:c r="C94" s="326" t="n">
        <x:f>'Source rates'!Q258</x:f>
        <x:v>0.2745709828393136</x:v>
      </x:c>
      <x:c r="D94" s="326" t="n">
        <x:f>'Source rates'!Q259</x:f>
        <x:v>0.2568218298555377</x:v>
      </x:c>
      <x:c r="E94" s="326" t="n">
        <x:f>'Source rates'!Q260</x:f>
        <x:v>0.26917057902973396</x:v>
      </x:c>
      <x:c r="F94" s="203" t="n">
        <x:f>'Source rates'!Q261</x:f>
        <x:v>0.2834138486312399</x:v>
      </x:c>
    </x:row>
    <x:row r="95">
      <x:c r="A95" s="201" t="str"/>
      <x:c r="B95" s="201" t="str">
        <x:v>AUC</x:v>
      </x:c>
      <x:c r="C95" s="326" t="n">
        <x:f>'Source rates'!R258</x:f>
        <x:v>0.27940784801136365</x:v>
      </x:c>
      <x:c r="D95" s="326" t="n">
        <x:f>'Source rates'!R259</x:f>
        <x:v>0.28778117372853407</x:v>
      </x:c>
      <x:c r="E95" s="326" t="n">
        <x:f>'Source rates'!R260</x:f>
        <x:v>0.2922141335227273</x:v>
      </x:c>
      <x:c r="F95" s="203" t="n">
        <x:f>'Source rates'!R261</x:f>
        <x:v>0.46253551136363635</x:v>
      </x:c>
    </x:row>
    <x:row r="96">
      <x:c r="A96" s="198" t="str">
        <x:v>S=4D</x:v>
      </x:c>
      <x:c r="B96" s="198" t="str">
        <x:v>FNR</x:v>
      </x:c>
      <x:c r="C96" s="325" t="n">
        <x:f>'Source rates'!O262</x:f>
        <x:v>0.01282051282051282</x:v>
      </x:c>
      <x:c r="D96" s="325" t="n">
        <x:f>'Source rates'!O263</x:f>
        <x:v>0.3333333333333333</x:v>
      </x:c>
      <x:c r="E96" s="325" t="n">
        <x:f>'Source rates'!O264</x:f>
        <x:v>0.01282051282051282</x:v>
      </x:c>
      <x:c r="F96" s="200" t="n">
        <x:f>'Source rates'!O265</x:f>
        <x:v>0</x:v>
      </x:c>
    </x:row>
    <x:row r="97">
      <x:c r="A97" s="198" t="str"/>
      <x:c r="B97" s="198" t="str">
        <x:v>FPR</x:v>
      </x:c>
      <x:c r="C97" s="325" t="n">
        <x:f>'Source rates'!P262</x:f>
        <x:v>0.9080459770114943</x:v>
      </x:c>
      <x:c r="D97" s="325" t="n">
        <x:f>'Source rates'!P263</x:f>
        <x:v>0.9061302681992337</x:v>
      </x:c>
      <x:c r="E97" s="325" t="n">
        <x:f>'Source rates'!P264</x:f>
        <x:v>0.9118773946360154</x:v>
      </x:c>
      <x:c r="F97" s="200" t="n">
        <x:f>'Source rates'!P265</x:f>
        <x:v>0.8908045977011494</x:v>
      </x:c>
    </x:row>
    <x:row r="98">
      <x:c r="A98" s="198" t="str"/>
      <x:c r="B98" s="198" t="str">
        <x:v>F1</x:v>
      </x:c>
      <x:c r="C98" s="325" t="n">
        <x:f>'Source rates'!Q262</x:f>
        <x:v>0.24483306836248012</x:v>
      </x:c>
      <x:c r="D98" s="325" t="n">
        <x:f>'Source rates'!Q263</x:f>
        <x:v>0.1724709784411277</x:v>
      </x:c>
      <x:c r="E98" s="325" t="n">
        <x:f>'Source rates'!Q264</x:f>
        <x:v>0.24405705229793978</x:v>
      </x:c>
      <x:c r="F98" s="200" t="n">
        <x:f>'Source rates'!Q265</x:f>
        <x:v>0.25120772946859904</x:v>
      </x:c>
    </x:row>
    <x:row r="99">
      <x:c r="A99" s="198" t="str"/>
      <x:c r="B99" s="198" t="str">
        <x:v>AUC</x:v>
      </x:c>
      <x:c r="C99" s="325" t="n">
        <x:f>'Source rates'!R262</x:f>
        <x:v>0.2928332842125946</x:v>
      </x:c>
      <x:c r="D99" s="325" t="n">
        <x:f>'Source rates'!R263</x:f>
        <x:v>0.30936241281068866</x:v>
      </x:c>
      <x:c r="E99" s="325" t="n">
        <x:f>'Source rates'!R264</x:f>
        <x:v>0.2710727969348659</x:v>
      </x:c>
      <x:c r="F99" s="200" t="n">
        <x:f>'Source rates'!R265</x:f>
        <x:v>0.35111504077021316</x:v>
      </x:c>
    </x:row>
    <x:row r="100">
      <x:c r="A100" s="204"/>
      <x:c r="B100" s="204"/>
      <x:c r="C100" s="204"/>
      <x:c r="D100" s="204"/>
      <x:c r="E100" s="204"/>
      <x:c r="F100" s="204"/>
    </x:row>
    <x:row r="101" ht="22" customHeight="1">
      <x:c r="A101" s="187" t="str">
        <x:v>Signed PMP error — Assumed M3</x:v>
      </x:c>
      <x:c r="B101" s="187"/>
      <x:c r="C101" s="187"/>
      <x:c r="D101" s="187"/>
      <x:c r="E101" s="187"/>
      <x:c r="F101" s="187"/>
    </x:row>
    <x:row r="102">
      <x:c r="A102" s="205" t="str">
        <x:v>Raw, network-specific NPE–analytical central 90% interval [q5, q95]</x:v>
      </x:c>
      <x:c r="B102" s="205"/>
      <x:c r="C102" s="205"/>
      <x:c r="D102" s="205"/>
      <x:c r="E102" s="205"/>
      <x:c r="F102" s="205"/>
    </x:row>
    <x:row r="103">
      <x:c r="A103" s="206" t="str">
        <x:v>Summary</x:v>
      </x:c>
      <x:c r="B103" s="206" t="str">
        <x:v>Statistic</x:v>
      </x:c>
      <x:c r="C103" s="206" t="str">
        <x:v>L2</x:v>
      </x:c>
      <x:c r="D103" s="206" t="str">
        <x:v>L∞</x:v>
      </x:c>
      <x:c r="E103" s="206" t="str">
        <x:v>Density</x:v>
      </x:c>
      <x:c r="F103" s="206" t="str">
        <x:v>MMD</x:v>
      </x:c>
    </x:row>
    <x:row r="104">
      <x:c r="A104" s="198" t="str">
        <x:v>S=D</x:v>
      </x:c>
      <x:c r="B104" s="198" t="str">
        <x:v>FNR</x:v>
      </x:c>
      <x:c r="C104" s="200" t="n">
        <x:f>'Source rates'!O266</x:f>
        <x:v>0.23</x:v>
      </x:c>
      <x:c r="D104" s="325" t="n">
        <x:f>'Source rates'!O267</x:f>
        <x:v>0.316</x:v>
      </x:c>
      <x:c r="E104" s="325" t="n">
        <x:f>'Source rates'!O268</x:f>
        <x:v>0.434</x:v>
      </x:c>
      <x:c r="F104" s="325" t="n">
        <x:f>'Source rates'!O269</x:f>
        <x:v>0.232</x:v>
      </x:c>
    </x:row>
    <x:row r="105">
      <x:c r="A105" s="198" t="str"/>
      <x:c r="B105" s="198" t="str">
        <x:v>FPR</x:v>
      </x:c>
      <x:c r="C105" s="325" t="n">
        <x:f>'Source rates'!P266</x:f>
        <x:v>0.06</x:v>
      </x:c>
      <x:c r="D105" s="325" t="n">
        <x:f>'Source rates'!P267</x:f>
        <x:v>0.06</x:v>
      </x:c>
      <x:c r="E105" s="200" t="n">
        <x:f>'Source rates'!P268</x:f>
        <x:v>0.02</x:v>
      </x:c>
      <x:c r="F105" s="325" t="n">
        <x:f>'Source rates'!P269</x:f>
        <x:v>0.06</x:v>
      </x:c>
    </x:row>
    <x:row r="106">
      <x:c r="A106" s="198" t="str"/>
      <x:c r="B106" s="198" t="str">
        <x:v>F1</x:v>
      </x:c>
      <x:c r="C106" s="200" t="n">
        <x:f>'Source rates'!Q266</x:f>
        <x:v>0.8641975308641975</x:v>
      </x:c>
      <x:c r="D106" s="325" t="n">
        <x:f>'Source rates'!Q267</x:f>
        <x:v>0.8066037735849056</x:v>
      </x:c>
      <x:c r="E106" s="325" t="n">
        <x:f>'Source rates'!Q268</x:f>
        <x:v>0.7210191082802547</x:v>
      </x:c>
      <x:c r="F106" s="325" t="n">
        <x:f>'Source rates'!Q269</x:f>
        <x:v>0.8629213483146068</x:v>
      </x:c>
    </x:row>
    <x:row r="107">
      <x:c r="A107" s="198" t="str"/>
      <x:c r="B107" s="198" t="str">
        <x:v>AUC</x:v>
      </x:c>
      <x:c r="C107" s="325" t="n">
        <x:f>'Source rates'!R266</x:f>
        <x:v>0.7965</x:v>
      </x:c>
      <x:c r="D107" s="325" t="n">
        <x:f>'Source rates'!R267</x:f>
        <x:v>0.77788</x:v>
      </x:c>
      <x:c r="E107" s="200" t="n">
        <x:f>'Source rates'!R268</x:f>
        <x:v>0.83326</x:v>
      </x:c>
      <x:c r="F107" s="325" t="n">
        <x:f>'Source rates'!R269</x:f>
        <x:v>0.7963</x:v>
      </x:c>
    </x:row>
    <x:row r="108">
      <x:c r="A108" s="201" t="str">
        <x:v>S=2D</x:v>
      </x:c>
      <x:c r="B108" s="201" t="str">
        <x:v>FNR</x:v>
      </x:c>
      <x:c r="C108" s="326" t="n">
        <x:f>'Source rates'!O270</x:f>
        <x:v>0.208</x:v>
      </x:c>
      <x:c r="D108" s="326" t="n">
        <x:f>'Source rates'!O271</x:f>
        <x:v>0.278</x:v>
      </x:c>
      <x:c r="E108" s="203" t="n">
        <x:f>'Source rates'!O272</x:f>
        <x:v>0.064</x:v>
      </x:c>
      <x:c r="F108" s="326" t="n">
        <x:f>'Source rates'!O273</x:f>
        <x:v>0.208</x:v>
      </x:c>
    </x:row>
    <x:row r="109">
      <x:c r="A109" s="201" t="str"/>
      <x:c r="B109" s="201" t="str">
        <x:v>FPR</x:v>
      </x:c>
      <x:c r="C109" s="326" t="n">
        <x:f>'Source rates'!P270</x:f>
        <x:v>0.12</x:v>
      </x:c>
      <x:c r="D109" s="326" t="n">
        <x:f>'Source rates'!P271</x:f>
        <x:v>0.06</x:v>
      </x:c>
      <x:c r="E109" s="326" t="n">
        <x:f>'Source rates'!P272</x:f>
        <x:v>0.48</x:v>
      </x:c>
      <x:c r="F109" s="203" t="n">
        <x:f>'Source rates'!P273</x:f>
        <x:v>0.03</x:v>
      </x:c>
    </x:row>
    <x:row r="110">
      <x:c r="A110" s="201" t="str"/>
      <x:c r="B110" s="201" t="str">
        <x:v>F1</x:v>
      </x:c>
      <x:c r="C110" s="326" t="n">
        <x:f>'Source rates'!Q270</x:f>
        <x:v>0.8722466960352423</x:v>
      </x:c>
      <x:c r="D110" s="326" t="n">
        <x:f>'Source rates'!Q271</x:f>
        <x:v>0.8327566320645905</x:v>
      </x:c>
      <x:c r="E110" s="203" t="n">
        <x:f>'Source rates'!Q272</x:f>
        <x:v>0.9212598425196851</x:v>
      </x:c>
      <x:c r="F110" s="326" t="n">
        <x:f>'Source rates'!Q273</x:f>
        <x:v>0.8809788654060067</x:v>
      </x:c>
    </x:row>
    <x:row r="111">
      <x:c r="A111" s="201" t="str"/>
      <x:c r="B111" s="201" t="str">
        <x:v>AUC</x:v>
      </x:c>
      <x:c r="C111" s="326" t="n">
        <x:f>'Source rates'!R270</x:f>
        <x:v>0.825</x:v>
      </x:c>
      <x:c r="D111" s="326" t="n">
        <x:f>'Source rates'!R271</x:f>
        <x:v>0.8097</x:v>
      </x:c>
      <x:c r="E111" s="203" t="n">
        <x:f>'Source rates'!R272</x:f>
        <x:v>0.89388</x:v>
      </x:c>
      <x:c r="F111" s="326" t="n">
        <x:f>'Source rates'!R273</x:f>
        <x:v>0.8042</x:v>
      </x:c>
    </x:row>
    <x:row r="112">
      <x:c r="A112" s="198" t="str">
        <x:v>S=4D</x:v>
      </x:c>
      <x:c r="B112" s="198" t="str">
        <x:v>FNR</x:v>
      </x:c>
      <x:c r="C112" s="325" t="n">
        <x:f>'Source rates'!O274</x:f>
        <x:v>0.004</x:v>
      </x:c>
      <x:c r="D112" s="325" t="n">
        <x:f>'Source rates'!O275</x:f>
        <x:v>0.186</x:v>
      </x:c>
      <x:c r="E112" s="200" t="n">
        <x:f>'Source rates'!O276</x:f>
        <x:v>0</x:v>
      </x:c>
      <x:c r="F112" s="325" t="n">
        <x:f>'Source rates'!O277</x:f>
        <x:v>0.212</x:v>
      </x:c>
    </x:row>
    <x:row r="113">
      <x:c r="A113" s="198" t="str"/>
      <x:c r="B113" s="198" t="str">
        <x:v>FPR</x:v>
      </x:c>
      <x:c r="C113" s="325" t="n">
        <x:f>'Source rates'!P274</x:f>
        <x:v>0.43</x:v>
      </x:c>
      <x:c r="D113" s="325" t="n">
        <x:f>'Source rates'!P275</x:f>
        <x:v>0.33</x:v>
      </x:c>
      <x:c r="E113" s="325" t="n">
        <x:f>'Source rates'!P276</x:f>
        <x:v>0.53</x:v>
      </x:c>
      <x:c r="F113" s="200" t="n">
        <x:f>'Source rates'!P277</x:f>
        <x:v>0.04</x:v>
      </x:c>
    </x:row>
    <x:row r="114">
      <x:c r="A114" s="198" t="str"/>
      <x:c r="B114" s="198" t="str">
        <x:v>F1</x:v>
      </x:c>
      <x:c r="C114" s="200" t="n">
        <x:f>'Source rates'!Q274</x:f>
        <x:v>0.9567723342939481</x:v>
      </x:c>
      <x:c r="D114" s="325" t="n">
        <x:f>'Source rates'!Q275</x:f>
        <x:v>0.8659574468085106</x:v>
      </x:c>
      <x:c r="E114" s="325" t="n">
        <x:f>'Source rates'!Q276</x:f>
        <x:v>0.949667616334283</x:v>
      </x:c>
      <x:c r="F114" s="325" t="n">
        <x:f>'Source rates'!Q277</x:f>
        <x:v>0.8775055679287305</x:v>
      </x:c>
    </x:row>
    <x:row r="115">
      <x:c r="A115" s="198" t="str"/>
      <x:c r="B115" s="198" t="str">
        <x:v>AUC</x:v>
      </x:c>
      <x:c r="C115" s="325" t="n">
        <x:f>'Source rates'!R274</x:f>
        <x:v>0.86724</x:v>
      </x:c>
      <x:c r="D115" s="325" t="n">
        <x:f>'Source rates'!R275</x:f>
        <x:v>0.83518</x:v>
      </x:c>
      <x:c r="E115" s="200" t="n">
        <x:f>'Source rates'!R276</x:f>
        <x:v>0.96114</x:v>
      </x:c>
      <x:c r="F115" s="325" t="n">
        <x:f>'Source rates'!R277</x:f>
        <x:v>0.80868</x:v>
      </x:c>
    </x:row>
    <x:row r="116">
      <x:c r="A116" s="204"/>
      <x:c r="B116" s="204"/>
      <x:c r="C116" s="204"/>
      <x:c r="D116" s="204"/>
      <x:c r="E116" s="204"/>
      <x:c r="F116" s="204"/>
    </x:row>
    <x:row r="117" ht="22" customHeight="1">
      <x:c r="A117" s="187" t="str">
        <x:v>Signed PMP error — Assumed M4</x:v>
      </x:c>
      <x:c r="B117" s="187"/>
      <x:c r="C117" s="187"/>
      <x:c r="D117" s="187"/>
      <x:c r="E117" s="187"/>
      <x:c r="F117" s="187"/>
    </x:row>
    <x:row r="118">
      <x:c r="A118" s="205" t="str">
        <x:v>Raw, network-specific NPE–analytical central 90% interval [q5, q95]</x:v>
      </x:c>
      <x:c r="B118" s="205"/>
      <x:c r="C118" s="205"/>
      <x:c r="D118" s="205"/>
      <x:c r="E118" s="205"/>
      <x:c r="F118" s="205"/>
    </x:row>
    <x:row r="119">
      <x:c r="A119" s="206" t="str">
        <x:v>Summary</x:v>
      </x:c>
      <x:c r="B119" s="206" t="str">
        <x:v>Statistic</x:v>
      </x:c>
      <x:c r="C119" s="206" t="str">
        <x:v>L2</x:v>
      </x:c>
      <x:c r="D119" s="206" t="str">
        <x:v>L∞</x:v>
      </x:c>
      <x:c r="E119" s="206" t="str">
        <x:v>Density</x:v>
      </x:c>
      <x:c r="F119" s="206" t="str">
        <x:v>MMD</x:v>
      </x:c>
    </x:row>
    <x:row r="120">
      <x:c r="A120" s="198" t="str">
        <x:v>S=D</x:v>
      </x:c>
      <x:c r="B120" s="198" t="str">
        <x:v>FNR</x:v>
      </x:c>
      <x:c r="C120" s="325" t="n">
        <x:f>'Source rates'!O278</x:f>
        <x:v>0.5174825174825175</x:v>
      </x:c>
      <x:c r="D120" s="325" t="n">
        <x:f>'Source rates'!O279</x:f>
        <x:v>0.5408805031446541</x:v>
      </x:c>
      <x:c r="E120" s="325" t="n">
        <x:f>'Source rates'!O280</x:f>
        <x:v>0.5804195804195804</x:v>
      </x:c>
      <x:c r="F120" s="200" t="n">
        <x:f>'Source rates'!O281</x:f>
        <x:v>0.5104895104895105</x:v>
      </x:c>
    </x:row>
    <x:row r="121">
      <x:c r="A121" s="198" t="str"/>
      <x:c r="B121" s="198" t="str">
        <x:v>FPR</x:v>
      </x:c>
      <x:c r="C121" s="325" t="n">
        <x:f>'Source rates'!P278</x:f>
        <x:v>0.3041575492341357</x:v>
      </x:c>
      <x:c r="D121" s="200" t="n">
        <x:f>'Source rates'!P279</x:f>
        <x:v>0.30385487528344673</x:v>
      </x:c>
      <x:c r="E121" s="325" t="n">
        <x:f>'Source rates'!P280</x:f>
        <x:v>0.3150984682713348</x:v>
      </x:c>
      <x:c r="F121" s="325" t="n">
        <x:f>'Source rates'!P281</x:f>
        <x:v>0.3085339168490153</x:v>
      </x:c>
    </x:row>
    <x:row r="122">
      <x:c r="A122" s="198" t="str"/>
      <x:c r="B122" s="198" t="str">
        <x:v>F1</x:v>
      </x:c>
      <x:c r="C122" s="325" t="n">
        <x:f>'Source rates'!Q278</x:f>
        <x:v>0.39316239316239315</x:v>
      </x:c>
      <x:c r="D122" s="200" t="n">
        <x:f>'Source rates'!Q279</x:f>
        <x:v>0.3989071038251366</x:v>
      </x:c>
      <x:c r="E122" s="325" t="n">
        <x:f>'Source rates'!Q280</x:f>
        <x:v>0.345821325648415</x:v>
      </x:c>
      <x:c r="F122" s="325" t="n">
        <x:f>'Source rates'!Q281</x:f>
        <x:v>0.3954802259887006</x:v>
      </x:c>
    </x:row>
    <x:row r="123">
      <x:c r="A123" s="198" t="str"/>
      <x:c r="B123" s="198" t="str">
        <x:v>AUC</x:v>
      </x:c>
      <x:c r="C123" s="325" t="n">
        <x:f>'Source rates'!R278</x:f>
        <x:v>0.575905494942694</x:v>
      </x:c>
      <x:c r="D123" s="325" t="n">
        <x:f>'Source rates'!R279</x:f>
        <x:v>0.5490095409232876</x:v>
      </x:c>
      <x:c r="E123" s="325" t="n">
        <x:f>'Source rates'!R280</x:f>
        <x:v>0.5678413490229682</x:v>
      </x:c>
      <x:c r="F123" s="200" t="n">
        <x:f>'Source rates'!R281</x:f>
        <x:v>0.5767318021147343</x:v>
      </x:c>
    </x:row>
    <x:row r="124">
      <x:c r="A124" s="201" t="str">
        <x:v>S=2D</x:v>
      </x:c>
      <x:c r="B124" s="201" t="str">
        <x:v>FNR</x:v>
      </x:c>
      <x:c r="C124" s="326" t="n">
        <x:f>'Source rates'!O282</x:f>
        <x:v>0.3233082706766917</x:v>
      </x:c>
      <x:c r="D124" s="326" t="n">
        <x:f>'Source rates'!O283</x:f>
        <x:v>0.5185185185185185</x:v>
      </x:c>
      <x:c r="E124" s="203" t="n">
        <x:f>'Source rates'!O284</x:f>
        <x:v>0.24060150375939848</x:v>
      </x:c>
      <x:c r="F124" s="326" t="n">
        <x:f>'Source rates'!O285</x:f>
        <x:v>0.3609022556390977</x:v>
      </x:c>
    </x:row>
    <x:row r="125">
      <x:c r="A125" s="201" t="str"/>
      <x:c r="B125" s="201" t="str">
        <x:v>FPR</x:v>
      </x:c>
      <x:c r="C125" s="326" t="n">
        <x:f>'Source rates'!P282</x:f>
        <x:v>0.6167023554603854</x:v>
      </x:c>
      <x:c r="D125" s="326" t="n">
        <x:f>'Source rates'!P283</x:f>
        <x:v>0.45806451612903226</x:v>
      </x:c>
      <x:c r="E125" s="326" t="n">
        <x:f>'Source rates'!P284</x:f>
        <x:v>0.6509635974304069</x:v>
      </x:c>
      <x:c r="F125" s="203" t="n">
        <x:f>'Source rates'!P285</x:f>
        <x:v>0.36616702355460384</x:v>
      </x:c>
    </x:row>
    <x:row r="126">
      <x:c r="A126" s="201" t="str"/>
      <x:c r="B126" s="201" t="str">
        <x:v>F1</x:v>
      </x:c>
      <x:c r="C126" s="326" t="n">
        <x:f>'Source rates'!Q282</x:f>
        <x:v>0.3522504892367906</x:v>
      </x:c>
      <x:c r="D126" s="326" t="n">
        <x:f>'Source rates'!Q283</x:f>
        <x:v>0.31476997578692495</x:v>
      </x:c>
      <x:c r="E126" s="326" t="n">
        <x:f>'Source rates'!Q284</x:f>
        <x:v>0.3754646840148699</x:v>
      </x:c>
      <x:c r="F126" s="203" t="n">
        <x:f>'Source rates'!Q285</x:f>
        <x:v>0.4370179948586118</x:v>
      </x:c>
    </x:row>
    <x:row r="127">
      <x:c r="A127" s="201" t="str"/>
      <x:c r="B127" s="201" t="str">
        <x:v>AUC</x:v>
      </x:c>
      <x:c r="C127" s="326" t="n">
        <x:f>'Source rates'!R282</x:f>
        <x:v>0.5201333097196954</x:v>
      </x:c>
      <x:c r="D127" s="326" t="n">
        <x:f>'Source rates'!R283</x:f>
        <x:v>0.49209080047789727</x:v>
      </x:c>
      <x:c r="E127" s="326" t="n">
        <x:f>'Source rates'!R284</x:f>
        <x:v>0.43206517364074</x:v>
      </x:c>
      <x:c r="F127" s="203" t="n">
        <x:f>'Source rates'!R285</x:f>
        <x:v>0.6599314131152292</x:v>
      </x:c>
    </x:row>
    <x:row r="128">
      <x:c r="A128" s="198" t="str">
        <x:v>S=4D</x:v>
      </x:c>
      <x:c r="B128" s="198" t="str">
        <x:v>FNR</x:v>
      </x:c>
      <x:c r="C128" s="325" t="n">
        <x:f>'Source rates'!O286</x:f>
        <x:v>0.1935483870967742</x:v>
      </x:c>
      <x:c r="D128" s="325" t="n">
        <x:f>'Source rates'!O287</x:f>
        <x:v>0.41739130434782606</x:v>
      </x:c>
      <x:c r="E128" s="200" t="n">
        <x:f>'Source rates'!O288</x:f>
        <x:v>0.1774193548387097</x:v>
      </x:c>
      <x:c r="F128" s="325" t="n">
        <x:f>'Source rates'!O289</x:f>
        <x:v>0.3064516129032258</x:v>
      </x:c>
    </x:row>
    <x:row r="129">
      <x:c r="A129" s="198" t="str"/>
      <x:c r="B129" s="198" t="str">
        <x:v>FPR</x:v>
      </x:c>
      <x:c r="C129" s="325" t="n">
        <x:f>'Source rates'!P286</x:f>
        <x:v>0.6218487394957983</x:v>
      </x:c>
      <x:c r="D129" s="325" t="n">
        <x:f>'Source rates'!P287</x:f>
        <x:v>0.4865979381443299</x:v>
      </x:c>
      <x:c r="E129" s="325" t="n">
        <x:f>'Source rates'!P288</x:f>
        <x:v>0.6470588235294118</x:v>
      </x:c>
      <x:c r="F129" s="200" t="n">
        <x:f>'Source rates'!P289</x:f>
        <x:v>0.3739495798319328</x:v>
      </x:c>
    </x:row>
    <x:row r="130">
      <x:c r="A130" s="198" t="str"/>
      <x:c r="B130" s="198" t="str">
        <x:v>F1</x:v>
      </x:c>
      <x:c r="C130" s="325" t="n">
        <x:f>'Source rates'!Q286</x:f>
        <x:v>0.38461538461538464</x:v>
      </x:c>
      <x:c r="D130" s="325" t="n">
        <x:f>'Source rates'!Q287</x:f>
        <x:v>0.32057416267942584</x:v>
      </x:c>
      <x:c r="E130" s="325" t="n">
        <x:f>'Source rates'!Q288</x:f>
        <x:v>0.38202247191011235</x:v>
      </x:c>
      <x:c r="F130" s="200" t="n">
        <x:f>'Source rates'!Q289</x:f>
        <x:v>0.44329896907216493</x:v>
      </x:c>
    </x:row>
    <x:row r="131">
      <x:c r="A131" s="198" t="str"/>
      <x:c r="B131" s="198" t="str">
        <x:v>AUC</x:v>
      </x:c>
      <x:c r="C131" s="325" t="n">
        <x:f>'Source rates'!R286</x:f>
        <x:v>0.5296658986175116</x:v>
      </x:c>
      <x:c r="D131" s="325" t="n">
        <x:f>'Source rates'!R287</x:f>
        <x:v>0.543325862841775</x:v>
      </x:c>
      <x:c r="E131" s="325" t="n">
        <x:f>'Source rates'!R288</x:f>
        <x:v>0.48749661154784496</x:v>
      </x:c>
      <x:c r="F131" s="200" t="n">
        <x:f>'Source rates'!R289</x:f>
        <x:v>0.6782325833559231</x:v>
      </x:c>
    </x:row>
    <x:row r="132">
      <x:c r="A132" s="204"/>
      <x:c r="B132" s="204"/>
      <x:c r="C132" s="204"/>
      <x:c r="D132" s="204"/>
      <x:c r="E132" s="204"/>
      <x:c r="F132" s="204"/>
    </x:row>
    <x:row r="133" ht="22" customHeight="1">
      <x:c r="A133" s="187" t="str">
        <x:v>Posterior MMD — Assumed M1</x:v>
      </x:c>
      <x:c r="B133" s="187"/>
      <x:c r="C133" s="187"/>
      <x:c r="D133" s="187"/>
      <x:c r="E133" s="187"/>
      <x:c r="F133" s="187"/>
    </x:row>
    <x:row r="134">
      <x:c r="A134" s="205" t="str">
        <x:v>Raw, network-specific NPE–analytical interval [0, q95]</x:v>
      </x:c>
      <x:c r="B134" s="205"/>
      <x:c r="C134" s="205"/>
      <x:c r="D134" s="205"/>
      <x:c r="E134" s="205"/>
      <x:c r="F134" s="205"/>
    </x:row>
    <x:row r="135">
      <x:c r="A135" s="206" t="str">
        <x:v>Summary</x:v>
      </x:c>
      <x:c r="B135" s="206" t="str">
        <x:v>Statistic</x:v>
      </x:c>
      <x:c r="C135" s="206" t="str">
        <x:v>L2</x:v>
      </x:c>
      <x:c r="D135" s="206" t="str">
        <x:v>L∞</x:v>
      </x:c>
      <x:c r="E135" s="206" t="str">
        <x:v>Density</x:v>
      </x:c>
      <x:c r="F135" s="206" t="str">
        <x:v>MMD</x:v>
      </x:c>
    </x:row>
    <x:row r="136">
      <x:c r="A136" s="198" t="str">
        <x:v>S=D</x:v>
      </x:c>
      <x:c r="B136" s="198" t="str">
        <x:v>FNR</x:v>
      </x:c>
      <x:c r="C136" s="200" t="n">
        <x:f>'Source rates'!O290</x:f>
        <x:v>0.4775</x:v>
      </x:c>
      <x:c r="D136" s="267" t="n">
        <x:f>'Source rates'!O291</x:f>
        <x:v>0.4949748743718593</x:v>
      </x:c>
      <x:c r="E136" s="267" t="n">
        <x:f>'Source rates'!O292</x:f>
        <x:v>0.55</x:v>
      </x:c>
      <x:c r="F136" s="200" t="n">
        <x:f>'Source rates'!O293</x:f>
        <x:v>0.4775</x:v>
      </x:c>
    </x:row>
    <x:row r="137">
      <x:c r="A137" s="198" t="str"/>
      <x:c r="B137" s="198" t="str">
        <x:v>FPR</x:v>
      </x:c>
      <x:c r="C137" s="267" t="n">
        <x:f>'Source rates'!P290</x:f>
        <x:v>0.01</x:v>
      </x:c>
      <x:c r="D137" s="267" t="n">
        <x:f>'Source rates'!P291</x:f>
        <x:v>0.0297029702970297</x:v>
      </x:c>
      <x:c r="E137" s="200" t="n">
        <x:f>'Source rates'!P292</x:f>
        <x:v>0.005</x:v>
      </x:c>
      <x:c r="F137" s="267" t="n">
        <x:f>'Source rates'!P293</x:f>
        <x:v>0.02</x:v>
      </x:c>
    </x:row>
    <x:row r="138">
      <x:c r="A138" s="198" t="str"/>
      <x:c r="B138" s="198" t="str">
        <x:v>F1</x:v>
      </x:c>
      <x:c r="C138" s="200" t="n">
        <x:f>'Source rates'!Q290</x:f>
        <x:v>0.6841243862520459</x:v>
      </x:c>
      <x:c r="D138" s="267" t="n">
        <x:f>'Source rates'!Q291</x:f>
        <x:v>0.6644628099173554</x:v>
      </x:c>
      <x:c r="E138" s="267" t="n">
        <x:f>'Source rates'!Q292</x:f>
        <x:v>0.6196213425129088</x:v>
      </x:c>
      <x:c r="F138" s="267" t="n">
        <x:f>'Source rates'!Q293</x:f>
        <x:v>0.6818923327895595</x:v>
      </x:c>
    </x:row>
    <x:row r="139">
      <x:c r="A139" s="198" t="str"/>
      <x:c r="B139" s="198" t="str">
        <x:v>AUC</x:v>
      </x:c>
      <x:c r="C139" s="267" t="n">
        <x:f>'Source rates'!R290</x:f>
        <x:v>0.8696625</x:v>
      </x:c>
      <x:c r="D139" s="267" t="n">
        <x:f>'Source rates'!R291</x:f>
        <x:v>0.8651922981</x:v>
      </x:c>
      <x:c r="E139" s="200" t="n">
        <x:f>'Source rates'!R292</x:f>
        <x:v>0.9173625</x:v>
      </x:c>
      <x:c r="F139" s="267" t="n">
        <x:f>'Source rates'!R293</x:f>
        <x:v>0.86545</x:v>
      </x:c>
    </x:row>
    <x:row r="140">
      <x:c r="A140" s="201" t="str">
        <x:v>S=2D</x:v>
      </x:c>
      <x:c r="B140" s="201" t="str">
        <x:v>FNR</x:v>
      </x:c>
      <x:c r="C140" s="268" t="n">
        <x:f>'Source rates'!O294</x:f>
        <x:v>0.0903954802259887</x:v>
      </x:c>
      <x:c r="D140" s="268" t="n">
        <x:f>'Source rates'!O295</x:f>
        <x:v>0.24786324786324787</x:v>
      </x:c>
      <x:c r="E140" s="203" t="n">
        <x:f>'Source rates'!O296</x:f>
        <x:v>0.014164305949008499</x:v>
      </x:c>
      <x:c r="F140" s="268" t="n">
        <x:f>'Source rates'!O297</x:f>
        <x:v>0.37960339943342775</x:v>
      </x:c>
    </x:row>
    <x:row r="141">
      <x:c r="A141" s="201" t="str"/>
      <x:c r="B141" s="201" t="str">
        <x:v>FPR</x:v>
      </x:c>
      <x:c r="C141" s="268" t="n">
        <x:f>'Source rates'!P294</x:f>
        <x:v>0.11382113821138211</x:v>
      </x:c>
      <x:c r="D141" s="203" t="n">
        <x:f>'Source rates'!P295</x:f>
        <x:v>0.05622489959839357</x:v>
      </x:c>
      <x:c r="E141" s="268" t="n">
        <x:f>'Source rates'!P296</x:f>
        <x:v>0.22267206477732793</x:v>
      </x:c>
      <x:c r="F141" s="268" t="n">
        <x:f>'Source rates'!P297</x:f>
        <x:v>0.07692307692307693</x:v>
      </x:c>
    </x:row>
    <x:row r="142">
      <x:c r="A142" s="201" t="str"/>
      <x:c r="B142" s="201" t="str">
        <x:v>F1</x:v>
      </x:c>
      <x:c r="C142" s="268" t="n">
        <x:f>'Source rates'!Q294</x:f>
        <x:v>0.9147727272727273</x:v>
      </x:c>
      <x:c r="D142" s="268" t="n">
        <x:f>'Source rates'!Q295</x:f>
        <x:v>0.8394276629570747</x:v>
      </x:c>
      <x:c r="E142" s="203" t="n">
        <x:f>'Source rates'!Q296</x:f>
        <x:v>0.9206349206349206</x:v>
      </x:c>
      <x:c r="F142" s="268" t="n">
        <x:f>'Source rates'!Q297</x:f>
        <x:v>0.7411167512690355</x:v>
      </x:c>
    </x:row>
    <x:row r="143">
      <x:c r="A143" s="201" t="str"/>
      <x:c r="B143" s="201" t="str">
        <x:v>AUC</x:v>
      </x:c>
      <x:c r="C143" s="203" t="n">
        <x:f>'Source rates'!R294</x:f>
        <x:v>0.9760461164</x:v>
      </x:c>
      <x:c r="D143" s="268" t="n">
        <x:f>'Source rates'!R295</x:f>
        <x:v>0.94152107</x:v>
      </x:c>
      <x:c r="E143" s="268" t="n">
        <x:f>'Source rates'!R296</x:f>
        <x:v>0.9484809212</x:v>
      </x:c>
      <x:c r="F143" s="268" t="n">
        <x:f>'Source rates'!R297</x:f>
        <x:v>0.8114484293</x:v>
      </x:c>
    </x:row>
    <x:row r="144">
      <x:c r="A144" s="198" t="str">
        <x:v>S=4D</x:v>
      </x:c>
      <x:c r="B144" s="198" t="str">
        <x:v>FNR</x:v>
      </x:c>
      <x:c r="C144" s="267" t="n">
        <x:f>'Source rates'!O298</x:f>
        <x:v>0.0169971671388102</x:v>
      </x:c>
      <x:c r="D144" s="267" t="n">
        <x:f>'Source rates'!O299</x:f>
        <x:v>0.11142857142857143</x:v>
      </x:c>
      <x:c r="E144" s="200" t="n">
        <x:f>'Source rates'!O300</x:f>
        <x:v>0.014164305949008499</x:v>
      </x:c>
      <x:c r="F144" s="267" t="n">
        <x:f>'Source rates'!O301</x:f>
        <x:v>0.23796033994334279</x:v>
      </x:c>
    </x:row>
    <x:row r="145">
      <x:c r="A145" s="198" t="str"/>
      <x:c r="B145" s="198" t="str">
        <x:v>FPR</x:v>
      </x:c>
      <x:c r="C145" s="267" t="n">
        <x:f>'Source rates'!P298</x:f>
        <x:v>0.20647773279352227</x:v>
      </x:c>
      <x:c r="D145" s="200" t="n">
        <x:f>'Source rates'!P299</x:f>
        <x:v>0.092</x:v>
      </x:c>
      <x:c r="E145" s="267" t="n">
        <x:f>'Source rates'!P300</x:f>
        <x:v>0.3441295546558704</x:v>
      </x:c>
      <x:c r="F145" s="267" t="n">
        <x:f>'Source rates'!P301</x:f>
        <x:v>0.10526315789473684</x:v>
      </x:c>
    </x:row>
    <x:row r="146">
      <x:c r="A146" s="198" t="str"/>
      <x:c r="B146" s="198" t="str">
        <x:v>F1</x:v>
      </x:c>
      <x:c r="C146" s="200" t="n">
        <x:f>'Source rates'!Q298</x:f>
        <x:v>0.9241011984021305</x:v>
      </x:c>
      <x:c r="D146" s="267" t="n">
        <x:f>'Source rates'!Q299</x:f>
        <x:v>0.9093567251461988</x:v>
      </x:c>
      <x:c r="E146" s="267" t="n">
        <x:f>'Source rates'!Q300</x:f>
        <x:v>0.8854961832061069</x:v>
      </x:c>
      <x:c r="F146" s="267" t="n">
        <x:f>'Source rates'!Q301</x:f>
        <x:v>0.8302469135802469</x:v>
      </x:c>
    </x:row>
    <x:row r="147">
      <x:c r="A147" s="198" t="str"/>
      <x:c r="B147" s="198" t="str">
        <x:v>AUC</x:v>
      </x:c>
      <x:c r="C147" s="200" t="n">
        <x:f>'Source rates'!R298</x:f>
        <x:v>0.9781743529</x:v>
      </x:c>
      <x:c r="D147" s="267" t="n">
        <x:f>'Source rates'!R299</x:f>
        <x:v>0.9641485714</x:v>
      </x:c>
      <x:c r="E147" s="267" t="n">
        <x:f>'Source rates'!R300</x:f>
        <x:v>0.928834398</x:v>
      </x:c>
      <x:c r="F147" s="267" t="n">
        <x:f>'Source rates'!R301</x:f>
        <x:v>0.8766386439</x:v>
      </x:c>
    </x:row>
    <x:row r="148">
      <x:c r="A148" s="204"/>
      <x:c r="B148" s="204"/>
      <x:c r="C148" s="204"/>
      <x:c r="D148" s="204"/>
      <x:c r="E148" s="204"/>
      <x:c r="F148" s="204"/>
    </x:row>
    <x:row r="149" ht="22" customHeight="1">
      <x:c r="A149" s="187" t="str">
        <x:v>Posterior MMD — Assumed M2</x:v>
      </x:c>
      <x:c r="B149" s="187"/>
      <x:c r="C149" s="187"/>
      <x:c r="D149" s="187"/>
      <x:c r="E149" s="187"/>
      <x:c r="F149" s="187"/>
    </x:row>
    <x:row r="150">
      <x:c r="A150" s="205" t="str">
        <x:v>Raw, network-specific NPE–analytical interval [0, q95]</x:v>
      </x:c>
      <x:c r="B150" s="205"/>
      <x:c r="C150" s="205"/>
      <x:c r="D150" s="205"/>
      <x:c r="E150" s="205"/>
      <x:c r="F150" s="205"/>
    </x:row>
    <x:row r="151">
      <x:c r="A151" s="206" t="str">
        <x:v>Summary</x:v>
      </x:c>
      <x:c r="B151" s="206" t="str">
        <x:v>Statistic</x:v>
      </x:c>
      <x:c r="C151" s="206" t="str">
        <x:v>L2</x:v>
      </x:c>
      <x:c r="D151" s="206" t="str">
        <x:v>L∞</x:v>
      </x:c>
      <x:c r="E151" s="206" t="str">
        <x:v>Density</x:v>
      </x:c>
      <x:c r="F151" s="206" t="str">
        <x:v>MMD</x:v>
      </x:c>
    </x:row>
    <x:row r="152">
      <x:c r="A152" s="198" t="str">
        <x:v>S=D</x:v>
      </x:c>
      <x:c r="B152" s="198" t="str">
        <x:v>FNR</x:v>
      </x:c>
      <x:c r="C152" s="267" t="n">
        <x:f>'Source rates'!O302</x:f>
        <x:v>0.09945750452079566</x:v>
      </x:c>
      <x:c r="D152" s="267" t="n">
        <x:f>'Source rates'!O303</x:f>
        <x:v>0.16304347826086957</x:v>
      </x:c>
      <x:c r="E152" s="267" t="n">
        <x:f>'Source rates'!O304</x:f>
        <x:v>0.1844484629294756</x:v>
      </x:c>
      <x:c r="F152" s="200" t="n">
        <x:f>'Source rates'!O305</x:f>
        <x:v>0.09584086799276673</x:v>
      </x:c>
    </x:row>
    <x:row r="153">
      <x:c r="A153" s="198" t="str"/>
      <x:c r="B153" s="198" t="str">
        <x:v>FPR</x:v>
      </x:c>
      <x:c r="C153" s="267" t="n">
        <x:f>'Source rates'!P302</x:f>
        <x:v>0.0425531914893617</x:v>
      </x:c>
      <x:c r="D153" s="267" t="n">
        <x:f>'Source rates'!P303</x:f>
        <x:v>0.08333333333333333</x:v>
      </x:c>
      <x:c r="E153" s="200" t="n">
        <x:f>'Source rates'!P304</x:f>
        <x:v>0.02127659574468085</x:v>
      </x:c>
      <x:c r="F153" s="267" t="n">
        <x:f>'Source rates'!P305</x:f>
        <x:v>0.0425531914893617</x:v>
      </x:c>
    </x:row>
    <x:row r="154">
      <x:c r="A154" s="198" t="str"/>
      <x:c r="B154" s="198" t="str">
        <x:v>F1</x:v>
      </x:c>
      <x:c r="C154" s="267" t="n">
        <x:f>'Source rates'!Q302</x:f>
        <x:v>0.9458689458689459</x:v>
      </x:c>
      <x:c r="D154" s="267" t="n">
        <x:f>'Source rates'!Q303</x:f>
        <x:v>0.9076620825147348</x:v>
      </x:c>
      <x:c r="E154" s="267" t="n">
        <x:f>'Source rates'!Q304</x:f>
        <x:v>0.8975124378109453</x:v>
      </x:c>
      <x:c r="F154" s="200" t="n">
        <x:f>'Source rates'!Q305</x:f>
        <x:v>0.9478672985781991</x:v>
      </x:c>
    </x:row>
    <x:row r="155">
      <x:c r="A155" s="198" t="str"/>
      <x:c r="B155" s="198" t="str">
        <x:v>AUC</x:v>
      </x:c>
      <x:c r="C155" s="267" t="n">
        <x:f>'Source rates'!R302</x:f>
        <x:v>0.9626024393</x:v>
      </x:c>
      <x:c r="D155" s="267" t="n">
        <x:f>'Source rates'!R303</x:f>
        <x:v>0.9455766908</x:v>
      </x:c>
      <x:c r="E155" s="267" t="n">
        <x:f>'Source rates'!R304</x:f>
        <x:v>0.9502135355</x:v>
      </x:c>
      <x:c r="F155" s="200" t="n">
        <x:f>'Source rates'!R305</x:f>
        <x:v>0.962948713</x:v>
      </x:c>
    </x:row>
    <x:row r="156">
      <x:c r="A156" s="201" t="str">
        <x:v>S=2D</x:v>
      </x:c>
      <x:c r="B156" s="201" t="str">
        <x:v>FNR</x:v>
      </x:c>
      <x:c r="C156" s="203" t="n">
        <x:f>'Source rates'!O306</x:f>
        <x:v>0.0036231884057971015</x:v>
      </x:c>
      <x:c r="D156" s="268" t="n">
        <x:f>'Source rates'!O307</x:f>
        <x:v>0.04308797127468582</x:v>
      </x:c>
      <x:c r="E156" s="268" t="n">
        <x:f>'Source rates'!O308</x:f>
        <x:v>0.007246376811594203</x:v>
      </x:c>
      <x:c r="F156" s="268" t="n">
        <x:f>'Source rates'!O309</x:f>
        <x:v>0.03985507246376811</x:v>
      </x:c>
    </x:row>
    <x:row r="157">
      <x:c r="A157" s="201" t="str"/>
      <x:c r="B157" s="201" t="str">
        <x:v>FPR</x:v>
      </x:c>
      <x:c r="C157" s="268" t="n">
        <x:f>'Source rates'!P306</x:f>
        <x:v>0.0625</x:v>
      </x:c>
      <x:c r="D157" s="203" t="n">
        <x:f>'Source rates'!P307</x:f>
        <x:v>0.023255813953488372</x:v>
      </x:c>
      <x:c r="E157" s="268" t="n">
        <x:f>'Source rates'!P308</x:f>
        <x:v>0.0625</x:v>
      </x:c>
      <x:c r="F157" s="268" t="n">
        <x:f>'Source rates'!P309</x:f>
        <x:v>0.0625</x:v>
      </x:c>
    </x:row>
    <x:row r="158">
      <x:c r="A158" s="201" t="str"/>
      <x:c r="B158" s="201" t="str">
        <x:v>F1</x:v>
      </x:c>
      <x:c r="C158" s="203" t="n">
        <x:f>'Source rates'!Q306</x:f>
        <x:v>0.995475113122172</x:v>
      </x:c>
      <x:c r="D158" s="268" t="n">
        <x:f>'Source rates'!Q307</x:f>
        <x:v>0.9770852428964253</x:v>
      </x:c>
      <x:c r="E158" s="268" t="n">
        <x:f>'Source rates'!Q308</x:f>
        <x:v>0.9936536718041704</x:v>
      </x:c>
      <x:c r="F158" s="268" t="n">
        <x:f>'Source rates'!Q309</x:f>
        <x:v>0.9769585253456221</x:v>
      </x:c>
    </x:row>
    <x:row r="159">
      <x:c r="A159" s="201" t="str"/>
      <x:c r="B159" s="201" t="str">
        <x:v>AUC</x:v>
      </x:c>
      <x:c r="C159" s="203" t="n">
        <x:f>'Source rates'!R306</x:f>
        <x:v>0.9994716184</x:v>
      </x:c>
      <x:c r="D159" s="268" t="n">
        <x:f>'Source rates'!R307</x:f>
        <x:v>0.9904388126</x:v>
      </x:c>
      <x:c r="E159" s="268" t="n">
        <x:f>'Source rates'!R308</x:f>
        <x:v>0.9984525966</x:v>
      </x:c>
      <x:c r="F159" s="268" t="n">
        <x:f>'Source rates'!R309</x:f>
        <x:v>0.9908665459</x:v>
      </x:c>
    </x:row>
    <x:row r="160">
      <x:c r="A160" s="198" t="str">
        <x:v>S=4D</x:v>
      </x:c>
      <x:c r="B160" s="198" t="str">
        <x:v>FNR</x:v>
      </x:c>
      <x:c r="C160" s="200" t="n">
        <x:f>'Source rates'!O310</x:f>
        <x:v>0.009009009009009009</x:v>
      </x:c>
      <x:c r="D160" s="267" t="n">
        <x:f>'Source rates'!O311</x:f>
        <x:v>0.06104129263913824</x:v>
      </x:c>
      <x:c r="E160" s="200" t="n">
        <x:f>'Source rates'!O312</x:f>
        <x:v>0.009009009009009009</x:v>
      </x:c>
      <x:c r="F160" s="267" t="n">
        <x:f>'Source rates'!O313</x:f>
        <x:v>0.023423423423423424</x:v>
      </x:c>
    </x:row>
    <x:row r="161">
      <x:c r="A161" s="198" t="str"/>
      <x:c r="B161" s="198" t="str">
        <x:v>FPR</x:v>
      </x:c>
      <x:c r="C161" s="200" t="n">
        <x:f>'Source rates'!P310</x:f>
        <x:v>0.022222222222222223</x:v>
      </x:c>
      <x:c r="D161" s="267" t="n">
        <x:f>'Source rates'!P311</x:f>
        <x:v>0.046511627906976744</x:v>
      </x:c>
      <x:c r="E161" s="267" t="n">
        <x:f>'Source rates'!P312</x:f>
        <x:v>0.06666666666666667</x:v>
      </x:c>
      <x:c r="F161" s="200" t="n">
        <x:f>'Source rates'!P313</x:f>
        <x:v>0.022222222222222223</x:v>
      </x:c>
    </x:row>
    <x:row r="162">
      <x:c r="A162" s="198" t="str"/>
      <x:c r="B162" s="198" t="str">
        <x:v>F1</x:v>
      </x:c>
      <x:c r="C162" s="200" t="n">
        <x:f>'Source rates'!Q310</x:f>
        <x:v>0.9945750452079566</x:v>
      </x:c>
      <x:c r="D162" s="267" t="n">
        <x:f>'Source rates'!Q311</x:f>
        <x:v>0.966728280961183</x:v>
      </x:c>
      <x:c r="E162" s="267" t="n">
        <x:f>'Source rates'!Q312</x:f>
        <x:v>0.9927797833935018</x:v>
      </x:c>
      <x:c r="F162" s="267" t="n">
        <x:f>'Source rates'!Q313</x:f>
        <x:v>0.9872495446265938</x:v>
      </x:c>
    </x:row>
    <x:row r="163">
      <x:c r="A163" s="198" t="str"/>
      <x:c r="B163" s="198" t="str">
        <x:v>AUC</x:v>
      </x:c>
      <x:c r="C163" s="200" t="n">
        <x:f>'Source rates'!R310</x:f>
        <x:v>0.9993193193</x:v>
      </x:c>
      <x:c r="D163" s="267" t="n">
        <x:f>'Source rates'!R311</x:f>
        <x:v>0.9845935452</x:v>
      </x:c>
      <x:c r="E163" s="267" t="n">
        <x:f>'Source rates'!R312</x:f>
        <x:v>0.9978778779</x:v>
      </x:c>
      <x:c r="F163" s="267" t="n">
        <x:f>'Source rates'!R313</x:f>
        <x:v>0.9980780781</x:v>
      </x:c>
    </x:row>
    <x:row r="164">
      <x:c r="A164" s="204"/>
      <x:c r="B164" s="204"/>
      <x:c r="C164" s="204"/>
      <x:c r="D164" s="204"/>
      <x:c r="E164" s="204"/>
      <x:c r="F164" s="204"/>
    </x:row>
    <x:row r="165" ht="22" customHeight="1">
      <x:c r="A165" s="187" t="str">
        <x:v>Posterior MMD — Assumed M3</x:v>
      </x:c>
      <x:c r="B165" s="187"/>
      <x:c r="C165" s="187"/>
      <x:c r="D165" s="187"/>
      <x:c r="E165" s="187"/>
      <x:c r="F165" s="187"/>
    </x:row>
    <x:row r="166">
      <x:c r="A166" s="205" t="str">
        <x:v>Raw, network-specific NPE–analytical interval [0, q95]</x:v>
      </x:c>
      <x:c r="B166" s="205"/>
      <x:c r="C166" s="205"/>
      <x:c r="D166" s="205"/>
      <x:c r="E166" s="205"/>
      <x:c r="F166" s="205"/>
    </x:row>
    <x:row r="167">
      <x:c r="A167" s="206" t="str">
        <x:v>Summary</x:v>
      </x:c>
      <x:c r="B167" s="206" t="str">
        <x:v>Statistic</x:v>
      </x:c>
      <x:c r="C167" s="206" t="str">
        <x:v>L2</x:v>
      </x:c>
      <x:c r="D167" s="206" t="str">
        <x:v>L∞</x:v>
      </x:c>
      <x:c r="E167" s="206" t="str">
        <x:v>Density</x:v>
      </x:c>
      <x:c r="F167" s="206" t="str">
        <x:v>MMD</x:v>
      </x:c>
    </x:row>
    <x:row r="168">
      <x:c r="A168" s="198" t="str">
        <x:v>S=D</x:v>
      </x:c>
      <x:c r="B168" s="198" t="str">
        <x:v>FNR</x:v>
      </x:c>
      <x:c r="C168" s="200" t="n">
        <x:f>'Source rates'!O314</x:f>
        <x:v>0.13709677419354838</x:v>
      </x:c>
      <x:c r="D168" s="267" t="n">
        <x:f>'Source rates'!O315</x:f>
        <x:v>0.25133689839572193</x:v>
      </x:c>
      <x:c r="E168" s="267" t="n">
        <x:f>'Source rates'!O316</x:f>
        <x:v>0.3870967741935484</x:v>
      </x:c>
      <x:c r="F168" s="267" t="n">
        <x:f>'Source rates'!O317</x:f>
        <x:v>0.13978494623655913</x:v>
      </x:c>
    </x:row>
    <x:row r="169">
      <x:c r="A169" s="198" t="str"/>
      <x:c r="B169" s="198" t="str">
        <x:v>FPR</x:v>
      </x:c>
      <x:c r="C169" s="267" t="n">
        <x:f>'Source rates'!P314</x:f>
        <x:v>0.30701754385964913</x:v>
      </x:c>
      <x:c r="D169" s="267" t="n">
        <x:f>'Source rates'!P315</x:f>
        <x:v>0.3008849557522124</x:v>
      </x:c>
      <x:c r="E169" s="200" t="n">
        <x:f>'Source rates'!P316</x:f>
        <x:v>0.25</x:v>
      </x:c>
      <x:c r="F169" s="267" t="n">
        <x:f>'Source rates'!P317</x:f>
        <x:v>0.30701754385964913</x:v>
      </x:c>
    </x:row>
    <x:row r="170">
      <x:c r="A170" s="198" t="str"/>
      <x:c r="B170" s="198" t="str">
        <x:v>F1</x:v>
      </x:c>
      <x:c r="C170" s="200" t="n">
        <x:f>'Source rates'!Q314</x:f>
        <x:v>0.8414154652686763</x:v>
      </x:c>
      <x:c r="D170" s="267" t="n">
        <x:f>'Source rates'!Q315</x:f>
        <x:v>0.775623268698061</x:v>
      </x:c>
      <x:c r="E170" s="267" t="n">
        <x:f>'Source rates'!Q316</x:f>
        <x:v>0.6940639269406392</x:v>
      </x:c>
      <x:c r="F170" s="267" t="n">
        <x:f>'Source rates'!Q317</x:f>
        <x:v>0.8398950131233596</x:v>
      </x:c>
    </x:row>
    <x:row r="171">
      <x:c r="A171" s="198" t="str"/>
      <x:c r="B171" s="198" t="str">
        <x:v>AUC</x:v>
      </x:c>
      <x:c r="C171" s="267" t="n">
        <x:f>'Source rates'!R314</x:f>
        <x:v>0.7720241464</x:v>
      </x:c>
      <x:c r="D171" s="200" t="n">
        <x:f>'Source rates'!R315</x:f>
        <x:v>0.7747030429</x:v>
      </x:c>
      <x:c r="E171" s="267" t="n">
        <x:f>'Source rates'!R316</x:f>
        <x:v>0.7660818713</x:v>
      </x:c>
      <x:c r="F171" s="267" t="n">
        <x:f>'Source rates'!R317</x:f>
        <x:v>0.7742053386</x:v>
      </x:c>
    </x:row>
    <x:row r="172">
      <x:c r="A172" s="201" t="str">
        <x:v>S=2D</x:v>
      </x:c>
      <x:c r="B172" s="201" t="str">
        <x:v>FNR</x:v>
      </x:c>
      <x:c r="C172" s="268" t="n">
        <x:f>'Source rates'!O318</x:f>
        <x:v>0.2631578947368421</x:v>
      </x:c>
      <x:c r="D172" s="268" t="n">
        <x:f>'Source rates'!O319</x:f>
        <x:v>0.33575317604355714</x:v>
      </x:c>
      <x:c r="E172" s="203" t="n">
        <x:f>'Source rates'!O320</x:f>
        <x:v>0.06715063520871144</x:v>
      </x:c>
      <x:c r="F172" s="268" t="n">
        <x:f>'Source rates'!O321</x:f>
        <x:v>0.279491833030853</x:v>
      </x:c>
    </x:row>
    <x:row r="173">
      <x:c r="A173" s="201" t="str"/>
      <x:c r="B173" s="201" t="str">
        <x:v>FPR</x:v>
      </x:c>
      <x:c r="C173" s="268" t="n">
        <x:f>'Source rates'!P318</x:f>
        <x:v>0.04081632653061224</x:v>
      </x:c>
      <x:c r="D173" s="203" t="n">
        <x:f>'Source rates'!P319</x:f>
        <x:v>0.02040816326530612</x:v>
      </x:c>
      <x:c r="E173" s="268" t="n">
        <x:f>'Source rates'!P320</x:f>
        <x:v>0.04081632653061224</x:v>
      </x:c>
      <x:c r="F173" s="268" t="n">
        <x:f>'Source rates'!P321</x:f>
        <x:v>0.04081632653061224</x:v>
      </x:c>
    </x:row>
    <x:row r="174">
      <x:c r="A174" s="201" t="str"/>
      <x:c r="B174" s="201" t="str">
        <x:v>F1</x:v>
      </x:c>
      <x:c r="C174" s="268" t="n">
        <x:f>'Source rates'!Q318</x:f>
        <x:v>0.8467153284671532</x:v>
      </x:c>
      <x:c r="D174" s="268" t="n">
        <x:f>'Source rates'!Q319</x:f>
        <x:v>0.7973856209150327</x:v>
      </x:c>
      <x:c r="E174" s="203" t="n">
        <x:f>'Source rates'!Q320</x:f>
        <x:v>0.9634489222118088</x:v>
      </x:c>
      <x:c r="F174" s="268" t="n">
        <x:f>'Source rates'!Q321</x:f>
        <x:v>0.8357894736842105</x:v>
      </x:c>
    </x:row>
    <x:row r="175">
      <x:c r="A175" s="201" t="str"/>
      <x:c r="B175" s="201" t="str">
        <x:v>AUC</x:v>
      </x:c>
      <x:c r="C175" s="268" t="n">
        <x:f>'Source rates'!R318</x:f>
        <x:v>0.8284380903</x:v>
      </x:c>
      <x:c r="D175" s="268" t="n">
        <x:f>'Source rates'!R319</x:f>
        <x:v>0.7863624579</x:v>
      </x:c>
      <x:c r="E175" s="203" t="n">
        <x:f>'Source rates'!R320</x:f>
        <x:v>0.9921478573</x:v>
      </x:c>
      <x:c r="F175" s="268" t="n">
        <x:f>'Source rates'!R321</x:f>
        <x:v>0.7694729434</x:v>
      </x:c>
    </x:row>
    <x:row r="176">
      <x:c r="A176" s="198" t="str">
        <x:v>S=4D</x:v>
      </x:c>
      <x:c r="B176" s="198" t="str">
        <x:v>FNR</x:v>
      </x:c>
      <x:c r="C176" s="267" t="n">
        <x:f>'Source rates'!O322</x:f>
        <x:v>0.023593466424682397</x:v>
      </x:c>
      <x:c r="D176" s="267" t="n">
        <x:f>'Source rates'!O323</x:f>
        <x:v>0.20833333333333334</x:v>
      </x:c>
      <x:c r="E176" s="200" t="n">
        <x:f>'Source rates'!O324</x:f>
        <x:v>0.0018148820326678765</x:v>
      </x:c>
      <x:c r="F176" s="267" t="n">
        <x:f>'Source rates'!O325</x:f>
        <x:v>0.2813067150635209</x:v>
      </x:c>
    </x:row>
    <x:row r="177">
      <x:c r="A177" s="198" t="str"/>
      <x:c r="B177" s="198" t="str">
        <x:v>FPR</x:v>
      </x:c>
      <x:c r="C177" s="267" t="n">
        <x:f>'Source rates'!P322</x:f>
        <x:v>0.061224489795918366</x:v>
      </x:c>
      <x:c r="D177" s="267" t="n">
        <x:f>'Source rates'!P323</x:f>
        <x:v>0.0625</x:v>
      </x:c>
      <x:c r="E177" s="267" t="n">
        <x:f>'Source rates'!P324</x:f>
        <x:v>0.061224489795918366</x:v>
      </x:c>
      <x:c r="F177" s="200" t="n">
        <x:f>'Source rates'!P325</x:f>
        <x:v>0.04081632653061224</x:v>
      </x:c>
    </x:row>
    <x:row r="178">
      <x:c r="A178" s="198" t="str"/>
      <x:c r="B178" s="198" t="str">
        <x:v>F1</x:v>
      </x:c>
      <x:c r="C178" s="267" t="n">
        <x:f>'Source rates'!Q322</x:f>
        <x:v>0.9853479853479854</x:v>
      </x:c>
      <x:c r="D178" s="267" t="n">
        <x:f>'Source rates'!Q323</x:f>
        <x:v>0.8810483870967742</x:v>
      </x:c>
      <x:c r="E178" s="200" t="n">
        <x:f>'Source rates'!Q324</x:f>
        <x:v>0.9963768115942029</x:v>
      </x:c>
      <x:c r="F178" s="267" t="n">
        <x:f>'Source rates'!Q325</x:f>
        <x:v>0.8345626975763962</x:v>
      </x:c>
    </x:row>
    <x:row r="179">
      <x:c r="A179" s="198" t="str"/>
      <x:c r="B179" s="198" t="str">
        <x:v>AUC</x:v>
      </x:c>
      <x:c r="C179" s="267" t="n">
        <x:f>'Source rates'!R322</x:f>
        <x:v>0.9923330494</x:v>
      </x:c>
      <x:c r="D179" s="267" t="n">
        <x:f>'Source rates'!R323</x:f>
        <x:v>0.9433876812</x:v>
      </x:c>
      <x:c r="E179" s="200" t="n">
        <x:f>'Source rates'!R324</x:f>
        <x:v>0.9992962702</x:v>
      </x:c>
      <x:c r="F179" s="267" t="n">
        <x:f>'Source rates'!R325</x:f>
        <x:v>0.7779177007</x:v>
      </x:c>
    </x:row>
    <x:row r="180">
      <x:c r="A180" s="204"/>
      <x:c r="B180" s="204"/>
      <x:c r="C180" s="204"/>
      <x:c r="D180" s="204"/>
      <x:c r="E180" s="204"/>
      <x:c r="F180" s="204"/>
    </x:row>
    <x:row r="181" ht="22" customHeight="1">
      <x:c r="A181" s="187" t="str">
        <x:v>Posterior MMD — Assumed M4</x:v>
      </x:c>
      <x:c r="B181" s="187"/>
      <x:c r="C181" s="187"/>
      <x:c r="D181" s="187"/>
      <x:c r="E181" s="187"/>
      <x:c r="F181" s="187"/>
    </x:row>
    <x:row r="182">
      <x:c r="A182" s="205" t="str">
        <x:v>Raw, network-specific NPE–analytical interval [0, q95]</x:v>
      </x:c>
      <x:c r="B182" s="205"/>
      <x:c r="C182" s="205"/>
      <x:c r="D182" s="205"/>
      <x:c r="E182" s="205"/>
      <x:c r="F182" s="205"/>
    </x:row>
    <x:row r="183">
      <x:c r="A183" s="206" t="str">
        <x:v>Summary</x:v>
      </x:c>
      <x:c r="B183" s="206" t="str">
        <x:v>Statistic</x:v>
      </x:c>
      <x:c r="C183" s="206" t="str">
        <x:v>L2</x:v>
      </x:c>
      <x:c r="D183" s="206" t="str">
        <x:v>L∞</x:v>
      </x:c>
      <x:c r="E183" s="206" t="str">
        <x:v>Density</x:v>
      </x:c>
      <x:c r="F183" s="206" t="str">
        <x:v>MMD</x:v>
      </x:c>
    </x:row>
    <x:row r="184">
      <x:c r="A184" s="198" t="str">
        <x:v>S=D</x:v>
      </x:c>
      <x:c r="B184" s="198" t="str">
        <x:v>FNR</x:v>
      </x:c>
      <x:c r="C184" s="267" t="n">
        <x:f>'Source rates'!O326</x:f>
        <x:v>0.48860759493670886</x:v>
      </x:c>
      <x:c r="D184" s="200" t="n">
        <x:f>'Source rates'!O327</x:f>
        <x:v>0.4860050890585242</x:v>
      </x:c>
      <x:c r="E184" s="267" t="n">
        <x:f>'Source rates'!O328</x:f>
        <x:v>0.4962025316455696</x:v>
      </x:c>
      <x:c r="F184" s="267" t="n">
        <x:f>'Source rates'!O329</x:f>
        <x:v>0.4860759493670886</x:v>
      </x:c>
    </x:row>
    <x:row r="185">
      <x:c r="A185" s="198" t="str"/>
      <x:c r="B185" s="198" t="str">
        <x:v>FPR</x:v>
      </x:c>
      <x:c r="C185" s="267" t="n">
        <x:f>'Source rates'!P326</x:f>
        <x:v>0.02926829268292683</x:v>
      </x:c>
      <x:c r="D185" s="200" t="n">
        <x:f>'Source rates'!P327</x:f>
        <x:v>0.024154589371980676</x:v>
      </x:c>
      <x:c r="E185" s="267" t="n">
        <x:f>'Source rates'!P328</x:f>
        <x:v>0.024390243902439025</x:v>
      </x:c>
      <x:c r="F185" s="267" t="n">
        <x:f>'Source rates'!P329</x:f>
        <x:v>0.03902439024390244</x:v>
      </x:c>
    </x:row>
    <x:row r="186">
      <x:c r="A186" s="198" t="str"/>
      <x:c r="B186" s="198" t="str">
        <x:v>F1</x:v>
      </x:c>
      <x:c r="C186" s="267" t="n">
        <x:f>'Source rates'!Q326</x:f>
        <x:v>0.6699834162520729</x:v>
      </x:c>
      <x:c r="D186" s="200" t="n">
        <x:f>'Source rates'!Q327</x:f>
        <x:v>0.6733333333333333</x:v>
      </x:c>
      <x:c r="E186" s="267" t="n">
        <x:f>'Source rates'!Q328</x:f>
        <x:v>0.664440734557596</x:v>
      </x:c>
      <x:c r="F186" s="267" t="n">
        <x:f>'Source rates'!Q329</x:f>
        <x:v>0.66996699669967</x:v>
      </x:c>
    </x:row>
    <x:row r="187">
      <x:c r="A187" s="198" t="str"/>
      <x:c r="B187" s="198" t="str">
        <x:v>AUC</x:v>
      </x:c>
      <x:c r="C187" s="267" t="n">
        <x:f>'Source rates'!R326</x:f>
        <x:v>0.8641556036</x:v>
      </x:c>
      <x:c r="D187" s="267" t="n">
        <x:f>'Source rates'!R327</x:f>
        <x:v>0.8555026982</x:v>
      </x:c>
      <x:c r="E187" s="200" t="n">
        <x:f>'Source rates'!R328</x:f>
        <x:v>0.869527632</x:v>
      </x:c>
      <x:c r="F187" s="267" t="n">
        <x:f>'Source rates'!R329</x:f>
        <x:v>0.8634146341</x:v>
      </x:c>
    </x:row>
    <x:row r="188">
      <x:c r="A188" s="201" t="str">
        <x:v>S=2D</x:v>
      </x:c>
      <x:c r="B188" s="201" t="str">
        <x:v>FNR</x:v>
      </x:c>
      <x:c r="C188" s="268" t="n">
        <x:f>'Source rates'!O330</x:f>
        <x:v>0.03418803418803419</x:v>
      </x:c>
      <x:c r="D188" s="268" t="n">
        <x:f>'Source rates'!O331</x:f>
        <x:v>0.2443820224719101</x:v>
      </x:c>
      <x:c r="E188" s="203" t="n">
        <x:f>'Source rates'!O332</x:f>
        <x:v>0.019943019943019943</x:v>
      </x:c>
      <x:c r="F188" s="268" t="n">
        <x:f>'Source rates'!O333</x:f>
        <x:v>0.33618233618233617</x:v>
      </x:c>
    </x:row>
    <x:row r="189">
      <x:c r="A189" s="201" t="str"/>
      <x:c r="B189" s="201" t="str">
        <x:v>FPR</x:v>
      </x:c>
      <x:c r="C189" s="268" t="n">
        <x:f>'Source rates'!P330</x:f>
        <x:v>0.1566265060240964</x:v>
      </x:c>
      <x:c r="D189" s="203" t="n">
        <x:f>'Source rates'!P331</x:f>
        <x:v>0.036885245901639344</x:v>
      </x:c>
      <x:c r="E189" s="268" t="n">
        <x:f>'Source rates'!P332</x:f>
        <x:v>0.24497991967871485</x:v>
      </x:c>
      <x:c r="F189" s="268" t="n">
        <x:f>'Source rates'!P333</x:f>
        <x:v>0.09236947791164658</x:v>
      </x:c>
    </x:row>
    <x:row r="190">
      <x:c r="A190" s="201" t="str"/>
      <x:c r="B190" s="201" t="str">
        <x:v>F1</x:v>
      </x:c>
      <x:c r="C190" s="203" t="n">
        <x:f>'Source rates'!Q330</x:f>
        <x:v>0.9300411522633745</x:v>
      </x:c>
      <x:c r="D190" s="268" t="n">
        <x:f>'Source rates'!Q331</x:f>
        <x:v>0.8485804416403786</x:v>
      </x:c>
      <x:c r="E190" s="268" t="n">
        <x:f>'Source rates'!Q332</x:f>
        <x:v>0.91005291005291</x:v>
      </x:c>
      <x:c r="F190" s="268" t="n">
        <x:f>'Source rates'!Q333</x:f>
        <x:v>0.7677100494233937</x:v>
      </x:c>
    </x:row>
    <x:row r="191">
      <x:c r="A191" s="201" t="str"/>
      <x:c r="B191" s="201" t="str">
        <x:v>AUC</x:v>
      </x:c>
      <x:c r="C191" s="203" t="n">
        <x:f>'Source rates'!R330</x:f>
        <x:v>0.9801713978</x:v>
      </x:c>
      <x:c r="D191" s="268" t="n">
        <x:f>'Source rates'!R331</x:f>
        <x:v>0.9479761466</x:v>
      </x:c>
      <x:c r="E191" s="268" t="n">
        <x:f>'Source rates'!R332</x:f>
        <x:v>0.9240494743</x:v>
      </x:c>
      <x:c r="F191" s="268" t="n">
        <x:f>'Source rates'!R333</x:f>
        <x:v>0.8252268333</x:v>
      </x:c>
    </x:row>
    <x:row r="192">
      <x:c r="A192" s="198" t="str">
        <x:v>S=4D</x:v>
      </x:c>
      <x:c r="B192" s="198" t="str">
        <x:v>FNR</x:v>
      </x:c>
      <x:c r="C192" s="267" t="n">
        <x:f>'Source rates'!O334</x:f>
        <x:v>0.023076923076923078</x:v>
      </x:c>
      <x:c r="D192" s="267" t="n">
        <x:f>'Source rates'!O335</x:f>
        <x:v>0.24615384615384617</x:v>
      </x:c>
      <x:c r="E192" s="200" t="n">
        <x:f>'Source rates'!O336</x:f>
        <x:v>0.020512820512820513</x:v>
      </x:c>
      <x:c r="F192" s="267" t="n">
        <x:f>'Source rates'!O337</x:f>
        <x:v>0.3282051282051282</x:v>
      </x:c>
    </x:row>
    <x:row r="193">
      <x:c r="A193" s="198" t="str"/>
      <x:c r="B193" s="198" t="str">
        <x:v>FPR</x:v>
      </x:c>
      <x:c r="C193" s="267" t="n">
        <x:f>'Source rates'!P334</x:f>
        <x:v>0.07142857142857142</x:v>
      </x:c>
      <x:c r="D193" s="267" t="n">
        <x:f>'Source rates'!P335</x:f>
        <x:v>0.04285714285714286</x:v>
      </x:c>
      <x:c r="E193" s="267" t="n">
        <x:f>'Source rates'!P336</x:f>
        <x:v>0.13333333333333333</x:v>
      </x:c>
      <x:c r="F193" s="200" t="n">
        <x:f>'Source rates'!P337</x:f>
        <x:v>0.009523809523809525</x:v>
      </x:c>
    </x:row>
    <x:row r="194">
      <x:c r="A194" s="198" t="str"/>
      <x:c r="B194" s="198" t="str">
        <x:v>F1</x:v>
      </x:c>
      <x:c r="C194" s="200" t="n">
        <x:f>'Source rates'!Q334</x:f>
        <x:v>0.9694656488549618</x:v>
      </x:c>
      <x:c r="D194" s="267" t="n">
        <x:f>'Source rates'!Q335</x:f>
        <x:v>0.8484848484848485</x:v>
      </x:c>
      <x:c r="E194" s="267" t="n">
        <x:f>'Source rates'!Q336</x:f>
        <x:v>0.955</x:v>
      </x:c>
      <x:c r="F194" s="267" t="n">
        <x:f>'Source rates'!Q337</x:f>
        <x:v>0.8012232415902141</x:v>
      </x:c>
    </x:row>
    <x:row r="195">
      <x:c r="A195" s="198" t="str"/>
      <x:c r="B195" s="198" t="str">
        <x:v>AUC</x:v>
      </x:c>
      <x:c r="C195" s="200" t="n">
        <x:f>'Source rates'!R334</x:f>
        <x:v>0.985970696</x:v>
      </x:c>
      <x:c r="D195" s="267" t="n">
        <x:f>'Source rates'!R335</x:f>
        <x:v>0.9589499389</x:v>
      </x:c>
      <x:c r="E195" s="267" t="n">
        <x:f>'Source rates'!R336</x:f>
        <x:v>0.9733211233</x:v>
      </x:c>
      <x:c r="F195" s="267" t="n">
        <x:f>'Source rates'!R337</x:f>
        <x:v>0.8797802198</x:v>
      </x:c>
    </x:row>
    <x:row r="196">
      <x:c r="A196" s="204"/>
      <x:c r="B196" s="204"/>
      <x:c r="C196" s="204"/>
      <x:c r="D196" s="204"/>
      <x:c r="E196" s="204"/>
      <x:c r="F196" s="204"/>
    </x:row>
  </x:sheetData>
  <x:mergeCells>
    <x:mergeCell ref="A1:F1"/>
    <x:mergeCell ref="A2:F3"/>
    <x:mergeCell ref="A5:F5"/>
    <x:mergeCell ref="A6:F6"/>
    <x:mergeCell ref="A8:A11"/>
    <x:mergeCell ref="A12:A15"/>
    <x:mergeCell ref="A16:A19"/>
    <x:mergeCell ref="A21:F21"/>
    <x:mergeCell ref="A22:F22"/>
    <x:mergeCell ref="A24:A27"/>
    <x:mergeCell ref="A28:A31"/>
    <x:mergeCell ref="A32:A35"/>
    <x:mergeCell ref="A37:F37"/>
    <x:mergeCell ref="A38:F38"/>
    <x:mergeCell ref="A40:A43"/>
    <x:mergeCell ref="A44:A47"/>
    <x:mergeCell ref="A48:A51"/>
    <x:mergeCell ref="A53:F53"/>
    <x:mergeCell ref="A54:F54"/>
    <x:mergeCell ref="A56:A59"/>
    <x:mergeCell ref="A60:A63"/>
    <x:mergeCell ref="A64:A67"/>
    <x:mergeCell ref="A69:F69"/>
    <x:mergeCell ref="A70:F70"/>
    <x:mergeCell ref="A72:A75"/>
    <x:mergeCell ref="A76:A79"/>
    <x:mergeCell ref="A80:A83"/>
    <x:mergeCell ref="A85:F85"/>
    <x:mergeCell ref="A86:F86"/>
    <x:mergeCell ref="A88:A91"/>
    <x:mergeCell ref="A92:A95"/>
    <x:mergeCell ref="A96:A99"/>
    <x:mergeCell ref="A101:F101"/>
    <x:mergeCell ref="A102:F102"/>
    <x:mergeCell ref="A104:A107"/>
    <x:mergeCell ref="A108:A111"/>
    <x:mergeCell ref="A112:A115"/>
    <x:mergeCell ref="A117:F117"/>
    <x:mergeCell ref="A118:F118"/>
    <x:mergeCell ref="A120:A123"/>
    <x:mergeCell ref="A124:A127"/>
    <x:mergeCell ref="A128:A131"/>
    <x:mergeCell ref="A133:F133"/>
    <x:mergeCell ref="A134:F134"/>
    <x:mergeCell ref="A136:A139"/>
    <x:mergeCell ref="A140:A143"/>
    <x:mergeCell ref="A144:A147"/>
    <x:mergeCell ref="A149:F149"/>
    <x:mergeCell ref="A150:F150"/>
    <x:mergeCell ref="A152:A155"/>
    <x:mergeCell ref="A156:A159"/>
    <x:mergeCell ref="A160:A163"/>
    <x:mergeCell ref="A165:F165"/>
    <x:mergeCell ref="A166:F166"/>
    <x:mergeCell ref="A168:A171"/>
    <x:mergeCell ref="A172:A175"/>
    <x:mergeCell ref="A176:A179"/>
    <x:mergeCell ref="A181:F181"/>
    <x:mergeCell ref="A182:F182"/>
    <x:mergeCell ref="A184:A187"/>
    <x:mergeCell ref="A188:A191"/>
    <x:mergeCell ref="A192:A19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</x:cols>
  <x:sheetData>
    <x:row r="1" ht="28" customHeight="1">
      <x:c r="A1" s="178" t="str">
        <x:v>Raw-threshold classification and AUC method</x:v>
      </x:c>
      <x:c r="B1" s="178"/>
      <x:c r="C1" s="178"/>
      <x:c r="D1" s="178"/>
      <x:c r="E1" s="178"/>
      <x:c r="F1" s="178"/>
    </x:row>
    <x:row r="3">
      <x:c r="A3" s="212" t="str">
        <x:v>Item</x:v>
      </x:c>
      <x:c r="B3" s="212" t="str">
        <x:v>Definition</x:v>
      </x:c>
    </x:row>
    <x:row r="4" ht="34" customHeight="1">
      <x:c r="A4" s="213" t="str">
        <x:v>Scope</x:v>
      </x:c>
      <x:c r="B4" s="214" t="str">
        <x:v>Diffusion (without MMD loss, rerun1) and Gaussian case studies. Results are separated by case study, diagnostic, assumed model, summary dimension and error metric.</x:v>
      </x:c>
    </x:row>
    <x:row r="5" ht="42" customHeight="1">
      <x:c r="A5" s="213" t="str">
        <x:v>Threshold source</x:v>
      </x:c>
      <x:c r="B5" s="214" t="str">
        <x:v>Diffusion uses matching-network NPE-MCMC references after filtering importance ESS / logML draws &gt;= 0.20. Gaussian uses well-specified matching-network NPE-analytical references. All thresholds are network/configuration specific and remain in raw units.</x:v>
      </x:c>
    </x:row>
    <x:row r="6" ht="34" customHeight="1">
      <x:c r="A6" s="213" t="str">
        <x:v>Posterior MMD</x:v>
      </x:c>
      <x:c r="B6" s="214" t="str">
        <x:v>e=MMD&gt;=0; L=0; U=q95(MMDref). Diffusion reference values use the ESS filter. Error is outside the typical range when e&gt;U.</x:v>
      </x:c>
    </x:row>
    <x:row r="7" ht="42" customHeight="1">
      <x:c r="A7" s="213" t="str">
        <x:v>logML error</x:v>
      </x:c>
      <x:c r="B7" s="214" t="str">
        <x:v>e=estimated logML - reference logML. Diffusion reports log10 units and uses ESS-filtered L=q5(eref), U=q95(eref); Gaussian keeps natural-log units and uses L=q5(eref), U=q95(eref).</x:v>
      </x:c>
    </x:row>
    <x:row r="8" ht="42" customHeight="1">
      <x:c r="A8" s="213" t="str">
        <x:v>PMP error</x:v>
      </x:c>
      <x:c r="B8" s="214" t="str">
        <x:v>e=estimated PMP - reference PMP. Diffusion uses ESS-filtered L=q5(eref), U=q95(eref); Gaussian uses L=q5(eref), U=q95(eref). No absolute value or normalization is used.</x:v>
      </x:c>
    </x:row>
    <x:row r="9" ht="34" customHeight="1">
      <x:c r="A9" s="213" t="str">
        <x:v>Error label</x:v>
      </x:c>
      <x:c r="B9" s="214" t="str">
        <x:v>zᵢ = 1[eᵢ &lt; Lᵢ or eᵢ &gt; Uᵢ].</x:v>
      </x:c>
    </x:row>
    <x:row r="10" ht="34" customHeight="1">
      <x:c r="A10" s="213" t="str">
        <x:v>Diagnostic score</x:v>
      </x:c>
      <x:c r="B10" s="214" t="str">
        <x:v>ρᵢ is the raw diagnostic score; diagnostic-positive classification uses ρᵢ&gt;1.</x:v>
      </x:c>
    </x:row>
    <x:row r="11" ht="34" customHeight="1">
      <x:c r="A11" s="213" t="str">
        <x:v>AUC</x:v>
      </x:c>
      <x:c r="B11" s="214" t="str">
        <x:v>ROC-AUC(zᵢ, ρᵢ), where zᵢ=1[eᵢ&lt;Lᵢ or eᵢ&gt;Uᵢ], calculated separately for each source group × diagnostic × assumed model × summary dimension × error metric. AUC requires the underlying per-sample labels and scores.</x:v>
      </x:c>
    </x:row>
    <x:row r="12" ht="34" customHeight="1">
      <x:c r="A12" s="213" t="str">
        <x:v>FNR</x:v>
      </x:c>
      <x:c r="B12" s="214" t="str">
        <x:v>Excel: =FN/(FN+TP)</x:v>
      </x:c>
    </x:row>
    <x:row r="13" ht="34" customHeight="1">
      <x:c r="A13" s="213" t="str">
        <x:v>FPR</x:v>
      </x:c>
      <x:c r="B13" s="214" t="str">
        <x:v>Excel: =FP/(FP+TN)</x:v>
      </x:c>
    </x:row>
    <x:row r="14" ht="34" customHeight="1">
      <x:c r="A14" s="213" t="str">
        <x:v>F1</x:v>
      </x:c>
      <x:c r="B14" s="214" t="str">
        <x:v>Excel: =2*TP/(2*TP+FP+FN)</x:v>
      </x:c>
    </x:row>
    <x:row r="15" ht="34" customHeight="1">
      <x:c r="A15" s="213" t="str">
        <x:v>Undefined AUC</x:v>
      </x:c>
      <x:c r="B15" s="214" t="str">
        <x:v>N/A when all zᵢ values in a group are identical, because an ROC curve requires both classes.</x:v>
      </x:c>
    </x:row>
    <x:row r="16" ht="34" customHeight="1">
      <x:c r="A16" s="213" t="str">
        <x:v>Normalization</x:v>
      </x:c>
      <x:c r="B16" s="214" t="str">
        <x:v>Not used anywhere in the classification, confusion counts, FNR, FPR, F1 or AUC in this workbook.</x:v>
      </x:c>
    </x:row>
    <x:row r="17" ht="34" customHeight="1">
      <x:c r="A17" s="213" t="str">
        <x:v>Diffusion thresholds</x:v>
      </x:c>
      <x:c r="B17" s="214" t="str">
        <x:v>benchmark/examples/diffusion/calibration_outputs_rerun1/thresholds.csv</x:v>
      </x:c>
    </x:row>
    <x:row r="18" ht="34" customHeight="1">
      <x:c r="A18" s="213" t="str">
        <x:v>Gaussian thresholds</x:v>
      </x:c>
      <x:c r="B18" s="214" t="str">
        <x:v>benchmark/examples/gaussian/calibration_outputs/20d_10n/thresholds.csv</x:v>
      </x:c>
    </x:row>
    <x:row r="19" ht="34" customHeight="1">
      <x:c r="A19" s="213" t="str">
        <x:v>Observed caches</x:v>
      </x:c>
      <x:c r="B19" s="214" t="str">
        <x:v>Diffusion: benchmark/examples/diffusion/results/NPE_results and posterior_diagnostics (noMMD_rerun1-tagged caches). Gaussian: benchmark/examples/gaussian/results/ood_* diagnostic frames.</x:v>
      </x:c>
    </x:row>
    <x:row r="20" ht="34" customHeight="1">
      <x:c r="A20" s="213" t="str">
        <x:v>Updated</x:v>
      </x:c>
      <x:c r="B20" s="214" t="str">
        <x:v>2026-08-18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27" t="str">
        <x:v>Formula-backed chart data (%) — S=D, S=2D, S=4D only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  <x:c r="O1" s="227"/>
    </x:row>
    <x:row r="2" ht="19" customHeight="1"/>
    <x:row r="3" ht="19" customHeight="1">
      <x:c r="A3" s="230" t="str">
        <x:v>Simulated data — Signed log10 ML error — Assumed M1</x:v>
      </x:c>
      <x:c r="B3" s="230" t="str">
        <x:v>Simulated data — Signed log10 ML error — Assumed M1</x:v>
      </x:c>
      <x:c r="C3" s="230" t="str">
        <x:v>Simulated data — Signed log10 ML error — Assumed M1</x:v>
      </x:c>
      <x:c r="D3" s="230" t="str">
        <x:v>Simulated data — Signed log10 ML error — Assumed M1</x:v>
      </x:c>
      <x:c r="E3" s="230" t="str">
        <x:v>Simulated data — Signed log10 ML error — Assumed M1</x:v>
      </x:c>
      <x:c r="F3" s="230" t="str">
        <x:v>Simulated data — Signed log10 ML error — Assumed M1</x:v>
      </x:c>
      <x:c r="G3" s="230" t="str">
        <x:v>Simulated data — Signed log10 ML error — Assumed M1</x:v>
      </x:c>
      <x:c r="H3" s="230" t="str">
        <x:v>Simulated data — Signed log10 ML error — Assumed M1</x:v>
      </x:c>
      <x:c r="I3" s="230" t="str">
        <x:v>Simulated data — Signed log10 ML error — Assumed M1</x:v>
      </x:c>
      <x:c r="J3" s="230" t="str">
        <x:v>Simulated data — Signed log10 ML error — Assumed M1</x:v>
      </x:c>
      <x:c r="K3" s="230" t="str">
        <x:v>Simulated data — Signed log10 ML error — Assumed M1</x:v>
      </x:c>
      <x:c r="L3" s="230" t="str">
        <x:v>Simulated data — Signed log10 ML error — Assumed M1</x:v>
      </x:c>
      <x:c r="M3" s="230" t="str">
        <x:v>Simulated data — Signed log10 ML error — Assumed M1</x:v>
      </x:c>
      <x:c r="N3" s="230" t="str">
        <x:v>Simulated data — Signed log10 ML error — Assumed M1</x:v>
      </x:c>
      <x:c r="O3" s="230" t="str">
        <x:v>Simulated data — Signed log10 ML error — Assumed M1</x:v>
      </x:c>
    </x:row>
    <x:row r="4" ht="19" customHeight="1">
      <x:c r="A4" s="236" t="str">
        <x:v>Summary</x:v>
      </x:c>
      <x:c r="B4" s="237" t="str">
        <x:v>L2 — FNR</x:v>
      </x:c>
      <x:c r="C4" s="237" t="str">
        <x:v>L2 — FPR</x:v>
      </x:c>
      <x:c r="D4" s="237" t="str">
        <x:v>L∞ — FNR</x:v>
      </x:c>
      <x:c r="E4" s="237" t="str">
        <x:v>L∞ — FPR</x:v>
      </x:c>
      <x:c r="F4" s="237" t="str">
        <x:v>Density — FNR</x:v>
      </x:c>
      <x:c r="G4" s="237" t="str">
        <x:v>Density — FPR</x:v>
      </x:c>
      <x:c r="H4" s="237" t="str">
        <x:v>MMD — FNR</x:v>
      </x:c>
      <x:c r="I4" s="237" t="str">
        <x:v>MMD — FPR</x:v>
      </x:c>
      <x:c r="J4" s="237"/>
      <x:c r="K4" s="237" t="str">
        <x:v>Summary</x:v>
      </x:c>
      <x:c r="L4" s="237" t="str">
        <x:v>L2</x:v>
      </x:c>
      <x:c r="M4" s="237" t="str">
        <x:v>L∞</x:v>
      </x:c>
      <x:c r="N4" s="237" t="str">
        <x:v>Density</x:v>
      </x:c>
      <x:c r="O4" s="238" t="str">
        <x:v>MMD</x:v>
      </x:c>
    </x:row>
    <x:row r="5" ht="19" customHeight="1">
      <x:c r="A5" s="240" t="str">
        <x:v>S=D</x:v>
      </x:c>
      <x:c r="B5" s="241" t="n">
        <x:f>IFERROR('Simulated data'!C8*100,NA())</x:f>
        <x:v>41.935483870967744</x:v>
      </x:c>
      <x:c r="C5" s="241" t="n">
        <x:f>IFERROR('Simulated data'!C9*100,NA())</x:f>
        <x:v>14.035087719298245</x:v>
      </x:c>
      <x:c r="D5" s="241" t="n">
        <x:f>IFERROR('Simulated data'!D8*100,NA())</x:f>
        <x:v>43.54838709677419</x:v>
      </x:c>
      <x:c r="E5" s="241" t="n">
        <x:f>IFERROR('Simulated data'!D9*100,NA())</x:f>
        <x:v>14.035087719298245</x:v>
      </x:c>
      <x:c r="F5" s="241" t="n">
        <x:f>IFERROR('Simulated data'!E8*100,NA())</x:f>
        <x:v>24.193548387096776</x:v>
      </x:c>
      <x:c r="G5" s="241" t="n">
        <x:f>IFERROR('Simulated data'!E9*100,NA())</x:f>
        <x:v>21.052631578947366</x:v>
      </x:c>
      <x:c r="H5" s="241" t="n">
        <x:f>IFERROR('Simulated data'!F8*100,NA())</x:f>
        <x:v>69.35483870967742</x:v>
      </x:c>
      <x:c r="I5" s="242" t="n">
        <x:f>IFERROR('Simulated data'!F9*100,NA())</x:f>
        <x:v>5.263157894736842</x:v>
      </x:c>
      <x:c r="K5" s="240" t="str">
        <x:v>S=D</x:v>
      </x:c>
      <x:c r="L5" s="241" t="n">
        <x:f>IFERROR('Simulated data'!C11*100,NA())</x:f>
        <x:v>82.59762308998303</x:v>
      </x:c>
      <x:c r="M5" s="241" t="n">
        <x:f>IFERROR('Simulated data'!D11*100,NA())</x:f>
        <x:v>80.8715336728919</x:v>
      </x:c>
      <x:c r="N5" s="241" t="n">
        <x:f>IFERROR('Simulated data'!E11*100,NA())</x:f>
        <x:v>81.80531975099038</x:v>
      </x:c>
      <x:c r="O5" s="242" t="n">
        <x:f>IFERROR('Simulated data'!F11*100,NA())</x:f>
        <x:v>78.83418222976798</x:v>
      </x:c>
    </x:row>
    <x:row r="6" ht="19" customHeight="1">
      <x:c r="A6" s="243" t="str">
        <x:v>S=2D</x:v>
      </x:c>
      <x:c r="B6" s="244" t="n">
        <x:f>IFERROR('Simulated data'!C12*100,NA())</x:f>
        <x:v>25.581395348837212</x:v>
      </x:c>
      <x:c r="C6" s="244" t="n">
        <x:f>IFERROR('Simulated data'!C13*100,NA())</x:f>
        <x:v>21.052631578947366</x:v>
      </x:c>
      <x:c r="D6" s="244" t="n">
        <x:f>IFERROR('Simulated data'!D12*100,NA())</x:f>
        <x:v>25.581395348837212</x:v>
      </x:c>
      <x:c r="E6" s="244" t="n">
        <x:f>IFERROR('Simulated data'!D13*100,NA())</x:f>
        <x:v>22.36842105263158</x:v>
      </x:c>
      <x:c r="F6" s="244" t="n">
        <x:f>IFERROR('Simulated data'!E12*100,NA())</x:f>
        <x:v>6.976744186046512</x:v>
      </x:c>
      <x:c r="G6" s="244" t="n">
        <x:f>IFERROR('Simulated data'!E13*100,NA())</x:f>
        <x:v>51.31578947368421</x:v>
      </x:c>
      <x:c r="H6" s="244" t="n">
        <x:f>IFERROR('Simulated data'!F12*100,NA())</x:f>
        <x:v>34.883720930232556</x:v>
      </x:c>
      <x:c r="I6" s="245" t="n">
        <x:f>IFERROR('Simulated data'!F13*100,NA())</x:f>
        <x:v>11.842105263157894</x:v>
      </x:c>
      <x:c r="K6" s="243" t="str">
        <x:v>S=2D</x:v>
      </x:c>
      <x:c r="L6" s="244" t="n">
        <x:f>IFERROR('Simulated data'!C15*100,NA())</x:f>
        <x:v>86.38310893512852</x:v>
      </x:c>
      <x:c r="M6" s="244" t="n">
        <x:f>IFERROR('Simulated data'!D15*100,NA())</x:f>
        <x:v>86.53610771113831</x:v>
      </x:c>
      <x:c r="N6" s="244" t="n">
        <x:f>IFERROR('Simulated data'!E15*100,NA())</x:f>
        <x:v>84.24112607099144</x:v>
      </x:c>
      <x:c r="O6" s="245" t="n">
        <x:f>IFERROR('Simulated data'!F15*100,NA())</x:f>
        <x:v>84.24112607099144</x:v>
      </x:c>
    </x:row>
    <x:row r="7" ht="19" customHeight="1">
      <x:c r="A7" s="246" t="str">
        <x:v>S=4D</x:v>
      </x:c>
      <x:c r="B7" s="247" t="n">
        <x:f>IFERROR('Simulated data'!C16*100,NA())</x:f>
        <x:v>15.09433962264151</x:v>
      </x:c>
      <x:c r="C7" s="247" t="n">
        <x:f>IFERROR('Simulated data'!C17*100,NA())</x:f>
        <x:v>30.303030303030305</x:v>
      </x:c>
      <x:c r="D7" s="247" t="n">
        <x:f>IFERROR('Simulated data'!D16*100,NA())</x:f>
        <x:v>22.641509433962266</x:v>
      </x:c>
      <x:c r="E7" s="247" t="n">
        <x:f>IFERROR('Simulated data'!D17*100,NA())</x:f>
        <x:v>30.303030303030305</x:v>
      </x:c>
      <x:c r="F7" s="247" t="n">
        <x:f>IFERROR('Simulated data'!E16*100,NA())</x:f>
        <x:v>5.660377358490567</x:v>
      </x:c>
      <x:c r="G7" s="247" t="n">
        <x:f>IFERROR('Simulated data'!E17*100,NA())</x:f>
        <x:v>45.45454545454545</x:v>
      </x:c>
      <x:c r="H7" s="247" t="n">
        <x:f>IFERROR('Simulated data'!F16*100,NA())</x:f>
        <x:v>60.37735849056604</x:v>
      </x:c>
      <x:c r="I7" s="248" t="n">
        <x:f>IFERROR('Simulated data'!F17*100,NA())</x:f>
        <x:v>7.575757575757576</x:v>
      </x:c>
      <x:c r="K7" s="246" t="str">
        <x:v>S=4D</x:v>
      </x:c>
      <x:c r="L7" s="247" t="n">
        <x:f>IFERROR('Simulated data'!C19*100,NA())</x:f>
        <x:v>85.76329331046313</x:v>
      </x:c>
      <x:c r="M7" s="247" t="n">
        <x:f>IFERROR('Simulated data'!D19*100,NA())</x:f>
        <x:v>82.7329902801601</x:v>
      </x:c>
      <x:c r="N7" s="247" t="n">
        <x:f>IFERROR('Simulated data'!E19*100,NA())</x:f>
        <x:v>81.2178387650086</x:v>
      </x:c>
      <x:c r="O7" s="248" t="n">
        <x:f>IFERROR('Simulated data'!F19*100,NA())</x:f>
        <x:v>79.10234419668382</x:v>
      </x:c>
    </x:row>
    <x:row r="8" ht="19" customHeight="1"/>
    <x:row r="9" ht="19" customHeight="1">
      <x:c r="A9" s="230" t="str">
        <x:v>Simulated data — Signed log10 ML error — Assumed M3</x:v>
      </x:c>
      <x:c r="B9" s="230" t="str">
        <x:v>Simulated data — Signed log10 ML error — Assumed M3</x:v>
      </x:c>
      <x:c r="C9" s="230" t="str">
        <x:v>Simulated data — Signed log10 ML error — Assumed M3</x:v>
      </x:c>
      <x:c r="D9" s="230" t="str">
        <x:v>Simulated data — Signed log10 ML error — Assumed M3</x:v>
      </x:c>
      <x:c r="E9" s="230" t="str">
        <x:v>Simulated data — Signed log10 ML error — Assumed M3</x:v>
      </x:c>
      <x:c r="F9" s="230" t="str">
        <x:v>Simulated data — Signed log10 ML error — Assumed M3</x:v>
      </x:c>
      <x:c r="G9" s="230" t="str">
        <x:v>Simulated data — Signed log10 ML error — Assumed M3</x:v>
      </x:c>
      <x:c r="H9" s="230" t="str">
        <x:v>Simulated data — Signed log10 ML error — Assumed M3</x:v>
      </x:c>
      <x:c r="I9" s="230" t="str">
        <x:v>Simulated data — Signed log10 ML error — Assumed M3</x:v>
      </x:c>
      <x:c r="J9" s="230" t="str">
        <x:v>Simulated data — Signed log10 ML error — Assumed M3</x:v>
      </x:c>
      <x:c r="K9" s="230" t="str">
        <x:v>Simulated data — Signed log10 ML error — Assumed M3</x:v>
      </x:c>
      <x:c r="L9" s="230" t="str">
        <x:v>Simulated data — Signed log10 ML error — Assumed M3</x:v>
      </x:c>
      <x:c r="M9" s="230" t="str">
        <x:v>Simulated data — Signed log10 ML error — Assumed M3</x:v>
      </x:c>
      <x:c r="N9" s="230" t="str">
        <x:v>Simulated data — Signed log10 ML error — Assumed M3</x:v>
      </x:c>
      <x:c r="O9" s="230" t="str">
        <x:v>Simulated data — Signed log10 ML error — Assumed M3</x:v>
      </x:c>
    </x:row>
    <x:row r="10" ht="19" customHeight="1">
      <x:c r="A10" s="236" t="str">
        <x:v>Summary</x:v>
      </x:c>
      <x:c r="B10" s="237" t="str">
        <x:v>L2 — FNR</x:v>
      </x:c>
      <x:c r="C10" s="237" t="str">
        <x:v>L2 — FPR</x:v>
      </x:c>
      <x:c r="D10" s="237" t="str">
        <x:v>L∞ — FNR</x:v>
      </x:c>
      <x:c r="E10" s="237" t="str">
        <x:v>L∞ — FPR</x:v>
      </x:c>
      <x:c r="F10" s="237" t="str">
        <x:v>Density — FNR</x:v>
      </x:c>
      <x:c r="G10" s="237" t="str">
        <x:v>Density — FPR</x:v>
      </x:c>
      <x:c r="H10" s="237" t="str">
        <x:v>MMD — FNR</x:v>
      </x:c>
      <x:c r="I10" s="237" t="str">
        <x:v>MMD — FPR</x:v>
      </x:c>
      <x:c r="J10" s="237"/>
      <x:c r="K10" s="237" t="str">
        <x:v>Summary</x:v>
      </x:c>
      <x:c r="L10" s="237" t="str">
        <x:v>L2</x:v>
      </x:c>
      <x:c r="M10" s="237" t="str">
        <x:v>L∞</x:v>
      </x:c>
      <x:c r="N10" s="237" t="str">
        <x:v>Density</x:v>
      </x:c>
      <x:c r="O10" s="238" t="str">
        <x:v>MMD</x:v>
      </x:c>
    </x:row>
    <x:row r="11" ht="19" customHeight="1">
      <x:c r="A11" s="240" t="str">
        <x:v>S=D</x:v>
      </x:c>
      <x:c r="B11" s="241" t="n">
        <x:f>IFERROR('Simulated data'!C28*100,NA())</x:f>
        <x:v>48.333333333333336</x:v>
      </x:c>
      <x:c r="C11" s="241" t="n">
        <x:f>IFERROR('Simulated data'!C29*100,NA())</x:f>
        <x:v>18.64406779661017</x:v>
      </x:c>
      <x:c r="D11" s="241" t="n">
        <x:f>IFERROR('Simulated data'!D28*100,NA())</x:f>
        <x:v>50</x:v>
      </x:c>
      <x:c r="E11" s="241" t="n">
        <x:f>IFERROR('Simulated data'!D29*100,NA())</x:f>
        <x:v>15.254237288135593</x:v>
      </x:c>
      <x:c r="F11" s="241" t="n">
        <x:f>IFERROR('Simulated data'!E28*100,NA())</x:f>
        <x:v>53.333333333333336</x:v>
      </x:c>
      <x:c r="G11" s="241" t="n">
        <x:f>IFERROR('Simulated data'!E29*100,NA())</x:f>
        <x:v>18.64406779661017</x:v>
      </x:c>
      <x:c r="H11" s="241" t="n">
        <x:f>IFERROR('Simulated data'!F28*100,NA())</x:f>
        <x:v>56.666666666666664</x:v>
      </x:c>
      <x:c r="I11" s="242" t="n">
        <x:f>IFERROR('Simulated data'!F29*100,NA())</x:f>
        <x:v>10.16949152542373</x:v>
      </x:c>
      <x:c r="K11" s="240" t="str">
        <x:v>S=D</x:v>
      </x:c>
      <x:c r="L11" s="241" t="n">
        <x:f>IFERROR('Simulated data'!C31*100,NA())</x:f>
        <x:v>71.9774011299435</x:v>
      </x:c>
      <x:c r="M11" s="241" t="n">
        <x:f>IFERROR('Simulated data'!D31*100,NA())</x:f>
        <x:v>72.03389830508473</x:v>
      </x:c>
      <x:c r="N11" s="241" t="n">
        <x:f>IFERROR('Simulated data'!E31*100,NA())</x:f>
        <x:v>70.22598870056497</x:v>
      </x:c>
      <x:c r="O11" s="242" t="n">
        <x:f>IFERROR('Simulated data'!F31*100,NA())</x:f>
        <x:v>71.89265536723164</x:v>
      </x:c>
    </x:row>
    <x:row r="12" ht="19" customHeight="1">
      <x:c r="A12" s="243" t="str">
        <x:v>S=2D</x:v>
      </x:c>
      <x:c r="B12" s="244" t="n">
        <x:f>IFERROR('Simulated data'!C32*100,NA())</x:f>
        <x:v>42.10526315789473</x:v>
      </x:c>
      <x:c r="C12" s="244" t="n">
        <x:f>IFERROR('Simulated data'!C33*100,NA())</x:f>
        <x:v>18.51851851851852</x:v>
      </x:c>
      <x:c r="D12" s="244" t="n">
        <x:f>IFERROR('Simulated data'!D32*100,NA())</x:f>
        <x:v>47.368421052631575</x:v>
      </x:c>
      <x:c r="E12" s="244" t="n">
        <x:f>IFERROR('Simulated data'!D33*100,NA())</x:f>
        <x:v>20.98765432098765</x:v>
      </x:c>
      <x:c r="F12" s="244" t="n">
        <x:f>IFERROR('Simulated data'!E32*100,NA())</x:f>
        <x:v>28.947368421052634</x:v>
      </x:c>
      <x:c r="G12" s="244" t="n">
        <x:f>IFERROR('Simulated data'!E33*100,NA())</x:f>
        <x:v>29.629629629629626</x:v>
      </x:c>
      <x:c r="H12" s="244" t="n">
        <x:f>IFERROR('Simulated data'!F32*100,NA())</x:f>
        <x:v>52.63157894736842</x:v>
      </x:c>
      <x:c r="I12" s="245" t="n">
        <x:f>IFERROR('Simulated data'!F33*100,NA())</x:f>
        <x:v>14.814814814814813</x:v>
      </x:c>
      <x:c r="K12" s="243" t="str">
        <x:v>S=2D</x:v>
      </x:c>
      <x:c r="L12" s="244" t="n">
        <x:f>IFERROR('Simulated data'!C35*100,NA())</x:f>
        <x:v>76.38076673164392</x:v>
      </x:c>
      <x:c r="M12" s="244" t="n">
        <x:f>IFERROR('Simulated data'!D35*100,NA())</x:f>
        <x:v>76.83560753736191</x:v>
      </x:c>
      <x:c r="N12" s="244" t="n">
        <x:f>IFERROR('Simulated data'!E35*100,NA())</x:f>
        <x:v>76.18583495776478</x:v>
      </x:c>
      <x:c r="O12" s="245" t="n">
        <x:f>IFERROR('Simulated data'!F35*100,NA())</x:f>
        <x:v>73.16439246263808</x:v>
      </x:c>
    </x:row>
    <x:row r="13" ht="19" customHeight="1">
      <x:c r="A13" s="246" t="str">
        <x:v>S=4D</x:v>
      </x:c>
      <x:c r="B13" s="247" t="n">
        <x:f>IFERROR('Simulated data'!C36*100,NA())</x:f>
        <x:v>39.39393939393939</x:v>
      </x:c>
      <x:c r="C13" s="247" t="n">
        <x:f>IFERROR('Simulated data'!C37*100,NA())</x:f>
        <x:v>24.418604651162788</x:v>
      </x:c>
      <x:c r="D13" s="247" t="n">
        <x:f>IFERROR('Simulated data'!D36*100,NA())</x:f>
        <x:v>45.45454545454545</x:v>
      </x:c>
      <x:c r="E13" s="247" t="n">
        <x:f>IFERROR('Simulated data'!D37*100,NA())</x:f>
        <x:v>24.418604651162788</x:v>
      </x:c>
      <x:c r="F13" s="247" t="n">
        <x:f>IFERROR('Simulated data'!E36*100,NA())</x:f>
        <x:v>36.36363636363637</x:v>
      </x:c>
      <x:c r="G13" s="247" t="n">
        <x:f>IFERROR('Simulated data'!E37*100,NA())</x:f>
        <x:v>34.883720930232556</x:v>
      </x:c>
      <x:c r="H13" s="247" t="n">
        <x:f>IFERROR('Simulated data'!F36*100,NA())</x:f>
        <x:v>51.515151515151516</x:v>
      </x:c>
      <x:c r="I13" s="248" t="n">
        <x:f>IFERROR('Simulated data'!F37*100,NA())</x:f>
        <x:v>22.093023255813954</x:v>
      </x:c>
      <x:c r="K13" s="246" t="str">
        <x:v>S=4D</x:v>
      </x:c>
      <x:c r="L13" s="247" t="n">
        <x:f>IFERROR('Simulated data'!C39*100,NA())</x:f>
        <x:v>70.71881606765328</x:v>
      </x:c>
      <x:c r="M13" s="247" t="n">
        <x:f>IFERROR('Simulated data'!D39*100,NA())</x:f>
        <x:v>71.42353770260748</x:v>
      </x:c>
      <x:c r="N13" s="247" t="n">
        <x:f>IFERROR('Simulated data'!E39*100,NA())</x:f>
        <x:v>68.88653981677237</x:v>
      </x:c>
      <x:c r="O13" s="248" t="n">
        <x:f>IFERROR('Simulated data'!F39*100,NA())</x:f>
        <x:v>71.07117688513037</x:v>
      </x:c>
    </x:row>
    <x:row r="14" ht="19" customHeight="1"/>
    <x:row r="15" ht="19" customHeight="1">
      <x:c r="A15" s="230" t="str">
        <x:v>Simulated data — Signed PMP error — Assumed M1</x:v>
      </x:c>
      <x:c r="B15" s="230" t="str">
        <x:v>Simulated data — Signed PMP error — Assumed M1</x:v>
      </x:c>
      <x:c r="C15" s="230" t="str">
        <x:v>Simulated data — Signed PMP error — Assumed M1</x:v>
      </x:c>
      <x:c r="D15" s="230" t="str">
        <x:v>Simulated data — Signed PMP error — Assumed M1</x:v>
      </x:c>
      <x:c r="E15" s="230" t="str">
        <x:v>Simulated data — Signed PMP error — Assumed M1</x:v>
      </x:c>
      <x:c r="F15" s="230" t="str">
        <x:v>Simulated data — Signed PMP error — Assumed M1</x:v>
      </x:c>
      <x:c r="G15" s="230" t="str">
        <x:v>Simulated data — Signed PMP error — Assumed M1</x:v>
      </x:c>
      <x:c r="H15" s="230" t="str">
        <x:v>Simulated data — Signed PMP error — Assumed M1</x:v>
      </x:c>
      <x:c r="I15" s="230" t="str">
        <x:v>Simulated data — Signed PMP error — Assumed M1</x:v>
      </x:c>
      <x:c r="J15" s="230" t="str">
        <x:v>Simulated data — Signed PMP error — Assumed M1</x:v>
      </x:c>
      <x:c r="K15" s="230" t="str">
        <x:v>Simulated data — Signed PMP error — Assumed M1</x:v>
      </x:c>
      <x:c r="L15" s="230" t="str">
        <x:v>Simulated data — Signed PMP error — Assumed M1</x:v>
      </x:c>
      <x:c r="M15" s="230" t="str">
        <x:v>Simulated data — Signed PMP error — Assumed M1</x:v>
      </x:c>
      <x:c r="N15" s="230" t="str">
        <x:v>Simulated data — Signed PMP error — Assumed M1</x:v>
      </x:c>
      <x:c r="O15" s="230" t="str">
        <x:v>Simulated data — Signed PMP error — Assumed M1</x:v>
      </x:c>
    </x:row>
    <x:row r="16" ht="19" customHeight="1">
      <x:c r="A16" s="236" t="str">
        <x:v>Summary</x:v>
      </x:c>
      <x:c r="B16" s="237" t="str">
        <x:v>L2 — FNR</x:v>
      </x:c>
      <x:c r="C16" s="237" t="str">
        <x:v>L2 — FPR</x:v>
      </x:c>
      <x:c r="D16" s="237" t="str">
        <x:v>L∞ — FNR</x:v>
      </x:c>
      <x:c r="E16" s="237" t="str">
        <x:v>L∞ — FPR</x:v>
      </x:c>
      <x:c r="F16" s="237" t="str">
        <x:v>Density — FNR</x:v>
      </x:c>
      <x:c r="G16" s="237" t="str">
        <x:v>Density — FPR</x:v>
      </x:c>
      <x:c r="H16" s="237" t="str">
        <x:v>MMD — FNR</x:v>
      </x:c>
      <x:c r="I16" s="237" t="str">
        <x:v>MMD — FPR</x:v>
      </x:c>
      <x:c r="J16" s="237"/>
      <x:c r="K16" s="237" t="str">
        <x:v>Summary</x:v>
      </x:c>
      <x:c r="L16" s="237" t="str">
        <x:v>L2</x:v>
      </x:c>
      <x:c r="M16" s="237" t="str">
        <x:v>L∞</x:v>
      </x:c>
      <x:c r="N16" s="237" t="str">
        <x:v>Density</x:v>
      </x:c>
      <x:c r="O16" s="238" t="str">
        <x:v>MMD</x:v>
      </x:c>
    </x:row>
    <x:row r="17" ht="19" customHeight="1">
      <x:c r="A17" s="240" t="str">
        <x:v>S=D</x:v>
      </x:c>
      <x:c r="B17" s="241" t="n">
        <x:f>IFERROR('Simulated data'!C48*100,NA())</x:f>
        <x:v>71.42857142857143</x:v>
      </x:c>
      <x:c r="C17" s="241" t="n">
        <x:f>IFERROR('Simulated data'!C49*100,NA())</x:f>
        <x:v>38.095238095238095</x:v>
      </x:c>
      <x:c r="D17" s="241" t="n">
        <x:f>IFERROR('Simulated data'!D48*100,NA())</x:f>
        <x:v>64.28571428571429</x:v>
      </x:c>
      <x:c r="E17" s="241" t="n">
        <x:f>IFERROR('Simulated data'!D49*100,NA())</x:f>
        <x:v>36.19047619047619</x:v>
      </x:c>
      <x:c r="F17" s="241" t="n">
        <x:f>IFERROR('Simulated data'!E48*100,NA())</x:f>
        <x:v>85.71428571428571</x:v>
      </x:c>
      <x:c r="G17" s="241" t="n">
        <x:f>IFERROR('Simulated data'!E49*100,NA())</x:f>
        <x:v>54.285714285714285</x:v>
      </x:c>
      <x:c r="H17" s="241" t="n">
        <x:f>IFERROR('Simulated data'!F48*100,NA())</x:f>
        <x:v>85.71428571428571</x:v>
      </x:c>
      <x:c r="I17" s="242" t="n">
        <x:f>IFERROR('Simulated data'!F49*100,NA())</x:f>
        <x:v>19.047619047619047</x:v>
      </x:c>
      <x:c r="K17" s="240" t="str">
        <x:v>S=D</x:v>
      </x:c>
      <x:c r="L17" s="241" t="n">
        <x:f>IFERROR('Simulated data'!C51*100,NA())</x:f>
        <x:v>39.72789115646258</x:v>
      </x:c>
      <x:c r="M17" s="241" t="n">
        <x:f>IFERROR('Simulated data'!D51*100,NA())</x:f>
        <x:v>35.71428571428572</x:v>
      </x:c>
      <x:c r="N17" s="241" t="n">
        <x:f>IFERROR('Simulated data'!E51*100,NA())</x:f>
        <x:v>34.14965986394558</x:v>
      </x:c>
      <x:c r="O17" s="242" t="n">
        <x:f>IFERROR('Simulated data'!F51*100,NA())</x:f>
        <x:v>40.06802721088435</x:v>
      </x:c>
    </x:row>
    <x:row r="18" ht="19" customHeight="1">
      <x:c r="A18" s="243" t="str">
        <x:v>S=2D</x:v>
      </x:c>
      <x:c r="B18" s="244" t="n">
        <x:f>IFERROR('Simulated data'!C52*100,NA())</x:f>
        <x:v>50</x:v>
      </x:c>
      <x:c r="C18" s="244" t="n">
        <x:f>IFERROR('Simulated data'!C53*100,NA())</x:f>
        <x:v>39.44954128440367</x:v>
      </x:c>
      <x:c r="D18" s="244" t="n">
        <x:f>IFERROR('Simulated data'!D52*100,NA())</x:f>
        <x:v>60</x:v>
      </x:c>
      <x:c r="E18" s="244" t="n">
        <x:f>IFERROR('Simulated data'!D53*100,NA())</x:f>
        <x:v>41.284403669724774</x:v>
      </x:c>
      <x:c r="F18" s="244" t="n">
        <x:f>IFERROR('Simulated data'!E52*100,NA())</x:f>
        <x:v>50</x:v>
      </x:c>
      <x:c r="G18" s="244" t="n">
        <x:f>IFERROR('Simulated data'!E53*100,NA())</x:f>
        <x:v>67.88990825688074</x:v>
      </x:c>
      <x:c r="H18" s="244" t="n">
        <x:f>IFERROR('Simulated data'!F52*100,NA())</x:f>
        <x:v>50</x:v>
      </x:c>
      <x:c r="I18" s="245" t="n">
        <x:f>IFERROR('Simulated data'!F53*100,NA())</x:f>
        <x:v>29.357798165137616</x:v>
      </x:c>
      <x:c r="K18" s="243" t="str">
        <x:v>S=2D</x:v>
      </x:c>
      <x:c r="L18" s="244" t="n">
        <x:f>IFERROR('Simulated data'!C55*100,NA())</x:f>
        <x:v>54.77064220183486</x:v>
      </x:c>
      <x:c r="M18" s="244" t="n">
        <x:f>IFERROR('Simulated data'!D55*100,NA())</x:f>
        <x:v>54.86238532110092</x:v>
      </x:c>
      <x:c r="N18" s="244" t="n">
        <x:f>IFERROR('Simulated data'!E55*100,NA())</x:f>
        <x:v>39.449541284403665</x:v>
      </x:c>
      <x:c r="O18" s="245" t="n">
        <x:f>IFERROR('Simulated data'!F55*100,NA())</x:f>
        <x:v>64.03669724770641</x:v>
      </x:c>
    </x:row>
    <x:row r="19" ht="19" customHeight="1">
      <x:c r="A19" s="246" t="str">
        <x:v>S=4D</x:v>
      </x:c>
      <x:c r="B19" s="247" t="n">
        <x:f>IFERROR('Simulated data'!C56*100,NA())</x:f>
        <x:v>68.75</x:v>
      </x:c>
      <x:c r="C19" s="247" t="n">
        <x:f>IFERROR('Simulated data'!C57*100,NA())</x:f>
        <x:v>58.252427184466015</x:v>
      </x:c>
      <x:c r="D19" s="247" t="n">
        <x:f>IFERROR('Simulated data'!D56*100,NA())</x:f>
        <x:v>68.75</x:v>
      </x:c>
      <x:c r="E19" s="247" t="n">
        <x:f>IFERROR('Simulated data'!D57*100,NA())</x:f>
        <x:v>54.36893203883495</x:v>
      </x:c>
      <x:c r="F19" s="247" t="n">
        <x:f>IFERROR('Simulated data'!E56*100,NA())</x:f>
        <x:v>68.75</x:v>
      </x:c>
      <x:c r="G19" s="247" t="n">
        <x:f>IFERROR('Simulated data'!E57*100,NA())</x:f>
        <x:v>72.81553398058253</x:v>
      </x:c>
      <x:c r="H19" s="247" t="n">
        <x:f>IFERROR('Simulated data'!F56*100,NA())</x:f>
        <x:v>75</x:v>
      </x:c>
      <x:c r="I19" s="248" t="n">
        <x:f>IFERROR('Simulated data'!F57*100,NA())</x:f>
        <x:v>21.35922330097087</x:v>
      </x:c>
      <x:c r="K19" s="246" t="str">
        <x:v>S=4D</x:v>
      </x:c>
      <x:c r="L19" s="247" t="n">
        <x:f>IFERROR('Simulated data'!C59*100,NA())</x:f>
        <x:v>33.55582524271845</x:v>
      </x:c>
      <x:c r="M19" s="247" t="n">
        <x:f>IFERROR('Simulated data'!D59*100,NA())</x:f>
        <x:v>32.28155339805826</x:v>
      </x:c>
      <x:c r="N19" s="247" t="n">
        <x:f>IFERROR('Simulated data'!E59*100,NA())</x:f>
        <x:v>22.936893203883496</x:v>
      </x:c>
      <x:c r="O19" s="248" t="n">
        <x:f>IFERROR('Simulated data'!F59*100,NA())</x:f>
        <x:v>46.35922330097087</x:v>
      </x:c>
    </x:row>
    <x:row r="20" ht="19" customHeight="1"/>
    <x:row r="21" ht="19" customHeight="1">
      <x:c r="A21" s="230" t="str">
        <x:v>Simulated data — Signed PMP error — Assumed M3</x:v>
      </x:c>
      <x:c r="B21" s="230" t="str">
        <x:v>Simulated data — Signed PMP error — Assumed M3</x:v>
      </x:c>
      <x:c r="C21" s="230" t="str">
        <x:v>Simulated data — Signed PMP error — Assumed M3</x:v>
      </x:c>
      <x:c r="D21" s="230" t="str">
        <x:v>Simulated data — Signed PMP error — Assumed M3</x:v>
      </x:c>
      <x:c r="E21" s="230" t="str">
        <x:v>Simulated data — Signed PMP error — Assumed M3</x:v>
      </x:c>
      <x:c r="F21" s="230" t="str">
        <x:v>Simulated data — Signed PMP error — Assumed M3</x:v>
      </x:c>
      <x:c r="G21" s="230" t="str">
        <x:v>Simulated data — Signed PMP error — Assumed M3</x:v>
      </x:c>
      <x:c r="H21" s="230" t="str">
        <x:v>Simulated data — Signed PMP error — Assumed M3</x:v>
      </x:c>
      <x:c r="I21" s="230" t="str">
        <x:v>Simulated data — Signed PMP error — Assumed M3</x:v>
      </x:c>
      <x:c r="J21" s="230" t="str">
        <x:v>Simulated data — Signed PMP error — Assumed M3</x:v>
      </x:c>
      <x:c r="K21" s="230" t="str">
        <x:v>Simulated data — Signed PMP error — Assumed M3</x:v>
      </x:c>
      <x:c r="L21" s="230" t="str">
        <x:v>Simulated data — Signed PMP error — Assumed M3</x:v>
      </x:c>
      <x:c r="M21" s="230" t="str">
        <x:v>Simulated data — Signed PMP error — Assumed M3</x:v>
      </x:c>
      <x:c r="N21" s="230" t="str">
        <x:v>Simulated data — Signed PMP error — Assumed M3</x:v>
      </x:c>
      <x:c r="O21" s="230" t="str">
        <x:v>Simulated data — Signed PMP error — Assumed M3</x:v>
      </x:c>
    </x:row>
    <x:row r="22" ht="19" customHeight="1">
      <x:c r="A22" s="236" t="str">
        <x:v>Summary</x:v>
      </x:c>
      <x:c r="B22" s="237" t="str">
        <x:v>L2 — FNR</x:v>
      </x:c>
      <x:c r="C22" s="237" t="str">
        <x:v>L2 — FPR</x:v>
      </x:c>
      <x:c r="D22" s="237" t="str">
        <x:v>L∞ — FNR</x:v>
      </x:c>
      <x:c r="E22" s="237" t="str">
        <x:v>L∞ — FPR</x:v>
      </x:c>
      <x:c r="F22" s="237" t="str">
        <x:v>Density — FNR</x:v>
      </x:c>
      <x:c r="G22" s="237" t="str">
        <x:v>Density — FPR</x:v>
      </x:c>
      <x:c r="H22" s="237" t="str">
        <x:v>MMD — FNR</x:v>
      </x:c>
      <x:c r="I22" s="237" t="str">
        <x:v>MMD — FPR</x:v>
      </x:c>
      <x:c r="J22" s="237"/>
      <x:c r="K22" s="237" t="str">
        <x:v>Summary</x:v>
      </x:c>
      <x:c r="L22" s="237" t="str">
        <x:v>L2</x:v>
      </x:c>
      <x:c r="M22" s="237" t="str">
        <x:v>L∞</x:v>
      </x:c>
      <x:c r="N22" s="237" t="str">
        <x:v>Density</x:v>
      </x:c>
      <x:c r="O22" s="238" t="str">
        <x:v>MMD</x:v>
      </x:c>
    </x:row>
    <x:row r="23" ht="19" customHeight="1">
      <x:c r="A23" s="240" t="str">
        <x:v>S=D</x:v>
      </x:c>
      <x:c r="B23" s="241" t="n">
        <x:f>IFERROR('Simulated data'!C68*100,NA())</x:f>
        <x:v>47.368421052631575</x:v>
      </x:c>
      <x:c r="C23" s="241" t="n">
        <x:f>IFERROR('Simulated data'!C69*100,NA())</x:f>
        <x:v>32</x:v>
      </x:c>
      <x:c r="D23" s="241" t="n">
        <x:f>IFERROR('Simulated data'!D68*100,NA())</x:f>
        <x:v>52.63157894736842</x:v>
      </x:c>
      <x:c r="E23" s="241" t="n">
        <x:f>IFERROR('Simulated data'!D69*100,NA())</x:f>
        <x:v>30</x:v>
      </x:c>
      <x:c r="F23" s="241" t="n">
        <x:f>IFERROR('Simulated data'!E68*100,NA())</x:f>
        <x:v>52.63157894736842</x:v>
      </x:c>
      <x:c r="G23" s="241" t="n">
        <x:f>IFERROR('Simulated data'!E69*100,NA())</x:f>
        <x:v>30</x:v>
      </x:c>
      <x:c r="H23" s="241" t="n">
        <x:f>IFERROR('Simulated data'!F68*100,NA())</x:f>
        <x:v>73.68421052631578</x:v>
      </x:c>
      <x:c r="I23" s="242" t="n">
        <x:f>IFERROR('Simulated data'!F69*100,NA())</x:f>
        <x:v>27</x:v>
      </x:c>
      <x:c r="K23" s="240" t="str">
        <x:v>S=D</x:v>
      </x:c>
      <x:c r="L23" s="241" t="n">
        <x:f>IFERROR('Simulated data'!C71*100,NA())</x:f>
        <x:v>57.8421052631579</x:v>
      </x:c>
      <x:c r="M23" s="241" t="n">
        <x:f>IFERROR('Simulated data'!D71*100,NA())</x:f>
        <x:v>62.052631578947356</x:v>
      </x:c>
      <x:c r="N23" s="241" t="n">
        <x:f>IFERROR('Simulated data'!E71*100,NA())</x:f>
        <x:v>61.73684210526316</x:v>
      </x:c>
      <x:c r="O23" s="242" t="n">
        <x:f>IFERROR('Simulated data'!F71*100,NA())</x:f>
        <x:v>54.63157894736842</x:v>
      </x:c>
    </x:row>
    <x:row r="24" ht="19" customHeight="1">
      <x:c r="A24" s="243" t="str">
        <x:v>S=2D</x:v>
      </x:c>
      <x:c r="B24" s="244" t="n">
        <x:f>IFERROR('Simulated data'!C72*100,NA())</x:f>
        <x:v>55.55555555555556</x:v>
      </x:c>
      <x:c r="C24" s="244" t="n">
        <x:f>IFERROR('Simulated data'!C73*100,NA())</x:f>
        <x:v>28.71287128712871</x:v>
      </x:c>
      <x:c r="D24" s="244" t="n">
        <x:f>IFERROR('Simulated data'!D72*100,NA())</x:f>
        <x:v>50</x:v>
      </x:c>
      <x:c r="E24" s="244" t="n">
        <x:f>IFERROR('Simulated data'!D73*100,NA())</x:f>
        <x:v>27.722772277227726</x:v>
      </x:c>
      <x:c r="F24" s="244" t="n">
        <x:f>IFERROR('Simulated data'!E72*100,NA())</x:f>
        <x:v>44.44444444444444</x:v>
      </x:c>
      <x:c r="G24" s="244" t="n">
        <x:f>IFERROR('Simulated data'!E73*100,NA())</x:f>
        <x:v>40.5940594059406</x:v>
      </x:c>
      <x:c r="H24" s="244" t="n">
        <x:f>IFERROR('Simulated data'!F72*100,NA())</x:f>
        <x:v>77.77777777777779</x:v>
      </x:c>
      <x:c r="I24" s="245" t="n">
        <x:f>IFERROR('Simulated data'!F73*100,NA())</x:f>
        <x:v>25.742574257425744</x:v>
      </x:c>
      <x:c r="K24" s="243" t="str">
        <x:v>S=2D</x:v>
      </x:c>
      <x:c r="L24" s="244" t="n">
        <x:f>IFERROR('Simulated data'!C75*100,NA())</x:f>
        <x:v>61.716171617161706</x:v>
      </x:c>
      <x:c r="M24" s="244" t="n">
        <x:f>IFERROR('Simulated data'!D75*100,NA())</x:f>
        <x:v>64.02640264026402</x:v>
      </x:c>
      <x:c r="N24" s="244" t="n">
        <x:f>IFERROR('Simulated data'!E75*100,NA())</x:f>
        <x:v>59.02090209020901</x:v>
      </x:c>
      <x:c r="O24" s="245" t="n">
        <x:f>IFERROR('Simulated data'!F75*100,NA())</x:f>
        <x:v>57.15071507150715</x:v>
      </x:c>
    </x:row>
    <x:row r="25" ht="19" customHeight="1">
      <x:c r="A25" s="246" t="str">
        <x:v>S=4D</x:v>
      </x:c>
      <x:c r="B25" s="247" t="n">
        <x:f>IFERROR('Simulated data'!C76*100,NA())</x:f>
        <x:v>61.29032258064516</x:v>
      </x:c>
      <x:c r="C25" s="247" t="n">
        <x:f>IFERROR('Simulated data'!C77*100,NA())</x:f>
        <x:v>32.95454545454545</x:v>
      </x:c>
      <x:c r="D25" s="247" t="n">
        <x:f>IFERROR('Simulated data'!D76*100,NA())</x:f>
        <x:v>61.29032258064516</x:v>
      </x:c>
      <x:c r="E25" s="247" t="n">
        <x:f>IFERROR('Simulated data'!D77*100,NA())</x:f>
        <x:v>30.681818181818183</x:v>
      </x:c>
      <x:c r="F25" s="247" t="n">
        <x:f>IFERROR('Simulated data'!E76*100,NA())</x:f>
        <x:v>54.83870967741935</x:v>
      </x:c>
      <x:c r="G25" s="247" t="n">
        <x:f>IFERROR('Simulated data'!E77*100,NA())</x:f>
        <x:v>42.04545454545455</x:v>
      </x:c>
      <x:c r="H25" s="247" t="n">
        <x:f>IFERROR('Simulated data'!F76*100,NA())</x:f>
        <x:v>70.96774193548387</x:v>
      </x:c>
      <x:c r="I25" s="248" t="n">
        <x:f>IFERROR('Simulated data'!F77*100,NA())</x:f>
        <x:v>29.545454545454547</x:v>
      </x:c>
      <x:c r="K25" s="246" t="str">
        <x:v>S=4D</x:v>
      </x:c>
      <x:c r="L25" s="247" t="n">
        <x:f>IFERROR('Simulated data'!C79*100,NA())</x:f>
        <x:v>51.31964809384164</x:v>
      </x:c>
      <x:c r="M25" s="247" t="n">
        <x:f>IFERROR('Simulated data'!D79*100,NA())</x:f>
        <x:v>53.115835777126094</x:v>
      </x:c>
      <x:c r="N25" s="247" t="n">
        <x:f>IFERROR('Simulated data'!E79*100,NA())</x:f>
        <x:v>48.79032258064516</x:v>
      </x:c>
      <x:c r="O25" s="248" t="n">
        <x:f>IFERROR('Simulated data'!F79*100,NA())</x:f>
        <x:v>50.76979472140762</x:v>
      </x:c>
    </x:row>
    <x:row r="26" ht="19" customHeight="1"/>
    <x:row r="27" ht="19" customHeight="1">
      <x:c r="A27" s="230" t="str">
        <x:v>Simulated data — Posterior MMD — Assumed M1</x:v>
      </x:c>
      <x:c r="B27" s="230" t="str">
        <x:v>Simulated data — Posterior MMD — Assumed M1</x:v>
      </x:c>
      <x:c r="C27" s="230" t="str">
        <x:v>Simulated data — Posterior MMD — Assumed M1</x:v>
      </x:c>
      <x:c r="D27" s="230" t="str">
        <x:v>Simulated data — Posterior MMD — Assumed M1</x:v>
      </x:c>
      <x:c r="E27" s="230" t="str">
        <x:v>Simulated data — Posterior MMD — Assumed M1</x:v>
      </x:c>
      <x:c r="F27" s="230" t="str">
        <x:v>Simulated data — Posterior MMD — Assumed M1</x:v>
      </x:c>
      <x:c r="G27" s="230" t="str">
        <x:v>Simulated data — Posterior MMD — Assumed M1</x:v>
      </x:c>
      <x:c r="H27" s="230" t="str">
        <x:v>Simulated data — Posterior MMD — Assumed M1</x:v>
      </x:c>
      <x:c r="I27" s="230" t="str">
        <x:v>Simulated data — Posterior MMD — Assumed M1</x:v>
      </x:c>
      <x:c r="J27" s="230" t="str">
        <x:v>Simulated data — Posterior MMD — Assumed M1</x:v>
      </x:c>
      <x:c r="K27" s="230" t="str">
        <x:v>Simulated data — Posterior MMD — Assumed M1</x:v>
      </x:c>
      <x:c r="L27" s="230" t="str">
        <x:v>Simulated data — Posterior MMD — Assumed M1</x:v>
      </x:c>
      <x:c r="M27" s="230" t="str">
        <x:v>Simulated data — Posterior MMD — Assumed M1</x:v>
      </x:c>
      <x:c r="N27" s="230" t="str">
        <x:v>Simulated data — Posterior MMD — Assumed M1</x:v>
      </x:c>
      <x:c r="O27" s="230" t="str">
        <x:v>Simulated data — Posterior MMD — Assumed M1</x:v>
      </x:c>
    </x:row>
    <x:row r="28" ht="19" customHeight="1">
      <x:c r="A28" s="236" t="str">
        <x:v>Summary</x:v>
      </x:c>
      <x:c r="B28" s="237" t="str">
        <x:v>L2 — FNR</x:v>
      </x:c>
      <x:c r="C28" s="237" t="str">
        <x:v>L2 — FPR</x:v>
      </x:c>
      <x:c r="D28" s="237" t="str">
        <x:v>L∞ — FNR</x:v>
      </x:c>
      <x:c r="E28" s="237" t="str">
        <x:v>L∞ — FPR</x:v>
      </x:c>
      <x:c r="F28" s="237" t="str">
        <x:v>Density — FNR</x:v>
      </x:c>
      <x:c r="G28" s="237" t="str">
        <x:v>Density — FPR</x:v>
      </x:c>
      <x:c r="H28" s="237" t="str">
        <x:v>MMD — FNR</x:v>
      </x:c>
      <x:c r="I28" s="237" t="str">
        <x:v>MMD — FPR</x:v>
      </x:c>
      <x:c r="J28" s="237"/>
      <x:c r="K28" s="237" t="str">
        <x:v>Summary</x:v>
      </x:c>
      <x:c r="L28" s="237" t="str">
        <x:v>L2</x:v>
      </x:c>
      <x:c r="M28" s="237" t="str">
        <x:v>L∞</x:v>
      </x:c>
      <x:c r="N28" s="237" t="str">
        <x:v>Density</x:v>
      </x:c>
      <x:c r="O28" s="238" t="str">
        <x:v>MMD</x:v>
      </x:c>
    </x:row>
    <x:row r="29" ht="19" customHeight="1">
      <x:c r="A29" s="240" t="str">
        <x:v>S=D</x:v>
      </x:c>
      <x:c r="B29" s="241" t="n">
        <x:f>IFERROR('Simulated data'!C88*100,NA())</x:f>
        <x:v>34.48275862068966</x:v>
      </x:c>
      <x:c r="C29" s="241" t="n">
        <x:f>IFERROR('Simulated data'!C89*100,NA())</x:f>
        <x:v>9.836065573770492</x:v>
      </x:c>
      <x:c r="D29" s="241" t="n">
        <x:f>IFERROR('Simulated data'!D88*100,NA())</x:f>
        <x:v>39.6551724137931</x:v>
      </x:c>
      <x:c r="E29" s="241" t="n">
        <x:f>IFERROR('Simulated data'!D89*100,NA())</x:f>
        <x:v>13.114754098360656</x:v>
      </x:c>
      <x:c r="F29" s="241" t="n">
        <x:f>IFERROR('Simulated data'!E88*100,NA())</x:f>
        <x:v>20.689655172413794</x:v>
      </x:c>
      <x:c r="G29" s="241" t="n">
        <x:f>IFERROR('Simulated data'!E89*100,NA())</x:f>
        <x:v>21.311475409836063</x:v>
      </x:c>
      <x:c r="H29" s="241" t="n">
        <x:f>IFERROR('Simulated data'!F88*100,NA())</x:f>
        <x:v>67.24137931034483</x:v>
      </x:c>
      <x:c r="I29" s="242" t="n">
        <x:f>IFERROR('Simulated data'!F89*100,NA())</x:f>
        <x:v>4.918032786885246</x:v>
      </x:c>
      <x:c r="K29" s="240" t="str">
        <x:v>S=D</x:v>
      </x:c>
      <x:c r="L29" s="241" t="n">
        <x:f>IFERROR('Simulated data'!C91*100,NA())</x:f>
        <x:v>82.73035613340872</x:v>
      </x:c>
      <x:c r="M29" s="241" t="n">
        <x:f>IFERROR('Simulated data'!D91*100,NA())</x:f>
        <x:v>83.09779536461276</x:v>
      </x:c>
      <x:c r="N29" s="241" t="n">
        <x:f>IFERROR('Simulated data'!E91*100,NA())</x:f>
        <x:v>85.58507631430186</x:v>
      </x:c>
      <x:c r="O29" s="242" t="n">
        <x:f>IFERROR('Simulated data'!F91*100,NA())</x:f>
        <x:v>75.89033352176371</x:v>
      </x:c>
    </x:row>
    <x:row r="30" ht="19" customHeight="1">
      <x:c r="A30" s="243" t="str">
        <x:v>S=2D</x:v>
      </x:c>
      <x:c r="B30" s="244" t="n">
        <x:f>IFERROR('Simulated data'!C92*100,NA())</x:f>
        <x:v>26.41509433962264</x:v>
      </x:c>
      <x:c r="C30" s="244" t="n">
        <x:f>IFERROR('Simulated data'!C93*100,NA())</x:f>
        <x:v>13.636363636363635</x:v>
      </x:c>
      <x:c r="D30" s="244" t="n">
        <x:f>IFERROR('Simulated data'!D92*100,NA())</x:f>
        <x:v>24.528301886792452</x:v>
      </x:c>
      <x:c r="E30" s="244" t="n">
        <x:f>IFERROR('Simulated data'!D93*100,NA())</x:f>
        <x:v>13.636363636363635</x:v>
      </x:c>
      <x:c r="F30" s="244" t="n">
        <x:f>IFERROR('Simulated data'!E92*100,NA())</x:f>
        <x:v>9.433962264150944</x:v>
      </x:c>
      <x:c r="G30" s="244" t="n">
        <x:f>IFERROR('Simulated data'!E93*100,NA())</x:f>
        <x:v>46.96969696969697</x:v>
      </x:c>
      <x:c r="H30" s="244" t="n">
        <x:f>IFERROR('Simulated data'!F92*100,NA())</x:f>
        <x:v>37.735849056603776</x:v>
      </x:c>
      <x:c r="I30" s="245" t="n">
        <x:f>IFERROR('Simulated data'!F93*100,NA())</x:f>
        <x:v>6.0606060606060606</x:v>
      </x:c>
      <x:c r="K30" s="243" t="str">
        <x:v>S=2D</x:v>
      </x:c>
      <x:c r="L30" s="244" t="n">
        <x:f>IFERROR('Simulated data'!C95*100,NA())</x:f>
        <x:v>87.67867352773013</x:v>
      </x:c>
      <x:c r="M30" s="244" t="n">
        <x:f>IFERROR('Simulated data'!D95*100,NA())</x:f>
        <x:v>87.85020011435105</x:v>
      </x:c>
      <x:c r="N30" s="244" t="n">
        <x:f>IFERROR('Simulated data'!E95*100,NA())</x:f>
        <x:v>84.53401943967982</x:v>
      </x:c>
      <x:c r="O30" s="245" t="n">
        <x:f>IFERROR('Simulated data'!F95*100,NA())</x:f>
        <x:v>86.99256718124643</x:v>
      </x:c>
    </x:row>
    <x:row r="31" ht="19" customHeight="1">
      <x:c r="A31" s="246" t="str">
        <x:v>S=4D</x:v>
      </x:c>
      <x:c r="B31" s="247" t="n">
        <x:f>IFERROR('Simulated data'!C96*100,NA())</x:f>
        <x:v>12.903225806451612</x:v>
      </x:c>
      <x:c r="C31" s="247" t="n">
        <x:f>IFERROR('Simulated data'!C97*100,NA())</x:f>
        <x:v>19.298245614035086</x:v>
      </x:c>
      <x:c r="D31" s="247" t="n">
        <x:f>IFERROR('Simulated data'!D96*100,NA())</x:f>
        <x:v>20.967741935483872</x:v>
      </x:c>
      <x:c r="E31" s="247" t="n">
        <x:f>IFERROR('Simulated data'!D97*100,NA())</x:f>
        <x:v>21.052631578947366</x:v>
      </x:c>
      <x:c r="F31" s="247" t="n">
        <x:f>IFERROR('Simulated data'!E96*100,NA())</x:f>
        <x:v>3.225806451612903</x:v>
      </x:c>
      <x:c r="G31" s="247" t="n">
        <x:f>IFERROR('Simulated data'!E97*100,NA())</x:f>
        <x:v>35.08771929824561</x:v>
      </x:c>
      <x:c r="H31" s="247" t="n">
        <x:f>IFERROR('Simulated data'!F96*100,NA())</x:f>
        <x:v>61.29032258064516</x:v>
      </x:c>
      <x:c r="I31" s="248" t="n">
        <x:f>IFERROR('Simulated data'!F97*100,NA())</x:f>
        <x:v>3.508771929824561</x:v>
      </x:c>
      <x:c r="K31" s="246" t="str">
        <x:v>S=4D</x:v>
      </x:c>
      <x:c r="L31" s="247" t="n">
        <x:f>IFERROR('Simulated data'!C99*100,NA())</x:f>
        <x:v>92.19015280135822</x:v>
      </x:c>
      <x:c r="M31" s="247" t="n">
        <x:f>IFERROR('Simulated data'!D99*100,NA())</x:f>
        <x:v>89.67176004527447</x:v>
      </x:c>
      <x:c r="N31" s="247" t="n">
        <x:f>IFERROR('Simulated data'!E99*100,NA())</x:f>
        <x:v>88.907753254103</x:v>
      </x:c>
      <x:c r="O31" s="248" t="n">
        <x:f>IFERROR('Simulated data'!F99*100,NA())</x:f>
        <x:v>84.55008488964346</x:v>
      </x:c>
    </x:row>
    <x:row r="32" ht="19" customHeight="1"/>
    <x:row r="33" ht="19" customHeight="1">
      <x:c r="A33" s="230" t="str">
        <x:v>Simulated data — Posterior MMD — Assumed M3</x:v>
      </x:c>
      <x:c r="B33" s="230" t="str">
        <x:v>Simulated data — Posterior MMD — Assumed M3</x:v>
      </x:c>
      <x:c r="C33" s="230" t="str">
        <x:v>Simulated data — Posterior MMD — Assumed M3</x:v>
      </x:c>
      <x:c r="D33" s="230" t="str">
        <x:v>Simulated data — Posterior MMD — Assumed M3</x:v>
      </x:c>
      <x:c r="E33" s="230" t="str">
        <x:v>Simulated data — Posterior MMD — Assumed M3</x:v>
      </x:c>
      <x:c r="F33" s="230" t="str">
        <x:v>Simulated data — Posterior MMD — Assumed M3</x:v>
      </x:c>
      <x:c r="G33" s="230" t="str">
        <x:v>Simulated data — Posterior MMD — Assumed M3</x:v>
      </x:c>
      <x:c r="H33" s="230" t="str">
        <x:v>Simulated data — Posterior MMD — Assumed M3</x:v>
      </x:c>
      <x:c r="I33" s="230" t="str">
        <x:v>Simulated data — Posterior MMD — Assumed M3</x:v>
      </x:c>
      <x:c r="J33" s="230" t="str">
        <x:v>Simulated data — Posterior MMD — Assumed M3</x:v>
      </x:c>
      <x:c r="K33" s="230" t="str">
        <x:v>Simulated data — Posterior MMD — Assumed M3</x:v>
      </x:c>
      <x:c r="L33" s="230" t="str">
        <x:v>Simulated data — Posterior MMD — Assumed M3</x:v>
      </x:c>
      <x:c r="M33" s="230" t="str">
        <x:v>Simulated data — Posterior MMD — Assumed M3</x:v>
      </x:c>
      <x:c r="N33" s="230" t="str">
        <x:v>Simulated data — Posterior MMD — Assumed M3</x:v>
      </x:c>
      <x:c r="O33" s="230" t="str">
        <x:v>Simulated data — Posterior MMD — Assumed M3</x:v>
      </x:c>
    </x:row>
    <x:row r="34" ht="19" customHeight="1">
      <x:c r="A34" s="236" t="str">
        <x:v>Summary</x:v>
      </x:c>
      <x:c r="B34" s="237" t="str">
        <x:v>L2 — FNR</x:v>
      </x:c>
      <x:c r="C34" s="237" t="str">
        <x:v>L2 — FPR</x:v>
      </x:c>
      <x:c r="D34" s="237" t="str">
        <x:v>L∞ — FNR</x:v>
      </x:c>
      <x:c r="E34" s="237" t="str">
        <x:v>L∞ — FPR</x:v>
      </x:c>
      <x:c r="F34" s="237" t="str">
        <x:v>Density — FNR</x:v>
      </x:c>
      <x:c r="G34" s="237" t="str">
        <x:v>Density — FPR</x:v>
      </x:c>
      <x:c r="H34" s="237" t="str">
        <x:v>MMD — FNR</x:v>
      </x:c>
      <x:c r="I34" s="237" t="str">
        <x:v>MMD — FPR</x:v>
      </x:c>
      <x:c r="J34" s="237"/>
      <x:c r="K34" s="237" t="str">
        <x:v>Summary</x:v>
      </x:c>
      <x:c r="L34" s="237" t="str">
        <x:v>L2</x:v>
      </x:c>
      <x:c r="M34" s="237" t="str">
        <x:v>L∞</x:v>
      </x:c>
      <x:c r="N34" s="237" t="str">
        <x:v>Density</x:v>
      </x:c>
      <x:c r="O34" s="238" t="str">
        <x:v>MMD</x:v>
      </x:c>
    </x:row>
    <x:row r="35" ht="19" customHeight="1">
      <x:c r="A35" s="240" t="str">
        <x:v>S=D</x:v>
      </x:c>
      <x:c r="B35" s="241" t="n">
        <x:f>IFERROR('Simulated data'!C108*100,NA())</x:f>
        <x:v>57.74647887323944</x:v>
      </x:c>
      <x:c r="C35" s="241" t="n">
        <x:f>IFERROR('Simulated data'!C109*100,NA())</x:f>
        <x:v>25</x:v>
      </x:c>
      <x:c r="D35" s="241" t="n">
        <x:f>IFERROR('Simulated data'!D108*100,NA())</x:f>
        <x:v>59.154929577464785</x:v>
      </x:c>
      <x:c r="E35" s="241" t="n">
        <x:f>IFERROR('Simulated data'!D109*100,NA())</x:f>
        <x:v>20.833333333333336</x:v>
      </x:c>
      <x:c r="F35" s="241" t="n">
        <x:f>IFERROR('Simulated data'!E108*100,NA())</x:f>
        <x:v>59.154929577464785</x:v>
      </x:c>
      <x:c r="G35" s="241" t="n">
        <x:f>IFERROR('Simulated data'!E109*100,NA())</x:f>
        <x:v>20.833333333333336</x:v>
      </x:c>
      <x:c r="H35" s="241" t="n">
        <x:f>IFERROR('Simulated data'!F108*100,NA())</x:f>
        <x:v>67.6056338028169</x:v>
      </x:c>
      <x:c r="I35" s="242" t="n">
        <x:f>IFERROR('Simulated data'!F109*100,NA())</x:f>
        <x:v>18.75</x:v>
      </x:c>
      <x:c r="K35" s="240" t="str">
        <x:v>S=D</x:v>
      </x:c>
      <x:c r="L35" s="241" t="n">
        <x:f>IFERROR('Simulated data'!C111*100,NA())</x:f>
        <x:v>58.94953051643193</x:v>
      </x:c>
      <x:c r="M35" s="241" t="n">
        <x:f>IFERROR('Simulated data'!D111*100,NA())</x:f>
        <x:v>58.18661971830984</x:v>
      </x:c>
      <x:c r="N35" s="241" t="n">
        <x:f>IFERROR('Simulated data'!E111*100,NA())</x:f>
        <x:v>63.35093896713614</x:v>
      </x:c>
      <x:c r="O35" s="242" t="n">
        <x:f>IFERROR('Simulated data'!F111*100,NA())</x:f>
        <x:v>57.423708920187785</x:v>
      </x:c>
    </x:row>
    <x:row r="36" ht="19" customHeight="1">
      <x:c r="A36" s="243" t="str">
        <x:v>S=2D</x:v>
      </x:c>
      <x:c r="B36" s="244" t="n">
        <x:f>IFERROR('Simulated data'!C112*100,NA())</x:f>
        <x:v>43.39622641509434</x:v>
      </x:c>
      <x:c r="C36" s="244" t="n">
        <x:f>IFERROR('Simulated data'!C113*100,NA())</x:f>
        <x:v>10.606060606060606</x:v>
      </x:c>
      <x:c r="D36" s="244" t="n">
        <x:f>IFERROR('Simulated data'!D112*100,NA())</x:f>
        <x:v>43.39622641509434</x:v>
      </x:c>
      <x:c r="E36" s="244" t="n">
        <x:f>IFERROR('Simulated data'!D113*100,NA())</x:f>
        <x:v>10.606060606060606</x:v>
      </x:c>
      <x:c r="F36" s="244" t="n">
        <x:f>IFERROR('Simulated data'!E112*100,NA())</x:f>
        <x:v>24.528301886792452</x:v>
      </x:c>
      <x:c r="G36" s="244" t="n">
        <x:f>IFERROR('Simulated data'!E113*100,NA())</x:f>
        <x:v>16.666666666666664</x:v>
      </x:c>
      <x:c r="H36" s="244" t="n">
        <x:f>IFERROR('Simulated data'!F112*100,NA())</x:f>
        <x:v>52.83018867924528</x:v>
      </x:c>
      <x:c r="I36" s="245" t="n">
        <x:f>IFERROR('Simulated data'!F113*100,NA())</x:f>
        <x:v>7.575757575757576</x:v>
      </x:c>
      <x:c r="K36" s="243" t="str">
        <x:v>S=2D</x:v>
      </x:c>
      <x:c r="L36" s="244" t="n">
        <x:f>IFERROR('Simulated data'!C115*100,NA())</x:f>
        <x:v>84.13379073756433</x:v>
      </x:c>
      <x:c r="M36" s="244" t="n">
        <x:f>IFERROR('Simulated data'!D115*100,NA())</x:f>
        <x:v>83.53344768439108</x:v>
      </x:c>
      <x:c r="N36" s="244" t="n">
        <x:f>IFERROR('Simulated data'!E115*100,NA())</x:f>
        <x:v>85.0485991995426</x:v>
      </x:c>
      <x:c r="O36" s="245" t="n">
        <x:f>IFERROR('Simulated data'!F115*100,NA())</x:f>
        <x:v>78.61635220125785</x:v>
      </x:c>
    </x:row>
    <x:row r="37" ht="19" customHeight="1">
      <x:c r="A37" s="246" t="str">
        <x:v>S=4D</x:v>
      </x:c>
      <x:c r="B37" s="247" t="n">
        <x:f>IFERROR('Simulated data'!C116*100,NA())</x:f>
        <x:v>33.33333333333333</x:v>
      </x:c>
      <x:c r="C37" s="247" t="n">
        <x:f>IFERROR('Simulated data'!C117*100,NA())</x:f>
        <x:v>12.676056338028168</x:v>
      </x:c>
      <x:c r="D37" s="247" t="n">
        <x:f>IFERROR('Simulated data'!D116*100,NA())</x:f>
        <x:v>35.41666666666667</x:v>
      </x:c>
      <x:c r="E37" s="247" t="n">
        <x:f>IFERROR('Simulated data'!D117*100,NA())</x:f>
        <x:v>11.267605633802818</x:v>
      </x:c>
      <x:c r="F37" s="247" t="n">
        <x:f>IFERROR('Simulated data'!E116*100,NA())</x:f>
        <x:v>22.916666666666664</x:v>
      </x:c>
      <x:c r="G37" s="247" t="n">
        <x:f>IFERROR('Simulated data'!E117*100,NA())</x:f>
        <x:v>19.718309859154928</x:v>
      </x:c>
      <x:c r="H37" s="247" t="n">
        <x:f>IFERROR('Simulated data'!F116*100,NA())</x:f>
        <x:v>41.66666666666667</x:v>
      </x:c>
      <x:c r="I37" s="248" t="n">
        <x:f>IFERROR('Simulated data'!F117*100,NA())</x:f>
        <x:v>9.859154929577464</x:v>
      </x:c>
      <x:c r="K37" s="246" t="str">
        <x:v>S=4D</x:v>
      </x:c>
      <x:c r="L37" s="247" t="n">
        <x:f>IFERROR('Simulated data'!C119*100,NA())</x:f>
        <x:v>85.12323943661973</x:v>
      </x:c>
      <x:c r="M37" s="247" t="n">
        <x:f>IFERROR('Simulated data'!D119*100,NA())</x:f>
        <x:v>83.18661971830986</x:v>
      </x:c>
      <x:c r="N37" s="247" t="n">
        <x:f>IFERROR('Simulated data'!E119*100,NA())</x:f>
        <x:v>86.85446009389672</x:v>
      </x:c>
      <x:c r="O37" s="248" t="n">
        <x:f>IFERROR('Simulated data'!F119*100,NA())</x:f>
        <x:v>81.36737089201878</x:v>
      </x:c>
    </x:row>
    <x:row r="38" ht="19" customHeight="1"/>
    <x:row r="39" ht="19" customHeight="1"/>
    <x:row r="40" ht="19" customHeight="1">
      <x:c r="A40" s="230" t="str">
        <x:v>Empirical data — Signed log10 ML error — Assumed M1</x:v>
      </x:c>
      <x:c r="B40" s="230" t="str">
        <x:v>Empirical data — Signed log10 ML error — Assumed M1</x:v>
      </x:c>
      <x:c r="C40" s="230" t="str">
        <x:v>Empirical data — Signed log10 ML error — Assumed M1</x:v>
      </x:c>
      <x:c r="D40" s="230" t="str">
        <x:v>Empirical data — Signed log10 ML error — Assumed M1</x:v>
      </x:c>
      <x:c r="E40" s="230" t="str">
        <x:v>Empirical data — Signed log10 ML error — Assumed M1</x:v>
      </x:c>
      <x:c r="F40" s="230" t="str">
        <x:v>Empirical data — Signed log10 ML error — Assumed M1</x:v>
      </x:c>
      <x:c r="G40" s="230" t="str">
        <x:v>Empirical data — Signed log10 ML error — Assumed M1</x:v>
      </x:c>
      <x:c r="H40" s="230" t="str">
        <x:v>Empirical data — Signed log10 ML error — Assumed M1</x:v>
      </x:c>
      <x:c r="I40" s="230" t="str">
        <x:v>Empirical data — Signed log10 ML error — Assumed M1</x:v>
      </x:c>
      <x:c r="J40" s="230" t="str">
        <x:v>Empirical data — Signed log10 ML error — Assumed M1</x:v>
      </x:c>
      <x:c r="K40" s="230" t="str">
        <x:v>Empirical data — Signed log10 ML error — Assumed M1</x:v>
      </x:c>
      <x:c r="L40" s="230" t="str">
        <x:v>Empirical data — Signed log10 ML error — Assumed M1</x:v>
      </x:c>
      <x:c r="M40" s="230" t="str">
        <x:v>Empirical data — Signed log10 ML error — Assumed M1</x:v>
      </x:c>
      <x:c r="N40" s="230" t="str">
        <x:v>Empirical data — Signed log10 ML error — Assumed M1</x:v>
      </x:c>
      <x:c r="O40" s="230" t="str">
        <x:v>Empirical data — Signed log10 ML error — Assumed M1</x:v>
      </x:c>
    </x:row>
    <x:row r="41" ht="19" customHeight="1">
      <x:c r="A41" s="236" t="str">
        <x:v>Summary</x:v>
      </x:c>
      <x:c r="B41" s="237" t="str">
        <x:v>L2 — FNR</x:v>
      </x:c>
      <x:c r="C41" s="237" t="str">
        <x:v>L2 — FPR</x:v>
      </x:c>
      <x:c r="D41" s="237" t="str">
        <x:v>L∞ — FNR</x:v>
      </x:c>
      <x:c r="E41" s="237" t="str">
        <x:v>L∞ — FPR</x:v>
      </x:c>
      <x:c r="F41" s="237" t="str">
        <x:v>Density — FNR</x:v>
      </x:c>
      <x:c r="G41" s="237" t="str">
        <x:v>Density — FPR</x:v>
      </x:c>
      <x:c r="H41" s="237" t="str">
        <x:v>MMD — FNR</x:v>
      </x:c>
      <x:c r="I41" s="237" t="str">
        <x:v>MMD — FPR</x:v>
      </x:c>
      <x:c r="J41" s="237"/>
      <x:c r="K41" s="237" t="str">
        <x:v>Summary</x:v>
      </x:c>
      <x:c r="L41" s="237" t="str">
        <x:v>L2</x:v>
      </x:c>
      <x:c r="M41" s="237" t="str">
        <x:v>L∞</x:v>
      </x:c>
      <x:c r="N41" s="237" t="str">
        <x:v>Density</x:v>
      </x:c>
      <x:c r="O41" s="238" t="str">
        <x:v>MMD</x:v>
      </x:c>
    </x:row>
    <x:row r="42" ht="19" customHeight="1">
      <x:c r="A42" s="240" t="str">
        <x:v>S=D</x:v>
      </x:c>
      <x:c r="B42" s="241" t="n">
        <x:f>IFERROR('Empirical data'!C8*100,NA())</x:f>
        <x:v>12.5</x:v>
      </x:c>
      <x:c r="C42" s="241" t="n">
        <x:f>IFERROR('Empirical data'!C9*100,NA())</x:f>
        <x:v>100</x:v>
      </x:c>
      <x:c r="D42" s="241" t="n">
        <x:f>IFERROR('Empirical data'!D8*100,NA())</x:f>
        <x:v>0</x:v>
      </x:c>
      <x:c r="E42" s="241" t="n">
        <x:f>IFERROR('Empirical data'!D9*100,NA())</x:f>
        <x:v>100</x:v>
      </x:c>
      <x:c r="F42" s="241" t="n">
        <x:f>IFERROR('Empirical data'!E8*100,NA())</x:f>
        <x:v>37.5</x:v>
      </x:c>
      <x:c r="G42" s="241" t="n">
        <x:f>IFERROR('Empirical data'!E9*100,NA())</x:f>
        <x:v>0</x:v>
      </x:c>
      <x:c r="H42" s="241" t="n">
        <x:f>IFERROR('Empirical data'!F8*100,NA())</x:f>
        <x:v>81.25</x:v>
      </x:c>
      <x:c r="I42" s="242" t="n">
        <x:f>IFERROR('Empirical data'!F9*100,NA())</x:f>
        <x:v>0</x:v>
      </x:c>
      <x:c r="K42" s="240" t="str">
        <x:v>S=D</x:v>
      </x:c>
      <x:c r="L42" s="241" t="n">
        <x:f>IFERROR('Empirical data'!C11*100,NA())</x:f>
        <x:v>50</x:v>
      </x:c>
      <x:c r="M42" s="241" t="n">
        <x:f>IFERROR('Empirical data'!D11*100,NA())</x:f>
        <x:v>43.75</x:v>
      </x:c>
      <x:c r="N42" s="241" t="n">
        <x:f>IFERROR('Empirical data'!E11*100,NA())</x:f>
        <x:v>81.25</x:v>
      </x:c>
      <x:c r="O42" s="242" t="n">
        <x:f>IFERROR('Empirical data'!F11*100,NA())</x:f>
        <x:v>25</x:v>
      </x:c>
    </x:row>
    <x:row r="43" ht="19" customHeight="1">
      <x:c r="A43" s="243" t="str">
        <x:v>S=2D</x:v>
      </x:c>
      <x:c r="B43" s="244" t="n">
        <x:f>IFERROR('Empirical data'!C12*100,NA())</x:f>
        <x:v>64.28571428571429</x:v>
      </x:c>
      <x:c r="C43" s="244" t="n">
        <x:f>IFERROR('Empirical data'!C13*100,NA())</x:f>
        <x:v>0</x:v>
      </x:c>
      <x:c r="D43" s="244" t="n">
        <x:f>IFERROR('Empirical data'!D12*100,NA())</x:f>
        <x:v>21.428571428571427</x:v>
      </x:c>
      <x:c r="E43" s="244" t="n">
        <x:f>IFERROR('Empirical data'!D13*100,NA())</x:f>
        <x:v>100</x:v>
      </x:c>
      <x:c r="F43" s="244" t="n">
        <x:f>IFERROR('Empirical data'!E12*100,NA())</x:f>
        <x:v>21.428571428571427</x:v>
      </x:c>
      <x:c r="G43" s="244" t="n">
        <x:f>IFERROR('Empirical data'!E13*100,NA())</x:f>
        <x:v>100</x:v>
      </x:c>
      <x:c r="H43" s="244" t="n">
        <x:f>IFERROR('Empirical data'!F12*100,NA())</x:f>
        <x:v>100</x:v>
      </x:c>
      <x:c r="I43" s="245" t="n">
        <x:f>IFERROR('Empirical data'!F13*100,NA())</x:f>
        <x:v>0</x:v>
      </x:c>
      <x:c r="K43" s="243" t="str">
        <x:v>S=2D</x:v>
      </x:c>
      <x:c r="L43" s="244" t="n">
        <x:f>IFERROR('Empirical data'!C15*100,NA())</x:f>
        <x:v>64.28571428571428</x:v>
      </x:c>
      <x:c r="M43" s="244" t="n">
        <x:f>IFERROR('Empirical data'!D15*100,NA())</x:f>
        <x:v>57.14285714285714</x:v>
      </x:c>
      <x:c r="N43" s="244" t="n">
        <x:f>IFERROR('Empirical data'!E15*100,NA())</x:f>
        <x:v>35.71428571428572</x:v>
      </x:c>
      <x:c r="O43" s="245" t="n">
        <x:f>IFERROR('Empirical data'!F15*100,NA())</x:f>
        <x:v>50</x:v>
      </x:c>
    </x:row>
    <x:row r="44" ht="19" customHeight="1">
      <x:c r="A44" s="246" t="str">
        <x:v>S=4D</x:v>
      </x:c>
      <x:c r="B44" s="247" t="n">
        <x:f>IFERROR('Empirical data'!C16*100,NA())</x:f>
        <x:v>12.5</x:v>
      </x:c>
      <x:c r="C44" s="247" t="n">
        <x:f>IFERROR('Empirical data'!C17*100,NA())</x:f>
        <x:v>100</x:v>
      </x:c>
      <x:c r="D44" s="247" t="n">
        <x:f>IFERROR('Empirical data'!D16*100,NA())</x:f>
        <x:v>31.25</x:v>
      </x:c>
      <x:c r="E44" s="247" t="n">
        <x:f>IFERROR('Empirical data'!D17*100,NA())</x:f>
        <x:v>100</x:v>
      </x:c>
      <x:c r="F44" s="247" t="n">
        <x:f>IFERROR('Empirical data'!E16*100,NA())</x:f>
        <x:v>0</x:v>
      </x:c>
      <x:c r="G44" s="247" t="n">
        <x:f>IFERROR('Empirical data'!E17*100,NA())</x:f>
        <x:v>100</x:v>
      </x:c>
      <x:c r="H44" s="247" t="n">
        <x:f>IFERROR('Empirical data'!F16*100,NA())</x:f>
        <x:v>87.5</x:v>
      </x:c>
      <x:c r="I44" s="248" t="n">
        <x:f>IFERROR('Empirical data'!F17*100,NA())</x:f>
        <x:v>0</x:v>
      </x:c>
      <x:c r="K44" s="246" t="str">
        <x:v>S=4D</x:v>
      </x:c>
      <x:c r="L44" s="247" t="n">
        <x:f>IFERROR('Empirical data'!C19*100,NA())</x:f>
        <x:v>37.5</x:v>
      </x:c>
      <x:c r="M44" s="247" t="n">
        <x:f>IFERROR('Empirical data'!D19*100,NA())</x:f>
        <x:v>68.75</x:v>
      </x:c>
      <x:c r="N44" s="247" t="n">
        <x:f>IFERROR('Empirical data'!E19*100,NA())</x:f>
        <x:v>43.75</x:v>
      </x:c>
      <x:c r="O44" s="248" t="n">
        <x:f>IFERROR('Empirical data'!F19*100,NA())</x:f>
        <x:v>68.75</x:v>
      </x:c>
    </x:row>
    <x:row r="45" ht="19" customHeight="1"/>
    <x:row r="46" ht="19" customHeight="1">
      <x:c r="A46" s="230" t="str">
        <x:v>Empirical data — Signed log10 ML error — Assumed M3</x:v>
      </x:c>
      <x:c r="B46" s="230" t="str">
        <x:v>Empirical data — Signed log10 ML error — Assumed M3</x:v>
      </x:c>
      <x:c r="C46" s="230" t="str">
        <x:v>Empirical data — Signed log10 ML error — Assumed M3</x:v>
      </x:c>
      <x:c r="D46" s="230" t="str">
        <x:v>Empirical data — Signed log10 ML error — Assumed M3</x:v>
      </x:c>
      <x:c r="E46" s="230" t="str">
        <x:v>Empirical data — Signed log10 ML error — Assumed M3</x:v>
      </x:c>
      <x:c r="F46" s="230" t="str">
        <x:v>Empirical data — Signed log10 ML error — Assumed M3</x:v>
      </x:c>
      <x:c r="G46" s="230" t="str">
        <x:v>Empirical data — Signed log10 ML error — Assumed M3</x:v>
      </x:c>
      <x:c r="H46" s="230" t="str">
        <x:v>Empirical data — Signed log10 ML error — Assumed M3</x:v>
      </x:c>
      <x:c r="I46" s="230" t="str">
        <x:v>Empirical data — Signed log10 ML error — Assumed M3</x:v>
      </x:c>
      <x:c r="J46" s="230" t="str">
        <x:v>Empirical data — Signed log10 ML error — Assumed M3</x:v>
      </x:c>
      <x:c r="K46" s="230" t="str">
        <x:v>Empirical data — Signed log10 ML error — Assumed M3</x:v>
      </x:c>
      <x:c r="L46" s="230" t="str">
        <x:v>Empirical data — Signed log10 ML error — Assumed M3</x:v>
      </x:c>
      <x:c r="M46" s="230" t="str">
        <x:v>Empirical data — Signed log10 ML error — Assumed M3</x:v>
      </x:c>
      <x:c r="N46" s="230" t="str">
        <x:v>Empirical data — Signed log10 ML error — Assumed M3</x:v>
      </x:c>
      <x:c r="O46" s="230" t="str">
        <x:v>Empirical data — Signed log10 ML error — Assumed M3</x:v>
      </x:c>
    </x:row>
    <x:row r="47" ht="19" customHeight="1">
      <x:c r="A47" s="236" t="str">
        <x:v>Summary</x:v>
      </x:c>
      <x:c r="B47" s="237" t="str">
        <x:v>L2 — FNR</x:v>
      </x:c>
      <x:c r="C47" s="237" t="str">
        <x:v>L2 — FPR</x:v>
      </x:c>
      <x:c r="D47" s="237" t="str">
        <x:v>L∞ — FNR</x:v>
      </x:c>
      <x:c r="E47" s="237" t="str">
        <x:v>L∞ — FPR</x:v>
      </x:c>
      <x:c r="F47" s="237" t="str">
        <x:v>Density — FNR</x:v>
      </x:c>
      <x:c r="G47" s="237" t="str">
        <x:v>Density — FPR</x:v>
      </x:c>
      <x:c r="H47" s="237" t="str">
        <x:v>MMD — FNR</x:v>
      </x:c>
      <x:c r="I47" s="237" t="str">
        <x:v>MMD — FPR</x:v>
      </x:c>
      <x:c r="J47" s="237"/>
      <x:c r="K47" s="237" t="str">
        <x:v>Summary</x:v>
      </x:c>
      <x:c r="L47" s="237" t="str">
        <x:v>L2</x:v>
      </x:c>
      <x:c r="M47" s="237" t="str">
        <x:v>L∞</x:v>
      </x:c>
      <x:c r="N47" s="237" t="str">
        <x:v>Density</x:v>
      </x:c>
      <x:c r="O47" s="238" t="str">
        <x:v>MMD</x:v>
      </x:c>
    </x:row>
    <x:row r="48" ht="19" customHeight="1">
      <x:c r="A48" s="240" t="str">
        <x:v>S=D</x:v>
      </x:c>
      <x:c r="B48" s="241" t="n">
        <x:f>IFERROR('Empirical data'!C28*100,NA())</x:f>
        <x:v>60</x:v>
      </x:c>
      <x:c r="C48" s="241" t="n">
        <x:f>IFERROR('Empirical data'!C29*100,NA())</x:f>
        <x:v>0</x:v>
      </x:c>
      <x:c r="D48" s="241" t="n">
        <x:f>IFERROR('Empirical data'!D28*100,NA())</x:f>
        <x:v>73.33333333333333</x:v>
      </x:c>
      <x:c r="E48" s="241" t="n">
        <x:f>IFERROR('Empirical data'!D29*100,NA())</x:f>
        <x:v>50</x:v>
      </x:c>
      <x:c r="F48" s="241" t="n">
        <x:f>IFERROR('Empirical data'!E28*100,NA())</x:f>
        <x:v>73.33333333333333</x:v>
      </x:c>
      <x:c r="G48" s="241" t="n">
        <x:f>IFERROR('Empirical data'!E29*100,NA())</x:f>
        <x:v>0</x:v>
      </x:c>
      <x:c r="H48" s="241" t="n">
        <x:f>IFERROR('Empirical data'!F28*100,NA())</x:f>
        <x:v>100</x:v>
      </x:c>
      <x:c r="I48" s="242" t="n">
        <x:f>IFERROR('Empirical data'!F29*100,NA())</x:f>
        <x:v>0</x:v>
      </x:c>
      <x:c r="K48" s="240" t="str">
        <x:v>S=D</x:v>
      </x:c>
      <x:c r="L48" s="241" t="n">
        <x:f>IFERROR('Empirical data'!C31*100,NA())</x:f>
        <x:v>80</x:v>
      </x:c>
      <x:c r="M48" s="241" t="n">
        <x:f>IFERROR('Empirical data'!D31*100,NA())</x:f>
        <x:v>63.33333333333333</x:v>
      </x:c>
      <x:c r="N48" s="241" t="n">
        <x:f>IFERROR('Empirical data'!E31*100,NA())</x:f>
        <x:v>50</x:v>
      </x:c>
      <x:c r="O48" s="242" t="n">
        <x:f>IFERROR('Empirical data'!F31*100,NA())</x:f>
        <x:v>63.33333333333333</x:v>
      </x:c>
    </x:row>
    <x:row r="49" ht="19" customHeight="1">
      <x:c r="A49" s="243" t="str">
        <x:v>S=2D</x:v>
      </x:c>
      <x:c r="B49" s="244" t="n">
        <x:f>IFERROR('Empirical data'!C32*100,NA())</x:f>
        <x:v>50</x:v>
      </x:c>
      <x:c r="C49" s="244" t="n">
        <x:f>IFERROR('Empirical data'!C33*100,NA())</x:f>
        <x:v>0</x:v>
      </x:c>
      <x:c r="D49" s="244" t="n">
        <x:f>IFERROR('Empirical data'!D32*100,NA())</x:f>
        <x:v>85.71428571428571</x:v>
      </x:c>
      <x:c r="E49" s="244" t="n">
        <x:f>IFERROR('Empirical data'!D33*100,NA())</x:f>
        <x:v>0</x:v>
      </x:c>
      <x:c r="F49" s="244" t="n">
        <x:f>IFERROR('Empirical data'!E32*100,NA())</x:f>
        <x:v>78.57142857142857</x:v>
      </x:c>
      <x:c r="G49" s="244" t="n">
        <x:f>IFERROR('Empirical data'!E33*100,NA())</x:f>
        <x:v>0</x:v>
      </x:c>
      <x:c r="H49" s="244" t="n">
        <x:f>IFERROR('Empirical data'!F32*100,NA())</x:f>
        <x:v>100</x:v>
      </x:c>
      <x:c r="I49" s="245" t="n">
        <x:f>IFERROR('Empirical data'!F33*100,NA())</x:f>
        <x:v>0</x:v>
      </x:c>
      <x:c r="K49" s="243" t="str">
        <x:v>S=2D</x:v>
      </x:c>
      <x:c r="L49" s="244" t="n">
        <x:f>IFERROR('Empirical data'!C35*100,NA())</x:f>
        <x:v>73.80952380952381</x:v>
      </x:c>
      <x:c r="M49" s="244" t="n">
        <x:f>IFERROR('Empirical data'!D35*100,NA())</x:f>
        <x:v>57.14285714285714</x:v>
      </x:c>
      <x:c r="N49" s="244" t="n">
        <x:f>IFERROR('Empirical data'!E35*100,NA())</x:f>
        <x:v>59.523809523809526</x:v>
      </x:c>
      <x:c r="O49" s="245" t="n">
        <x:f>IFERROR('Empirical data'!F35*100,NA())</x:f>
        <x:v>69.04761904761905</x:v>
      </x:c>
    </x:row>
    <x:row r="50" ht="19" customHeight="1">
      <x:c r="A50" s="246" t="str">
        <x:v>S=4D</x:v>
      </x:c>
      <x:c r="B50" s="247" t="n">
        <x:f>IFERROR('Empirical data'!C36*100,NA())</x:f>
        <x:v>60</x:v>
      </x:c>
      <x:c r="C50" s="247" t="n">
        <x:f>IFERROR('Empirical data'!C37*100,NA())</x:f>
        <x:v>50</x:v>
      </x:c>
      <x:c r="D50" s="247" t="n">
        <x:f>IFERROR('Empirical data'!D36*100,NA())</x:f>
        <x:v>73.33333333333333</x:v>
      </x:c>
      <x:c r="E50" s="247" t="n">
        <x:f>IFERROR('Empirical data'!D37*100,NA())</x:f>
        <x:v>0</x:v>
      </x:c>
      <x:c r="F50" s="247" t="n">
        <x:f>IFERROR('Empirical data'!E36*100,NA())</x:f>
        <x:v>46.666666666666664</x:v>
      </x:c>
      <x:c r="G50" s="247" t="n">
        <x:f>IFERROR('Empirical data'!E37*100,NA())</x:f>
        <x:v>100</x:v>
      </x:c>
      <x:c r="H50" s="247" t="n">
        <x:f>IFERROR('Empirical data'!F36*100,NA())</x:f>
        <x:v>100</x:v>
      </x:c>
      <x:c r="I50" s="248" t="n">
        <x:f>IFERROR('Empirical data'!F37*100,NA())</x:f>
        <x:v>0</x:v>
      </x:c>
      <x:c r="K50" s="246" t="str">
        <x:v>S=4D</x:v>
      </x:c>
      <x:c r="L50" s="247" t="n">
        <x:f>IFERROR('Empirical data'!C39*100,NA())</x:f>
        <x:v>43.333333333333336</x:v>
      </x:c>
      <x:c r="M50" s="247" t="n">
        <x:f>IFERROR('Empirical data'!D39*100,NA())</x:f>
        <x:v>63.33333333333333</x:v>
      </x:c>
      <x:c r="N50" s="247" t="n">
        <x:f>IFERROR('Empirical data'!E39*100,NA())</x:f>
        <x:v>16.666666666666668</x:v>
      </x:c>
      <x:c r="O50" s="248" t="n">
        <x:f>IFERROR('Empirical data'!F39*100,NA())</x:f>
        <x:v>53.333333333333336</x:v>
      </x:c>
    </x:row>
    <x:row r="51" ht="19" customHeight="1"/>
    <x:row r="52" ht="19" customHeight="1">
      <x:c r="A52" s="230" t="str">
        <x:v>Empirical data — Signed PMP error — Assumed M1</x:v>
      </x:c>
      <x:c r="B52" s="230" t="str">
        <x:v>Empirical data — Signed PMP error — Assumed M1</x:v>
      </x:c>
      <x:c r="C52" s="230" t="str">
        <x:v>Empirical data — Signed PMP error — Assumed M1</x:v>
      </x:c>
      <x:c r="D52" s="230" t="str">
        <x:v>Empirical data — Signed PMP error — Assumed M1</x:v>
      </x:c>
      <x:c r="E52" s="230" t="str">
        <x:v>Empirical data — Signed PMP error — Assumed M1</x:v>
      </x:c>
      <x:c r="F52" s="230" t="str">
        <x:v>Empirical data — Signed PMP error — Assumed M1</x:v>
      </x:c>
      <x:c r="G52" s="230" t="str">
        <x:v>Empirical data — Signed PMP error — Assumed M1</x:v>
      </x:c>
      <x:c r="H52" s="230" t="str">
        <x:v>Empirical data — Signed PMP error — Assumed M1</x:v>
      </x:c>
      <x:c r="I52" s="230" t="str">
        <x:v>Empirical data — Signed PMP error — Assumed M1</x:v>
      </x:c>
      <x:c r="J52" s="230" t="str">
        <x:v>Empirical data — Signed PMP error — Assumed M1</x:v>
      </x:c>
      <x:c r="K52" s="230" t="str">
        <x:v>Empirical data — Signed PMP error — Assumed M1</x:v>
      </x:c>
      <x:c r="L52" s="230" t="str">
        <x:v>Empirical data — Signed PMP error — Assumed M1</x:v>
      </x:c>
      <x:c r="M52" s="230" t="str">
        <x:v>Empirical data — Signed PMP error — Assumed M1</x:v>
      </x:c>
      <x:c r="N52" s="230" t="str">
        <x:v>Empirical data — Signed PMP error — Assumed M1</x:v>
      </x:c>
      <x:c r="O52" s="230" t="str">
        <x:v>Empirical data — Signed PMP error — Assumed M1</x:v>
      </x:c>
    </x:row>
    <x:row r="53" ht="19" customHeight="1">
      <x:c r="A53" s="236" t="str">
        <x:v>Summary</x:v>
      </x:c>
      <x:c r="B53" s="237" t="str">
        <x:v>L2 — FNR</x:v>
      </x:c>
      <x:c r="C53" s="237" t="str">
        <x:v>L2 — FPR</x:v>
      </x:c>
      <x:c r="D53" s="237" t="str">
        <x:v>L∞ — FNR</x:v>
      </x:c>
      <x:c r="E53" s="237" t="str">
        <x:v>L∞ — FPR</x:v>
      </x:c>
      <x:c r="F53" s="237" t="str">
        <x:v>Density — FNR</x:v>
      </x:c>
      <x:c r="G53" s="237" t="str">
        <x:v>Density — FPR</x:v>
      </x:c>
      <x:c r="H53" s="237" t="str">
        <x:v>MMD — FNR</x:v>
      </x:c>
      <x:c r="I53" s="237" t="str">
        <x:v>MMD — FPR</x:v>
      </x:c>
      <x:c r="J53" s="237"/>
      <x:c r="K53" s="237" t="str">
        <x:v>Summary</x:v>
      </x:c>
      <x:c r="L53" s="237" t="str">
        <x:v>L2</x:v>
      </x:c>
      <x:c r="M53" s="237" t="str">
        <x:v>L∞</x:v>
      </x:c>
      <x:c r="N53" s="237" t="str">
        <x:v>Density</x:v>
      </x:c>
      <x:c r="O53" s="238" t="str">
        <x:v>MMD</x:v>
      </x:c>
    </x:row>
    <x:row r="54" ht="19" customHeight="1">
      <x:c r="A54" s="240" t="str">
        <x:v>S=D</x:v>
      </x:c>
      <x:c r="B54" s="241" t="n">
        <x:f>IFERROR('Empirical data'!C48*100,NA())</x:f>
        <x:v>15.384615384615385</x:v>
      </x:c>
      <x:c r="C54" s="241" t="n">
        <x:f>IFERROR('Empirical data'!C49*100,NA())</x:f>
        <x:v>100</x:v>
      </x:c>
      <x:c r="D54" s="241" t="n">
        <x:f>IFERROR('Empirical data'!D48*100,NA())</x:f>
        <x:v>0</x:v>
      </x:c>
      <x:c r="E54" s="241" t="n">
        <x:f>IFERROR('Empirical data'!D49*100,NA())</x:f>
        <x:v>100</x:v>
      </x:c>
      <x:c r="F54" s="241" t="n">
        <x:f>IFERROR('Empirical data'!E48*100,NA())</x:f>
        <x:v>46.15384615384615</x:v>
      </x:c>
      <x:c r="G54" s="241" t="n">
        <x:f>IFERROR('Empirical data'!E49*100,NA())</x:f>
        <x:v>75</x:v>
      </x:c>
      <x:c r="H54" s="241" t="n">
        <x:f>IFERROR('Empirical data'!F48*100,NA())</x:f>
        <x:v>84.61538461538461</x:v>
      </x:c>
      <x:c r="I54" s="242" t="n">
        <x:f>IFERROR('Empirical data'!F49*100,NA())</x:f>
        <x:v>25</x:v>
      </x:c>
      <x:c r="K54" s="240" t="str">
        <x:v>S=D</x:v>
      </x:c>
      <x:c r="L54" s="241" t="n">
        <x:f>IFERROR('Empirical data'!C51*100,NA())</x:f>
        <x:v>23.076923076923077</x:v>
      </x:c>
      <x:c r="M54" s="241" t="n">
        <x:f>IFERROR('Empirical data'!D51*100,NA())</x:f>
        <x:v>25</x:v>
      </x:c>
      <x:c r="N54" s="241" t="n">
        <x:f>IFERROR('Empirical data'!E51*100,NA())</x:f>
        <x:v>30.76923076923077</x:v>
      </x:c>
      <x:c r="O54" s="242" t="n">
        <x:f>IFERROR('Empirical data'!F51*100,NA())</x:f>
        <x:v>36.53846153846153</x:v>
      </x:c>
    </x:row>
    <x:row r="55" ht="19" customHeight="1">
      <x:c r="A55" s="243" t="str">
        <x:v>S=2D</x:v>
      </x:c>
      <x:c r="B55" s="244" t="n">
        <x:f>IFERROR('Empirical data'!C52*100,NA())</x:f>
        <x:v>76.92307692307693</x:v>
      </x:c>
      <x:c r="C55" s="244" t="n">
        <x:f>IFERROR('Empirical data'!C53*100,NA())</x:f>
        <x:v>50</x:v>
      </x:c>
      <x:c r="D55" s="244" t="n">
        <x:f>IFERROR('Empirical data'!D52*100,NA())</x:f>
        <x:v>23.076923076923077</x:v>
      </x:c>
      <x:c r="E55" s="244" t="n">
        <x:f>IFERROR('Empirical data'!D53*100,NA())</x:f>
        <x:v>100</x:v>
      </x:c>
      <x:c r="F55" s="244" t="n">
        <x:f>IFERROR('Empirical data'!E52*100,NA())</x:f>
        <x:v>23.076923076923077</x:v>
      </x:c>
      <x:c r="G55" s="244" t="n">
        <x:f>IFERROR('Empirical data'!E53*100,NA())</x:f>
        <x:v>100</x:v>
      </x:c>
      <x:c r="H55" s="244" t="n">
        <x:f>IFERROR('Empirical data'!F52*100,NA())</x:f>
        <x:v>100</x:v>
      </x:c>
      <x:c r="I55" s="245" t="n">
        <x:f>IFERROR('Empirical data'!F53*100,NA())</x:f>
        <x:v>0</x:v>
      </x:c>
      <x:c r="K55" s="243" t="str">
        <x:v>S=2D</x:v>
      </x:c>
      <x:c r="L55" s="244" t="n">
        <x:f>IFERROR('Empirical data'!C55*100,NA())</x:f>
        <x:v>15.384615384615385</x:v>
      </x:c>
      <x:c r="M55" s="244" t="n">
        <x:f>IFERROR('Empirical data'!D55*100,NA())</x:f>
        <x:v>17.307692307692307</x:v>
      </x:c>
      <x:c r="N55" s="244" t="n">
        <x:f>IFERROR('Empirical data'!E55*100,NA())</x:f>
        <x:v>0</x:v>
      </x:c>
      <x:c r="O55" s="245" t="n">
        <x:f>IFERROR('Empirical data'!F55*100,NA())</x:f>
        <x:v>50</x:v>
      </x:c>
    </x:row>
    <x:row r="56" ht="19" customHeight="1">
      <x:c r="A56" s="246" t="str">
        <x:v>S=4D</x:v>
      </x:c>
      <x:c r="B56" s="247" t="n">
        <x:f>IFERROR('Empirical data'!C56*100,NA())</x:f>
        <x:v>15.384615384615385</x:v>
      </x:c>
      <x:c r="C56" s="247" t="n">
        <x:f>IFERROR('Empirical data'!C57*100,NA())</x:f>
        <x:v>100</x:v>
      </x:c>
      <x:c r="D56" s="247" t="n">
        <x:f>IFERROR('Empirical data'!D56*100,NA())</x:f>
        <x:v>38.46153846153847</x:v>
      </x:c>
      <x:c r="E56" s="247" t="n">
        <x:f>IFERROR('Empirical data'!D57*100,NA())</x:f>
        <x:v>100</x:v>
      </x:c>
      <x:c r="F56" s="247" t="n">
        <x:f>IFERROR('Empirical data'!E56*100,NA())</x:f>
        <x:v>0</x:v>
      </x:c>
      <x:c r="G56" s="247" t="n">
        <x:f>IFERROR('Empirical data'!E57*100,NA())</x:f>
        <x:v>100</x:v>
      </x:c>
      <x:c r="H56" s="247" t="n">
        <x:f>IFERROR('Empirical data'!F56*100,NA())</x:f>
        <x:v>84.61538461538461</x:v>
      </x:c>
      <x:c r="I56" s="248" t="n">
        <x:f>IFERROR('Empirical data'!F57*100,NA())</x:f>
        <x:v>0</x:v>
      </x:c>
      <x:c r="K56" s="246" t="str">
        <x:v>S=4D</x:v>
      </x:c>
      <x:c r="L56" s="247" t="n">
        <x:f>IFERROR('Empirical data'!C59*100,NA())</x:f>
        <x:v>9.615384615384617</x:v>
      </x:c>
      <x:c r="M56" s="247" t="n">
        <x:f>IFERROR('Empirical data'!D59*100,NA())</x:f>
        <x:v>5.769230769230769</x:v>
      </x:c>
      <x:c r="N56" s="247" t="n">
        <x:f>IFERROR('Empirical data'!E59*100,NA())</x:f>
        <x:v>0</x:v>
      </x:c>
      <x:c r="O56" s="248" t="n">
        <x:f>IFERROR('Empirical data'!F59*100,NA())</x:f>
        <x:v>28.846153846153843</x:v>
      </x:c>
    </x:row>
    <x:row r="57" ht="19" customHeight="1"/>
    <x:row r="58" ht="19" customHeight="1">
      <x:c r="A58" s="230" t="str">
        <x:v>Empirical data — Signed PMP error — Assumed M3</x:v>
      </x:c>
      <x:c r="B58" s="230" t="str">
        <x:v>Empirical data — Signed PMP error — Assumed M3</x:v>
      </x:c>
      <x:c r="C58" s="230" t="str">
        <x:v>Empirical data — Signed PMP error — Assumed M3</x:v>
      </x:c>
      <x:c r="D58" s="230" t="str">
        <x:v>Empirical data — Signed PMP error — Assumed M3</x:v>
      </x:c>
      <x:c r="E58" s="230" t="str">
        <x:v>Empirical data — Signed PMP error — Assumed M3</x:v>
      </x:c>
      <x:c r="F58" s="230" t="str">
        <x:v>Empirical data — Signed PMP error — Assumed M3</x:v>
      </x:c>
      <x:c r="G58" s="230" t="str">
        <x:v>Empirical data — Signed PMP error — Assumed M3</x:v>
      </x:c>
      <x:c r="H58" s="230" t="str">
        <x:v>Empirical data — Signed PMP error — Assumed M3</x:v>
      </x:c>
      <x:c r="I58" s="230" t="str">
        <x:v>Empirical data — Signed PMP error — Assumed M3</x:v>
      </x:c>
      <x:c r="J58" s="230" t="str">
        <x:v>Empirical data — Signed PMP error — Assumed M3</x:v>
      </x:c>
      <x:c r="K58" s="230" t="str">
        <x:v>Empirical data — Signed PMP error — Assumed M3</x:v>
      </x:c>
      <x:c r="L58" s="230" t="str">
        <x:v>Empirical data — Signed PMP error — Assumed M3</x:v>
      </x:c>
      <x:c r="M58" s="230" t="str">
        <x:v>Empirical data — Signed PMP error — Assumed M3</x:v>
      </x:c>
      <x:c r="N58" s="230" t="str">
        <x:v>Empirical data — Signed PMP error — Assumed M3</x:v>
      </x:c>
      <x:c r="O58" s="230" t="str">
        <x:v>Empirical data — Signed PMP error — Assumed M3</x:v>
      </x:c>
    </x:row>
    <x:row r="59" ht="19" customHeight="1">
      <x:c r="A59" s="236" t="str">
        <x:v>Summary</x:v>
      </x:c>
      <x:c r="B59" s="237" t="str">
        <x:v>L2 — FNR</x:v>
      </x:c>
      <x:c r="C59" s="237" t="str">
        <x:v>L2 — FPR</x:v>
      </x:c>
      <x:c r="D59" s="237" t="str">
        <x:v>L∞ — FNR</x:v>
      </x:c>
      <x:c r="E59" s="237" t="str">
        <x:v>L∞ — FPR</x:v>
      </x:c>
      <x:c r="F59" s="237" t="str">
        <x:v>Density — FNR</x:v>
      </x:c>
      <x:c r="G59" s="237" t="str">
        <x:v>Density — FPR</x:v>
      </x:c>
      <x:c r="H59" s="237" t="str">
        <x:v>MMD — FNR</x:v>
      </x:c>
      <x:c r="I59" s="237" t="str">
        <x:v>MMD — FPR</x:v>
      </x:c>
      <x:c r="J59" s="237"/>
      <x:c r="K59" s="237" t="str">
        <x:v>Summary</x:v>
      </x:c>
      <x:c r="L59" s="237" t="str">
        <x:v>L2</x:v>
      </x:c>
      <x:c r="M59" s="237" t="str">
        <x:v>L∞</x:v>
      </x:c>
      <x:c r="N59" s="237" t="str">
        <x:v>Density</x:v>
      </x:c>
      <x:c r="O59" s="238" t="str">
        <x:v>MMD</x:v>
      </x:c>
    </x:row>
    <x:row r="60" ht="19" customHeight="1">
      <x:c r="A60" s="240" t="str">
        <x:v>S=D</x:v>
      </x:c>
      <x:c r="B60" s="241" t="n">
        <x:f>IFERROR('Empirical data'!C68*100,NA())</x:f>
        <x:v>64.28571428571429</x:v>
      </x:c>
      <x:c r="C60" s="241" t="n">
        <x:f>IFERROR('Empirical data'!C69*100,NA())</x:f>
        <x:v>33.33333333333333</x:v>
      </x:c>
      <x:c r="D60" s="241" t="n">
        <x:f>IFERROR('Empirical data'!D68*100,NA())</x:f>
        <x:v>71.42857142857143</x:v>
      </x:c>
      <x:c r="E60" s="241" t="n">
        <x:f>IFERROR('Empirical data'!D69*100,NA())</x:f>
        <x:v>33.33333333333333</x:v>
      </x:c>
      <x:c r="F60" s="241" t="n">
        <x:f>IFERROR('Empirical data'!E68*100,NA())</x:f>
        <x:v>78.57142857142857</x:v>
      </x:c>
      <x:c r="G60" s="241" t="n">
        <x:f>IFERROR('Empirical data'!E69*100,NA())</x:f>
        <x:v>33.33333333333333</x:v>
      </x:c>
      <x:c r="H60" s="241" t="n">
        <x:f>IFERROR('Empirical data'!F68*100,NA())</x:f>
        <x:v>100</x:v>
      </x:c>
      <x:c r="I60" s="242" t="n">
        <x:f>IFERROR('Empirical data'!F69*100,NA())</x:f>
        <x:v>0</x:v>
      </x:c>
      <x:c r="K60" s="240" t="str">
        <x:v>S=D</x:v>
      </x:c>
      <x:c r="L60" s="241" t="n">
        <x:f>IFERROR('Empirical data'!C71*100,NA())</x:f>
        <x:v>42.85714285714286</x:v>
      </x:c>
      <x:c r="M60" s="241" t="n">
        <x:f>IFERROR('Empirical data'!D71*100,NA())</x:f>
        <x:v>42.85714285714286</x:v>
      </x:c>
      <x:c r="N60" s="241" t="n">
        <x:f>IFERROR('Empirical data'!E71*100,NA())</x:f>
        <x:v>50</x:v>
      </x:c>
      <x:c r="O60" s="242" t="n">
        <x:f>IFERROR('Empirical data'!F71*100,NA())</x:f>
        <x:v>38.0952380952381</x:v>
      </x:c>
    </x:row>
    <x:row r="61" ht="19" customHeight="1">
      <x:c r="A61" s="243" t="str">
        <x:v>S=2D</x:v>
      </x:c>
      <x:c r="B61" s="244" t="n">
        <x:f>IFERROR('Empirical data'!C72*100,NA())</x:f>
        <x:v>57.14285714285714</x:v>
      </x:c>
      <x:c r="C61" s="244" t="n">
        <x:f>IFERROR('Empirical data'!C73*100,NA())</x:f>
        <x:v>33.33333333333333</x:v>
      </x:c>
      <x:c r="D61" s="244" t="n">
        <x:f>IFERROR('Empirical data'!D72*100,NA())</x:f>
        <x:v>92.85714285714286</x:v>
      </x:c>
      <x:c r="E61" s="244" t="n">
        <x:f>IFERROR('Empirical data'!D73*100,NA())</x:f>
        <x:v>33.33333333333333</x:v>
      </x:c>
      <x:c r="F61" s="244" t="n">
        <x:f>IFERROR('Empirical data'!E72*100,NA())</x:f>
        <x:v>85.71428571428571</x:v>
      </x:c>
      <x:c r="G61" s="244" t="n">
        <x:f>IFERROR('Empirical data'!E73*100,NA())</x:f>
        <x:v>33.33333333333333</x:v>
      </x:c>
      <x:c r="H61" s="244" t="n">
        <x:f>IFERROR('Empirical data'!F72*100,NA())</x:f>
        <x:v>100</x:v>
      </x:c>
      <x:c r="I61" s="245" t="n">
        <x:f>IFERROR('Empirical data'!F73*100,NA())</x:f>
        <x:v>0</x:v>
      </x:c>
      <x:c r="K61" s="243" t="str">
        <x:v>S=2D</x:v>
      </x:c>
      <x:c r="L61" s="244" t="n">
        <x:f>IFERROR('Empirical data'!C75*100,NA())</x:f>
        <x:v>45.23809523809524</x:v>
      </x:c>
      <x:c r="M61" s="244" t="n">
        <x:f>IFERROR('Empirical data'!D75*100,NA())</x:f>
        <x:v>64.28571428571429</x:v>
      </x:c>
      <x:c r="N61" s="244" t="n">
        <x:f>IFERROR('Empirical data'!E75*100,NA())</x:f>
        <x:v>11.904761904761905</x:v>
      </x:c>
      <x:c r="O61" s="245" t="n">
        <x:f>IFERROR('Empirical data'!F75*100,NA())</x:f>
        <x:v>47.61904761904763</x:v>
      </x:c>
    </x:row>
    <x:row r="62" ht="19" customHeight="1">
      <x:c r="A62" s="246" t="str">
        <x:v>S=4D</x:v>
      </x:c>
      <x:c r="B62" s="247" t="n">
        <x:f>IFERROR('Empirical data'!C76*100,NA())</x:f>
        <x:v>64.28571428571429</x:v>
      </x:c>
      <x:c r="C62" s="247" t="n">
        <x:f>IFERROR('Empirical data'!C77*100,NA())</x:f>
        <x:v>66.66666666666666</x:v>
      </x:c>
      <x:c r="D62" s="247" t="n">
        <x:f>IFERROR('Empirical data'!D76*100,NA())</x:f>
        <x:v>78.57142857142857</x:v>
      </x:c>
      <x:c r="E62" s="247" t="n">
        <x:f>IFERROR('Empirical data'!D77*100,NA())</x:f>
        <x:v>33.33333333333333</x:v>
      </x:c>
      <x:c r="F62" s="247" t="n">
        <x:f>IFERROR('Empirical data'!E76*100,NA())</x:f>
        <x:v>50</x:v>
      </x:c>
      <x:c r="G62" s="247" t="n">
        <x:f>IFERROR('Empirical data'!E77*100,NA())</x:f>
        <x:v>100</x:v>
      </x:c>
      <x:c r="H62" s="247" t="n">
        <x:f>IFERROR('Empirical data'!F76*100,NA())</x:f>
        <x:v>100</x:v>
      </x:c>
      <x:c r="I62" s="248" t="n">
        <x:f>IFERROR('Empirical data'!F77*100,NA())</x:f>
        <x:v>0</x:v>
      </x:c>
      <x:c r="K62" s="246" t="str">
        <x:v>S=4D</x:v>
      </x:c>
      <x:c r="L62" s="247" t="n">
        <x:f>IFERROR('Empirical data'!C79*100,NA())</x:f>
        <x:v>28.57142857142857</x:v>
      </x:c>
      <x:c r="M62" s="247" t="n">
        <x:f>IFERROR('Empirical data'!D79*100,NA())</x:f>
        <x:v>42.85714285714286</x:v>
      </x:c>
      <x:c r="N62" s="247" t="n">
        <x:f>IFERROR('Empirical data'!E79*100,NA())</x:f>
        <x:v>7.142857142857142</x:v>
      </x:c>
      <x:c r="O62" s="248" t="n">
        <x:f>IFERROR('Empirical data'!F79*100,NA())</x:f>
        <x:v>40.476190476190474</x:v>
      </x:c>
    </x:row>
    <x:row r="63" ht="19" customHeight="1"/>
    <x:row r="64" ht="19" customHeight="1">
      <x:c r="A64" s="230" t="str">
        <x:v>Empirical data — Posterior MMD — Assumed M1</x:v>
      </x:c>
      <x:c r="B64" s="230" t="str">
        <x:v>Empirical data — Posterior MMD — Assumed M1</x:v>
      </x:c>
      <x:c r="C64" s="230" t="str">
        <x:v>Empirical data — Posterior MMD — Assumed M1</x:v>
      </x:c>
      <x:c r="D64" s="230" t="str">
        <x:v>Empirical data — Posterior MMD — Assumed M1</x:v>
      </x:c>
      <x:c r="E64" s="230" t="str">
        <x:v>Empirical data — Posterior MMD — Assumed M1</x:v>
      </x:c>
      <x:c r="F64" s="230" t="str">
        <x:v>Empirical data — Posterior MMD — Assumed M1</x:v>
      </x:c>
      <x:c r="G64" s="230" t="str">
        <x:v>Empirical data — Posterior MMD — Assumed M1</x:v>
      </x:c>
      <x:c r="H64" s="230" t="str">
        <x:v>Empirical data — Posterior MMD — Assumed M1</x:v>
      </x:c>
      <x:c r="I64" s="230" t="str">
        <x:v>Empirical data — Posterior MMD — Assumed M1</x:v>
      </x:c>
      <x:c r="J64" s="230" t="str">
        <x:v>Empirical data — Posterior MMD — Assumed M1</x:v>
      </x:c>
      <x:c r="K64" s="230" t="str">
        <x:v>Empirical data — Posterior MMD — Assumed M1</x:v>
      </x:c>
      <x:c r="L64" s="230" t="str">
        <x:v>Empirical data — Posterior MMD — Assumed M1</x:v>
      </x:c>
      <x:c r="M64" s="230" t="str">
        <x:v>Empirical data — Posterior MMD — Assumed M1</x:v>
      </x:c>
      <x:c r="N64" s="230" t="str">
        <x:v>Empirical data — Posterior MMD — Assumed M1</x:v>
      </x:c>
      <x:c r="O64" s="230" t="str">
        <x:v>Empirical data — Posterior MMD — Assumed M1</x:v>
      </x:c>
    </x:row>
    <x:row r="65" ht="19" customHeight="1">
      <x:c r="A65" s="236" t="str">
        <x:v>Summary</x:v>
      </x:c>
      <x:c r="B65" s="237" t="str">
        <x:v>L2 — FNR</x:v>
      </x:c>
      <x:c r="C65" s="237" t="str">
        <x:v>L2 — FPR</x:v>
      </x:c>
      <x:c r="D65" s="237" t="str">
        <x:v>L∞ — FNR</x:v>
      </x:c>
      <x:c r="E65" s="237" t="str">
        <x:v>L∞ — FPR</x:v>
      </x:c>
      <x:c r="F65" s="237" t="str">
        <x:v>Density — FNR</x:v>
      </x:c>
      <x:c r="G65" s="237" t="str">
        <x:v>Density — FPR</x:v>
      </x:c>
      <x:c r="H65" s="237" t="str">
        <x:v>MMD — FNR</x:v>
      </x:c>
      <x:c r="I65" s="237" t="str">
        <x:v>MMD — FPR</x:v>
      </x:c>
      <x:c r="J65" s="237"/>
      <x:c r="K65" s="237" t="str">
        <x:v>Summary</x:v>
      </x:c>
      <x:c r="L65" s="237" t="str">
        <x:v>L2</x:v>
      </x:c>
      <x:c r="M65" s="237" t="str">
        <x:v>L∞</x:v>
      </x:c>
      <x:c r="N65" s="237" t="str">
        <x:v>Density</x:v>
      </x:c>
      <x:c r="O65" s="238" t="str">
        <x:v>MMD</x:v>
      </x:c>
    </x:row>
    <x:row r="66" ht="19" customHeight="1">
      <x:c r="A66" s="240" t="str">
        <x:v>S=D</x:v>
      </x:c>
      <x:c r="B66" s="241" t="n">
        <x:f>IFERROR('Empirical data'!C88*100,NA())</x:f>
        <x:v>12.5</x:v>
      </x:c>
      <x:c r="C66" s="241" t="n">
        <x:f>IFERROR('Empirical data'!C89*100,NA())</x:f>
        <x:v>100</x:v>
      </x:c>
      <x:c r="D66" s="241" t="n">
        <x:f>IFERROR('Empirical data'!D88*100,NA())</x:f>
        <x:v>0</x:v>
      </x:c>
      <x:c r="E66" s="241" t="n">
        <x:f>IFERROR('Empirical data'!D89*100,NA())</x:f>
        <x:v>100</x:v>
      </x:c>
      <x:c r="F66" s="241" t="n">
        <x:f>IFERROR('Empirical data'!E88*100,NA())</x:f>
        <x:v>37.5</x:v>
      </x:c>
      <x:c r="G66" s="241" t="n">
        <x:f>IFERROR('Empirical data'!E89*100,NA())</x:f>
        <x:v>0</x:v>
      </x:c>
      <x:c r="H66" s="241" t="n">
        <x:f>IFERROR('Empirical data'!F88*100,NA())</x:f>
        <x:v>81.25</x:v>
      </x:c>
      <x:c r="I66" s="242" t="n">
        <x:f>IFERROR('Empirical data'!F89*100,NA())</x:f>
        <x:v>0</x:v>
      </x:c>
      <x:c r="K66" s="240" t="str">
        <x:v>S=D</x:v>
      </x:c>
      <x:c r="L66" s="241" t="n">
        <x:f>IFERROR('Empirical data'!C91*100,NA())</x:f>
        <x:v>50</x:v>
      </x:c>
      <x:c r="M66" s="241" t="n">
        <x:f>IFERROR('Empirical data'!D91*100,NA())</x:f>
        <x:v>43.75</x:v>
      </x:c>
      <x:c r="N66" s="241" t="n">
        <x:f>IFERROR('Empirical data'!E91*100,NA())</x:f>
        <x:v>81.25</x:v>
      </x:c>
      <x:c r="O66" s="242" t="n">
        <x:f>IFERROR('Empirical data'!F91*100,NA())</x:f>
        <x:v>25</x:v>
      </x:c>
    </x:row>
    <x:row r="67" ht="19" customHeight="1">
      <x:c r="A67" s="243" t="str">
        <x:v>S=2D</x:v>
      </x:c>
      <x:c r="B67" s="244" t="n">
        <x:f>IFERROR('Empirical data'!C92*100,NA())</x:f>
        <x:v>64.28571428571429</x:v>
      </x:c>
      <x:c r="C67" s="244" t="n">
        <x:f>IFERROR('Empirical data'!C93*100,NA())</x:f>
        <x:v>0</x:v>
      </x:c>
      <x:c r="D67" s="244" t="n">
        <x:f>IFERROR('Empirical data'!D92*100,NA())</x:f>
        <x:v>14.285714285714285</x:v>
      </x:c>
      <x:c r="E67" s="244" t="n">
        <x:f>IFERROR('Empirical data'!D93*100,NA())</x:f>
        <x:v>66.66666666666666</x:v>
      </x:c>
      <x:c r="F67" s="244" t="n">
        <x:f>IFERROR('Empirical data'!E92*100,NA())</x:f>
        <x:v>14.285714285714285</x:v>
      </x:c>
      <x:c r="G67" s="244" t="n">
        <x:f>IFERROR('Empirical data'!E93*100,NA())</x:f>
        <x:v>66.66666666666666</x:v>
      </x:c>
      <x:c r="H67" s="244" t="n">
        <x:f>IFERROR('Empirical data'!F92*100,NA())</x:f>
        <x:v>100</x:v>
      </x:c>
      <x:c r="I67" s="245" t="n">
        <x:f>IFERROR('Empirical data'!F93*100,NA())</x:f>
        <x:v>0</x:v>
      </x:c>
      <x:c r="K67" s="243" t="str">
        <x:v>S=2D</x:v>
      </x:c>
      <x:c r="L67" s="244" t="n">
        <x:f>IFERROR('Empirical data'!C95*100,NA())</x:f>
        <x:v>66.66666666666667</x:v>
      </x:c>
      <x:c r="M67" s="244" t="n">
        <x:f>IFERROR('Empirical data'!D95*100,NA())</x:f>
        <x:v>71.42857142857143</x:v>
      </x:c>
      <x:c r="N67" s="244" t="n">
        <x:f>IFERROR('Empirical data'!E95*100,NA())</x:f>
        <x:v>64.28571428571429</x:v>
      </x:c>
      <x:c r="O67" s="245" t="n">
        <x:f>IFERROR('Empirical data'!F95*100,NA())</x:f>
        <x:v>61.904761904761905</x:v>
      </x:c>
    </x:row>
    <x:row r="68" ht="19" customHeight="1">
      <x:c r="A68" s="246" t="str">
        <x:v>S=4D</x:v>
      </x:c>
      <x:c r="B68" s="247" t="n">
        <x:f>IFERROR('Empirical data'!C96*100,NA())</x:f>
        <x:v>13.333333333333334</x:v>
      </x:c>
      <x:c r="C68" s="247" t="n">
        <x:f>IFERROR('Empirical data'!C97*100,NA())</x:f>
        <x:v>100</x:v>
      </x:c>
      <x:c r="D68" s="247" t="n">
        <x:f>IFERROR('Empirical data'!D96*100,NA())</x:f>
        <x:v>20</x:v>
      </x:c>
      <x:c r="E68" s="247" t="n">
        <x:f>IFERROR('Empirical data'!D97*100,NA())</x:f>
        <x:v>0</x:v>
      </x:c>
      <x:c r="F68" s="247" t="n">
        <x:f>IFERROR('Empirical data'!E96*100,NA())</x:f>
        <x:v>0</x:v>
      </x:c>
      <x:c r="G68" s="247" t="n">
        <x:f>IFERROR('Empirical data'!E97*100,NA())</x:f>
        <x:v>100</x:v>
      </x:c>
      <x:c r="H68" s="247" t="n">
        <x:f>IFERROR('Empirical data'!F96*100,NA())</x:f>
        <x:v>86.66666666666667</x:v>
      </x:c>
      <x:c r="I68" s="248" t="n">
        <x:f>IFERROR('Empirical data'!F97*100,NA())</x:f>
        <x:v>0</x:v>
      </x:c>
      <x:c r="K68" s="246" t="str">
        <x:v>S=4D</x:v>
      </x:c>
      <x:c r="L68" s="247" t="n">
        <x:f>IFERROR('Empirical data'!C99*100,NA())</x:f>
        <x:v>86.66666666666667</x:v>
      </x:c>
      <x:c r="M68" s="247" t="n">
        <x:f>IFERROR('Empirical data'!D99*100,NA())</x:f>
        <x:v>86.66666666666667</x:v>
      </x:c>
      <x:c r="N68" s="247" t="n">
        <x:f>IFERROR('Empirical data'!E99*100,NA())</x:f>
        <x:v>90</x:v>
      </x:c>
      <x:c r="O68" s="248" t="n">
        <x:f>IFERROR('Empirical data'!F99*100,NA())</x:f>
        <x:v>73.33333333333334</x:v>
      </x:c>
    </x:row>
    <x:row r="69" ht="19" customHeight="1"/>
    <x:row r="70" ht="19" customHeight="1">
      <x:c r="A70" s="230" t="str">
        <x:v>Empirical data — Posterior MMD — Assumed M3</x:v>
      </x:c>
      <x:c r="B70" s="230" t="str">
        <x:v>Empirical data — Posterior MMD — Assumed M3</x:v>
      </x:c>
      <x:c r="C70" s="230" t="str">
        <x:v>Empirical data — Posterior MMD — Assumed M3</x:v>
      </x:c>
      <x:c r="D70" s="230" t="str">
        <x:v>Empirical data — Posterior MMD — Assumed M3</x:v>
      </x:c>
      <x:c r="E70" s="230" t="str">
        <x:v>Empirical data — Posterior MMD — Assumed M3</x:v>
      </x:c>
      <x:c r="F70" s="230" t="str">
        <x:v>Empirical data — Posterior MMD — Assumed M3</x:v>
      </x:c>
      <x:c r="G70" s="230" t="str">
        <x:v>Empirical data — Posterior MMD — Assumed M3</x:v>
      </x:c>
      <x:c r="H70" s="230" t="str">
        <x:v>Empirical data — Posterior MMD — Assumed M3</x:v>
      </x:c>
      <x:c r="I70" s="230" t="str">
        <x:v>Empirical data — Posterior MMD — Assumed M3</x:v>
      </x:c>
      <x:c r="J70" s="230" t="str">
        <x:v>Empirical data — Posterior MMD — Assumed M3</x:v>
      </x:c>
      <x:c r="K70" s="230" t="str">
        <x:v>Empirical data — Posterior MMD — Assumed M3</x:v>
      </x:c>
      <x:c r="L70" s="230" t="str">
        <x:v>Empirical data — Posterior MMD — Assumed M3</x:v>
      </x:c>
      <x:c r="M70" s="230" t="str">
        <x:v>Empirical data — Posterior MMD — Assumed M3</x:v>
      </x:c>
      <x:c r="N70" s="230" t="str">
        <x:v>Empirical data — Posterior MMD — Assumed M3</x:v>
      </x:c>
      <x:c r="O70" s="230" t="str">
        <x:v>Empirical data — Posterior MMD — Assumed M3</x:v>
      </x:c>
    </x:row>
    <x:row r="71" ht="19" customHeight="1">
      <x:c r="A71" s="236" t="str">
        <x:v>Summary</x:v>
      </x:c>
      <x:c r="B71" s="237" t="str">
        <x:v>L2 — FNR</x:v>
      </x:c>
      <x:c r="C71" s="237" t="str">
        <x:v>L2 — FPR</x:v>
      </x:c>
      <x:c r="D71" s="237" t="str">
        <x:v>L∞ — FNR</x:v>
      </x:c>
      <x:c r="E71" s="237" t="str">
        <x:v>L∞ — FPR</x:v>
      </x:c>
      <x:c r="F71" s="237" t="str">
        <x:v>Density — FNR</x:v>
      </x:c>
      <x:c r="G71" s="237" t="str">
        <x:v>Density — FPR</x:v>
      </x:c>
      <x:c r="H71" s="237" t="str">
        <x:v>MMD — FNR</x:v>
      </x:c>
      <x:c r="I71" s="237" t="str">
        <x:v>MMD — FPR</x:v>
      </x:c>
      <x:c r="J71" s="237"/>
      <x:c r="K71" s="237" t="str">
        <x:v>Summary</x:v>
      </x:c>
      <x:c r="L71" s="237" t="str">
        <x:v>L2</x:v>
      </x:c>
      <x:c r="M71" s="237" t="str">
        <x:v>L∞</x:v>
      </x:c>
      <x:c r="N71" s="237" t="str">
        <x:v>Density</x:v>
      </x:c>
      <x:c r="O71" s="238" t="str">
        <x:v>MMD</x:v>
      </x:c>
    </x:row>
    <x:row r="72" ht="19" customHeight="1">
      <x:c r="A72" s="240" t="str">
        <x:v>S=D</x:v>
      </x:c>
      <x:c r="B72" s="241" t="n">
        <x:f>IFERROR('Empirical data'!C108*100,NA())</x:f>
        <x:v>77.77777777777779</x:v>
      </x:c>
      <x:c r="C72" s="241" t="n">
        <x:f>IFERROR('Empirical data'!C109*100,NA())</x:f>
        <x:v>50</x:v>
      </x:c>
      <x:c r="D72" s="241" t="n">
        <x:f>IFERROR('Empirical data'!D108*100,NA())</x:f>
        <x:v>77.77777777777779</x:v>
      </x:c>
      <x:c r="E72" s="241" t="n">
        <x:f>IFERROR('Empirical data'!D109*100,NA())</x:f>
        <x:v>37.5</x:v>
      </x:c>
      <x:c r="F72" s="241" t="n">
        <x:f>IFERROR('Empirical data'!E108*100,NA())</x:f>
        <x:v>88.88888888888889</x:v>
      </x:c>
      <x:c r="G72" s="241" t="n">
        <x:f>IFERROR('Empirical data'!E109*100,NA())</x:f>
        <x:v>37.5</x:v>
      </x:c>
      <x:c r="H72" s="241" t="n">
        <x:f>IFERROR('Empirical data'!F108*100,NA())</x:f>
        <x:v>100</x:v>
      </x:c>
      <x:c r="I72" s="242" t="n">
        <x:f>IFERROR('Empirical data'!F109*100,NA())</x:f>
        <x:v>0</x:v>
      </x:c>
      <x:c r="K72" s="240" t="str">
        <x:v>S=D</x:v>
      </x:c>
      <x:c r="L72" s="241" t="n">
        <x:f>IFERROR('Empirical data'!C111*100,NA())</x:f>
        <x:v>27.77777777777778</x:v>
      </x:c>
      <x:c r="M72" s="241" t="n">
        <x:f>IFERROR('Empirical data'!D111*100,NA())</x:f>
        <x:v>33.333333333333336</x:v>
      </x:c>
      <x:c r="N72" s="241" t="n">
        <x:f>IFERROR('Empirical data'!E111*100,NA())</x:f>
        <x:v>50</x:v>
      </x:c>
      <x:c r="O72" s="242" t="n">
        <x:f>IFERROR('Empirical data'!F111*100,NA())</x:f>
        <x:v>34.72222222222222</x:v>
      </x:c>
    </x:row>
    <x:row r="73" ht="19" customHeight="1">
      <x:c r="A73" s="243" t="str">
        <x:v>S=2D</x:v>
      </x:c>
      <x:c r="B73" s="244" t="n">
        <x:f>IFERROR('Empirical data'!C112*100,NA())</x:f>
        <x:v>58.82352941176471</x:v>
      </x:c>
      <x:c r="C73" s="244" t="e">
        <x:f>IFERROR('Empirical data'!C113*100,NA())</x:f>
        <x:v>#N/A</x:v>
      </x:c>
      <x:c r="D73" s="244" t="n">
        <x:f>IFERROR('Empirical data'!D112*100,NA())</x:f>
        <x:v>88.23529411764706</x:v>
      </x:c>
      <x:c r="E73" s="244" t="e">
        <x:f>IFERROR('Empirical data'!D113*100,NA())</x:f>
        <x:v>#N/A</x:v>
      </x:c>
      <x:c r="F73" s="244" t="n">
        <x:f>IFERROR('Empirical data'!E112*100,NA())</x:f>
        <x:v>82.35294117647058</x:v>
      </x:c>
      <x:c r="G73" s="244" t="e">
        <x:f>IFERROR('Empirical data'!E113*100,NA())</x:f>
        <x:v>#N/A</x:v>
      </x:c>
      <x:c r="H73" s="244" t="n">
        <x:f>IFERROR('Empirical data'!F112*100,NA())</x:f>
        <x:v>100</x:v>
      </x:c>
      <x:c r="I73" s="245" t="e">
        <x:f>IFERROR('Empirical data'!F113*100,NA())</x:f>
        <x:v>#N/A</x:v>
      </x:c>
      <x:c r="K73" s="243" t="str">
        <x:v>S=2D</x:v>
      </x:c>
      <x:c r="L73" s="244" t="e">
        <x:f>IFERROR('Empirical data'!C115*100,NA())</x:f>
        <x:v>#N/A</x:v>
      </x:c>
      <x:c r="M73" s="244" t="e">
        <x:f>IFERROR('Empirical data'!D115*100,NA())</x:f>
        <x:v>#N/A</x:v>
      </x:c>
      <x:c r="N73" s="244" t="e">
        <x:f>IFERROR('Empirical data'!E115*100,NA())</x:f>
        <x:v>#N/A</x:v>
      </x:c>
      <x:c r="O73" s="245" t="e">
        <x:f>IFERROR('Empirical data'!F115*100,NA())</x:f>
        <x:v>#N/A</x:v>
      </x:c>
    </x:row>
    <x:row r="74" ht="19" customHeight="1">
      <x:c r="A74" s="246" t="str">
        <x:v>S=4D</x:v>
      </x:c>
      <x:c r="B74" s="247" t="n">
        <x:f>IFERROR('Empirical data'!C116*100,NA())</x:f>
        <x:v>62.5</x:v>
      </x:c>
      <x:c r="C74" s="247" t="n">
        <x:f>IFERROR('Empirical data'!C117*100,NA())</x:f>
        <x:v>100</x:v>
      </x:c>
      <x:c r="D74" s="247" t="n">
        <x:f>IFERROR('Empirical data'!D116*100,NA())</x:f>
        <x:v>81.25</x:v>
      </x:c>
      <x:c r="E74" s="247" t="n">
        <x:f>IFERROR('Empirical data'!D117*100,NA())</x:f>
        <x:v>100</x:v>
      </x:c>
      <x:c r="F74" s="247" t="n">
        <x:f>IFERROR('Empirical data'!E116*100,NA())</x:f>
        <x:v>43.75</x:v>
      </x:c>
      <x:c r="G74" s="247" t="n">
        <x:f>IFERROR('Empirical data'!E117*100,NA())</x:f>
        <x:v>100</x:v>
      </x:c>
      <x:c r="H74" s="247" t="n">
        <x:f>IFERROR('Empirical data'!F116*100,NA())</x:f>
        <x:v>100</x:v>
      </x:c>
      <x:c r="I74" s="248" t="n">
        <x:f>IFERROR('Empirical data'!F117*100,NA())</x:f>
        <x:v>0</x:v>
      </x:c>
      <x:c r="K74" s="246" t="str">
        <x:v>S=4D</x:v>
      </x:c>
      <x:c r="L74" s="247" t="n">
        <x:f>IFERROR('Empirical data'!C119*100,NA())</x:f>
        <x:v>0</x:v>
      </x:c>
      <x:c r="M74" s="247" t="n">
        <x:f>IFERROR('Empirical data'!D119*100,NA())</x:f>
        <x:v>0</x:v>
      </x:c>
      <x:c r="N74" s="247" t="n">
        <x:f>IFERROR('Empirical data'!E119*100,NA())</x:f>
        <x:v>6.25</x:v>
      </x:c>
      <x:c r="O74" s="248" t="n">
        <x:f>IFERROR('Empirical data'!F119*100,NA())</x:f>
        <x:v>0</x:v>
      </x:c>
    </x:row>
    <x:row r="75" ht="19" customHeight="1"/>
    <x:row r="76" ht="19" customHeight="1"/>
    <x:row r="77" ht="19" customHeight="1">
      <x:c r="A77" s="230" t="str">
        <x:v>Gaussian data — Signed logML error — Assumed M1</x:v>
      </x:c>
      <x:c r="B77" s="230" t="str">
        <x:v>Gaussian data — Signed logML error — Assumed M1</x:v>
      </x:c>
      <x:c r="C77" s="230" t="str">
        <x:v>Gaussian data — Signed logML error — Assumed M1</x:v>
      </x:c>
      <x:c r="D77" s="230" t="str">
        <x:v>Gaussian data — Signed logML error — Assumed M1</x:v>
      </x:c>
      <x:c r="E77" s="230" t="str">
        <x:v>Gaussian data — Signed logML error — Assumed M1</x:v>
      </x:c>
      <x:c r="F77" s="230" t="str">
        <x:v>Gaussian data — Signed logML error — Assumed M1</x:v>
      </x:c>
      <x:c r="G77" s="230" t="str">
        <x:v>Gaussian data — Signed logML error — Assumed M1</x:v>
      </x:c>
      <x:c r="H77" s="230" t="str">
        <x:v>Gaussian data — Signed logML error — Assumed M1</x:v>
      </x:c>
      <x:c r="I77" s="230" t="str">
        <x:v>Gaussian data — Signed logML error — Assumed M1</x:v>
      </x:c>
      <x:c r="J77" s="230" t="str">
        <x:v>Gaussian data — Signed logML error — Assumed M1</x:v>
      </x:c>
      <x:c r="K77" s="230" t="str">
        <x:v>Gaussian data — Signed logML error — Assumed M1</x:v>
      </x:c>
      <x:c r="L77" s="230" t="str">
        <x:v>Gaussian data — Signed logML error — Assumed M1</x:v>
      </x:c>
      <x:c r="M77" s="230" t="str">
        <x:v>Gaussian data — Signed logML error — Assumed M1</x:v>
      </x:c>
      <x:c r="N77" s="230" t="str">
        <x:v>Gaussian data — Signed logML error — Assumed M1</x:v>
      </x:c>
      <x:c r="O77" s="230" t="str">
        <x:v>Gaussian data — Signed logML error — Assumed M1</x:v>
      </x:c>
    </x:row>
    <x:row r="78" ht="19" customHeight="1">
      <x:c r="A78" s="236" t="str">
        <x:v>Summary</x:v>
      </x:c>
      <x:c r="B78" s="237" t="str">
        <x:v>L2 — FNR</x:v>
      </x:c>
      <x:c r="C78" s="237" t="str">
        <x:v>L2 — FPR</x:v>
      </x:c>
      <x:c r="D78" s="237" t="str">
        <x:v>L∞ — FNR</x:v>
      </x:c>
      <x:c r="E78" s="237" t="str">
        <x:v>L∞ — FPR</x:v>
      </x:c>
      <x:c r="F78" s="237" t="str">
        <x:v>Density — FNR</x:v>
      </x:c>
      <x:c r="G78" s="237" t="str">
        <x:v>Density — FPR</x:v>
      </x:c>
      <x:c r="H78" s="237" t="str">
        <x:v>MMD — FNR</x:v>
      </x:c>
      <x:c r="I78" s="237" t="str">
        <x:v>MMD — FPR</x:v>
      </x:c>
      <x:c r="J78" s="237"/>
      <x:c r="K78" s="237" t="str">
        <x:v>Summary</x:v>
      </x:c>
      <x:c r="L78" s="237" t="str">
        <x:v>L2</x:v>
      </x:c>
      <x:c r="M78" s="237" t="str">
        <x:v>L∞</x:v>
      </x:c>
      <x:c r="N78" s="237" t="str">
        <x:v>Density</x:v>
      </x:c>
      <x:c r="O78" s="238" t="str">
        <x:v>MMD</x:v>
      </x:c>
    </x:row>
    <x:row r="79" ht="19" customHeight="1">
      <x:c r="A79" s="240" t="str">
        <x:v>S=D</x:v>
      </x:c>
      <x:c r="B79" s="241" t="n">
        <x:f>IFERROR('Gaussian data'!C8*100,NA())</x:f>
        <x:v>47.13541666666667</x:v>
      </x:c>
      <x:c r="C79" s="241" t="n">
        <x:f>IFERROR('Gaussian data'!C9*100,NA())</x:f>
        <x:v>3.7037037037037033</x:v>
      </x:c>
      <x:c r="D79" s="241" t="n">
        <x:f>IFERROR('Gaussian data'!D8*100,NA())</x:f>
        <x:v>49.09090909090909</x:v>
      </x:c>
      <x:c r="E79" s="241" t="n">
        <x:f>IFERROR('Gaussian data'!D9*100,NA())</x:f>
        <x:v>5.116279069767442</x:v>
      </x:c>
      <x:c r="F79" s="241" t="n">
        <x:f>IFERROR('Gaussian data'!E8*100,NA())</x:f>
        <x:v>54.427083333333336</x:v>
      </x:c>
      <x:c r="G79" s="241" t="n">
        <x:f>IFERROR('Gaussian data'!E9*100,NA())</x:f>
        <x:v>2.7777777777777777</x:v>
      </x:c>
      <x:c r="H79" s="241" t="n">
        <x:f>IFERROR('Gaussian data'!F8*100,NA())</x:f>
        <x:v>47.13541666666667</x:v>
      </x:c>
      <x:c r="I79" s="242" t="n">
        <x:f>IFERROR('Gaussian data'!F9*100,NA())</x:f>
        <x:v>4.62962962962963</x:v>
      </x:c>
      <x:c r="K79" s="240" t="str">
        <x:v>S=D</x:v>
      </x:c>
      <x:c r="L79" s="241" t="n">
        <x:f>IFERROR('Gaussian data'!C11*100,NA())</x:f>
        <x:v>79.41984953703704</x:v>
      </x:c>
      <x:c r="M79" s="241" t="n">
        <x:f>IFERROR('Gaussian data'!D11*100,NA())</x:f>
        <x:v>80.54726668680156</x:v>
      </x:c>
      <x:c r="N79" s="241" t="n">
        <x:f>IFERROR('Gaussian data'!E11*100,NA())</x:f>
        <x:v>82.28443287037037</x:v>
      </x:c>
      <x:c r="O79" s="242" t="n">
        <x:f>IFERROR('Gaussian data'!F11*100,NA())</x:f>
        <x:v>78.95688657407408</x:v>
      </x:c>
    </x:row>
    <x:row r="80" ht="19" customHeight="1">
      <x:c r="A80" s="243" t="str">
        <x:v>S=2D</x:v>
      </x:c>
      <x:c r="B80" s="244" t="n">
        <x:f>IFERROR('Gaussian data'!C12*100,NA())</x:f>
        <x:v>14.917127071823206</x:v>
      </x:c>
      <x:c r="C80" s="244" t="n">
        <x:f>IFERROR('Gaussian data'!C13*100,NA())</x:f>
        <x:v>17.647058823529413</x:v>
      </x:c>
      <x:c r="D80" s="244" t="n">
        <x:f>IFERROR('Gaussian data'!D12*100,NA())</x:f>
        <x:v>27.197802197802197</x:v>
      </x:c>
      <x:c r="E80" s="244" t="n">
        <x:f>IFERROR('Gaussian data'!D13*100,NA())</x:f>
        <x:v>5.508474576271186</x:v>
      </x:c>
      <x:c r="F80" s="244" t="n">
        <x:f>IFERROR('Gaussian data'!E12*100,NA())</x:f>
        <x:v>11.049723756906078</x:v>
      </x:c>
      <x:c r="G80" s="244" t="n">
        <x:f>IFERROR('Gaussian data'!E13*100,NA())</x:f>
        <x:v>34.03361344537815</x:v>
      </x:c>
      <x:c r="H80" s="244" t="n">
        <x:f>IFERROR('Gaussian data'!F12*100,NA())</x:f>
        <x:v>43.370165745856355</x:v>
      </x:c>
      <x:c r="I80" s="245" t="n">
        <x:f>IFERROR('Gaussian data'!F13*100,NA())</x:f>
        <x:v>13.865546218487395</x:v>
      </x:c>
      <x:c r="K80" s="243" t="str">
        <x:v>S=2D</x:v>
      </x:c>
      <x:c r="L80" s="244" t="n">
        <x:f>IFERROR('Gaussian data'!C15*100,NA())</x:f>
        <x:v>89.88462788430289</x:v>
      </x:c>
      <x:c r="M80" s="244" t="n">
        <x:f>IFERROR('Gaussian data'!D15*100,NA())</x:f>
        <x:v>90.79321102626187</x:v>
      </x:c>
      <x:c r="N80" s="244" t="n">
        <x:f>IFERROR('Gaussian data'!E15*100,NA())</x:f>
        <x:v>88.09485120014857</x:v>
      </x:c>
      <x:c r="O80" s="245" t="n">
        <x:f>IFERROR('Gaussian data'!F15*100,NA())</x:f>
        <x:v>71.79302660290635</x:v>
      </x:c>
    </x:row>
    <x:row r="81" ht="19" customHeight="1">
      <x:c r="A81" s="246" t="str">
        <x:v>S=4D</x:v>
      </x:c>
      <x:c r="B81" s="247" t="n">
        <x:f>IFERROR('Gaussian data'!C16*100,NA())</x:f>
        <x:v>4.587155963302752</x:v>
      </x:c>
      <x:c r="C81" s="247" t="n">
        <x:f>IFERROR('Gaussian data'!C17*100,NA())</x:f>
        <x:v>31.5018315018315</x:v>
      </x:c>
      <x:c r="D81" s="247" t="n">
        <x:f>IFERROR('Gaussian data'!D16*100,NA())</x:f>
        <x:v>11.041009463722396</x:v>
      </x:c>
      <x:c r="E81" s="247" t="n">
        <x:f>IFERROR('Gaussian data'!D17*100,NA())</x:f>
        <x:v>18.374558303886925</x:v>
      </x:c>
      <x:c r="F81" s="247" t="n">
        <x:f>IFERROR('Gaussian data'!E16*100,NA())</x:f>
        <x:v>3.9755351681957185</x:v>
      </x:c>
      <x:c r="G81" s="247" t="n">
        <x:f>IFERROR('Gaussian data'!E17*100,NA())</x:f>
        <x:v>43.58974358974359</x:v>
      </x:c>
      <x:c r="H81" s="247" t="n">
        <x:f>IFERROR('Gaussian data'!F16*100,NA())</x:f>
        <x:v>28.134556574923547</x:v>
      </x:c>
      <x:c r="I81" s="248" t="n">
        <x:f>IFERROR('Gaussian data'!F17*100,NA())</x:f>
        <x:v>21.978021978021978</x:v>
      </x:c>
      <x:c r="K81" s="246" t="str">
        <x:v>S=4D</x:v>
      </x:c>
      <x:c r="L81" s="247" t="n">
        <x:f>IFERROR('Gaussian data'!C19*100,NA())</x:f>
        <x:v>95.3377916680669</x:v>
      </x:c>
      <x:c r="M81" s="247" t="n">
        <x:f>IFERROR('Gaussian data'!D19*100,NA())</x:f>
        <x:v>94.27717894126695</x:v>
      </x:c>
      <x:c r="N81" s="247" t="n">
        <x:f>IFERROR('Gaussian data'!E19*100,NA())</x:f>
        <x:v>91.65350449754119</x:v>
      </x:c>
      <x:c r="O81" s="248" t="n">
        <x:f>IFERROR('Gaussian data'!F19*100,NA())</x:f>
        <x:v>81.47662734818698</x:v>
      </x:c>
    </x:row>
    <x:row r="82" ht="19" customHeight="1"/>
    <x:row r="83" ht="19" customHeight="1">
      <x:c r="A83" s="230" t="str">
        <x:v>Gaussian data — Signed logML error — Assumed M2</x:v>
      </x:c>
      <x:c r="B83" s="230" t="str">
        <x:v>Gaussian data — Signed logML error — Assumed M2</x:v>
      </x:c>
      <x:c r="C83" s="230" t="str">
        <x:v>Gaussian data — Signed logML error — Assumed M2</x:v>
      </x:c>
      <x:c r="D83" s="230" t="str">
        <x:v>Gaussian data — Signed logML error — Assumed M2</x:v>
      </x:c>
      <x:c r="E83" s="230" t="str">
        <x:v>Gaussian data — Signed logML error — Assumed M2</x:v>
      </x:c>
      <x:c r="F83" s="230" t="str">
        <x:v>Gaussian data — Signed logML error — Assumed M2</x:v>
      </x:c>
      <x:c r="G83" s="230" t="str">
        <x:v>Gaussian data — Signed logML error — Assumed M2</x:v>
      </x:c>
      <x:c r="H83" s="230" t="str">
        <x:v>Gaussian data — Signed logML error — Assumed M2</x:v>
      </x:c>
      <x:c r="I83" s="230" t="str">
        <x:v>Gaussian data — Signed logML error — Assumed M2</x:v>
      </x:c>
      <x:c r="J83" s="230" t="str">
        <x:v>Gaussian data — Signed logML error — Assumed M2</x:v>
      </x:c>
      <x:c r="K83" s="230" t="str">
        <x:v>Gaussian data — Signed logML error — Assumed M2</x:v>
      </x:c>
      <x:c r="L83" s="230" t="str">
        <x:v>Gaussian data — Signed logML error — Assumed M2</x:v>
      </x:c>
      <x:c r="M83" s="230" t="str">
        <x:v>Gaussian data — Signed logML error — Assumed M2</x:v>
      </x:c>
      <x:c r="N83" s="230" t="str">
        <x:v>Gaussian data — Signed logML error — Assumed M2</x:v>
      </x:c>
      <x:c r="O83" s="230" t="str">
        <x:v>Gaussian data — Signed logML error — Assumed M2</x:v>
      </x:c>
    </x:row>
    <x:row r="84" ht="19" customHeight="1">
      <x:c r="A84" s="236" t="str">
        <x:v>Summary</x:v>
      </x:c>
      <x:c r="B84" s="237" t="str">
        <x:v>L2 — FNR</x:v>
      </x:c>
      <x:c r="C84" s="237" t="str">
        <x:v>L2 — FPR</x:v>
      </x:c>
      <x:c r="D84" s="237" t="str">
        <x:v>L∞ — FNR</x:v>
      </x:c>
      <x:c r="E84" s="237" t="str">
        <x:v>L∞ — FPR</x:v>
      </x:c>
      <x:c r="F84" s="237" t="str">
        <x:v>Density — FNR</x:v>
      </x:c>
      <x:c r="G84" s="237" t="str">
        <x:v>Density — FPR</x:v>
      </x:c>
      <x:c r="H84" s="237" t="str">
        <x:v>MMD — FNR</x:v>
      </x:c>
      <x:c r="I84" s="237" t="str">
        <x:v>MMD — FPR</x:v>
      </x:c>
      <x:c r="J84" s="237"/>
      <x:c r="K84" s="237" t="str">
        <x:v>Summary</x:v>
      </x:c>
      <x:c r="L84" s="237" t="str">
        <x:v>L2</x:v>
      </x:c>
      <x:c r="M84" s="237" t="str">
        <x:v>L∞</x:v>
      </x:c>
      <x:c r="N84" s="237" t="str">
        <x:v>Density</x:v>
      </x:c>
      <x:c r="O84" s="238" t="str">
        <x:v>MMD</x:v>
      </x:c>
    </x:row>
    <x:row r="85" ht="19" customHeight="1">
      <x:c r="A85" s="240" t="str">
        <x:v>S=D</x:v>
      </x:c>
      <x:c r="B85" s="241" t="n">
        <x:f>IFERROR('Gaussian data'!C24*100,NA())</x:f>
        <x:v>10.38961038961039</x:v>
      </x:c>
      <x:c r="C85" s="241" t="n">
        <x:f>IFERROR('Gaussian data'!C25*100,NA())</x:f>
        <x:v>27.86885245901639</x:v>
      </x:c>
      <x:c r="D85" s="241" t="n">
        <x:f>IFERROR('Gaussian data'!D24*100,NA())</x:f>
        <x:v>16.945996275605214</x:v>
      </x:c>
      <x:c r="E85" s="241" t="n">
        <x:f>IFERROR('Gaussian data'!D25*100,NA())</x:f>
        <x:v>31.746031746031743</x:v>
      </x:c>
      <x:c r="F85" s="241" t="n">
        <x:f>IFERROR('Gaussian data'!E24*100,NA())</x:f>
        <x:v>18.367346938775512</x:v>
      </x:c>
      <x:c r="G85" s="241" t="n">
        <x:f>IFERROR('Gaussian data'!E25*100,NA())</x:f>
        <x:v>19.672131147540984</x:v>
      </x:c>
      <x:c r="H85" s="241" t="n">
        <x:f>IFERROR('Gaussian data'!F24*100,NA())</x:f>
        <x:v>10.018552875695732</x:v>
      </x:c>
      <x:c r="I85" s="242" t="n">
        <x:f>IFERROR('Gaussian data'!F25*100,NA())</x:f>
        <x:v>27.86885245901639</x:v>
      </x:c>
      <x:c r="K85" s="240" t="str">
        <x:v>S=D</x:v>
      </x:c>
      <x:c r="L85" s="241" t="n">
        <x:f>IFERROR('Gaussian data'!C27*100,NA())</x:f>
        <x:v>91.31968733842271</x:v>
      </x:c>
      <x:c r="M85" s="241" t="n">
        <x:f>IFERROR('Gaussian data'!D27*100,NA())</x:f>
        <x:v>84.32502734178712</x:v>
      </x:c>
      <x:c r="N85" s="241" t="n">
        <x:f>IFERROR('Gaussian data'!E27*100,NA())</x:f>
        <x:v>85.3797256607561</x:v>
      </x:c>
      <x:c r="O85" s="242" t="n">
        <x:f>IFERROR('Gaussian data'!F27*100,NA())</x:f>
        <x:v>91.38659934912863</x:v>
      </x:c>
    </x:row>
    <x:row r="86" ht="19" customHeight="1">
      <x:c r="A86" s="243" t="str">
        <x:v>S=2D</x:v>
      </x:c>
      <x:c r="B86" s="244" t="n">
        <x:f>IFERROR('Gaussian data'!C28*100,NA())</x:f>
        <x:v>3.063063063063063</x:v>
      </x:c>
      <x:c r="C86" s="244" t="n">
        <x:f>IFERROR('Gaussian data'!C29*100,NA())</x:f>
        <x:v>33.33333333333333</x:v>
      </x:c>
      <x:c r="D86" s="244" t="n">
        <x:f>IFERROR('Gaussian data'!D28*100,NA())</x:f>
        <x:v>4.220183486238533</x:v>
      </x:c>
      <x:c r="E86" s="244" t="n">
        <x:f>IFERROR('Gaussian data'!D29*100,NA())</x:f>
        <x:v>21.818181818181817</x:v>
      </x:c>
      <x:c r="F86" s="244" t="n">
        <x:f>IFERROR('Gaussian data'!E28*100,NA())</x:f>
        <x:v>3.063063063063063</x:v>
      </x:c>
      <x:c r="G86" s="244" t="n">
        <x:f>IFERROR('Gaussian data'!E29*100,NA())</x:f>
        <x:v>28.888888888888886</x:v>
      </x:c>
      <x:c r="H86" s="244" t="n">
        <x:f>IFERROR('Gaussian data'!F28*100,NA())</x:f>
        <x:v>6.666666666666667</x:v>
      </x:c>
      <x:c r="I86" s="245" t="n">
        <x:f>IFERROR('Gaussian data'!F29*100,NA())</x:f>
        <x:v>33.33333333333333</x:v>
      </x:c>
      <x:c r="K86" s="243" t="str">
        <x:v>S=2D</x:v>
      </x:c>
      <x:c r="L86" s="244" t="n">
        <x:f>IFERROR('Gaussian data'!C31*100,NA())</x:f>
        <x:v>96.87687687687688</x:v>
      </x:c>
      <x:c r="M86" s="244" t="n">
        <x:f>IFERROR('Gaussian data'!D31*100,NA())</x:f>
        <x:v>96.17014178482069</x:v>
      </x:c>
      <x:c r="N86" s="244" t="n">
        <x:f>IFERROR('Gaussian data'!E31*100,NA())</x:f>
        <x:v>96.78478478478479</x:v>
      </x:c>
      <x:c r="O86" s="245" t="n">
        <x:f>IFERROR('Gaussian data'!F31*100,NA())</x:f>
        <x:v>92.97297297297298</x:v>
      </x:c>
    </x:row>
    <x:row r="87" ht="19" customHeight="1">
      <x:c r="A87" s="246" t="str">
        <x:v>S=4D</x:v>
      </x:c>
      <x:c r="B87" s="247" t="n">
        <x:f>IFERROR('Gaussian data'!C32*100,NA())</x:f>
        <x:v>1.4492753623188406</x:v>
      </x:c>
      <x:c r="C87" s="247" t="n">
        <x:f>IFERROR('Gaussian data'!C33*100,NA())</x:f>
        <x:v>14.583333333333334</x:v>
      </x:c>
      <x:c r="D87" s="247" t="n">
        <x:f>IFERROR('Gaussian data'!D32*100,NA())</x:f>
        <x:v>5.2823315118397085</x:v>
      </x:c>
      <x:c r="E87" s="247" t="n">
        <x:f>IFERROR('Gaussian data'!D33*100,NA())</x:f>
        <x:v>9.803921568627452</x:v>
      </x:c>
      <x:c r="F87" s="247" t="n">
        <x:f>IFERROR('Gaussian data'!E32*100,NA())</x:f>
        <x:v>1.4492753623188406</x:v>
      </x:c>
      <x:c r="G87" s="247" t="n">
        <x:f>IFERROR('Gaussian data'!E33*100,NA())</x:f>
        <x:v>18.75</x:v>
      </x:c>
      <x:c r="H87" s="247" t="n">
        <x:f>IFERROR('Gaussian data'!F32*100,NA())</x:f>
        <x:v>2.898550724637681</x:v>
      </x:c>
      <x:c r="I87" s="248" t="n">
        <x:f>IFERROR('Gaussian data'!F33*100,NA())</x:f>
        <x:v>14.583333333333334</x:v>
      </x:c>
      <x:c r="K87" s="246" t="str">
        <x:v>S=4D</x:v>
      </x:c>
      <x:c r="L87" s="247" t="n">
        <x:f>IFERROR('Gaussian data'!C35*100,NA())</x:f>
        <x:v>99.04891304347827</x:v>
      </x:c>
      <x:c r="M87" s="247" t="n">
        <x:f>IFERROR('Gaussian data'!D35*100,NA())</x:f>
        <x:v>98.05707346690953</x:v>
      </x:c>
      <x:c r="N87" s="247" t="n">
        <x:f>IFERROR('Gaussian data'!E35*100,NA())</x:f>
        <x:v>99.07910628019324</x:v>
      </x:c>
      <x:c r="O87" s="248" t="n">
        <x:f>IFERROR('Gaussian data'!F35*100,NA())</x:f>
        <x:v>97.66379830917874</x:v>
      </x:c>
    </x:row>
    <x:row r="88" ht="19" customHeight="1"/>
    <x:row r="89" ht="19" customHeight="1">
      <x:c r="A89" s="230" t="str">
        <x:v>Gaussian data — Signed logML error — Assumed M3</x:v>
      </x:c>
      <x:c r="B89" s="230" t="str">
        <x:v>Gaussian data — Signed logML error — Assumed M3</x:v>
      </x:c>
      <x:c r="C89" s="230" t="str">
        <x:v>Gaussian data — Signed logML error — Assumed M3</x:v>
      </x:c>
      <x:c r="D89" s="230" t="str">
        <x:v>Gaussian data — Signed logML error — Assumed M3</x:v>
      </x:c>
      <x:c r="E89" s="230" t="str">
        <x:v>Gaussian data — Signed logML error — Assumed M3</x:v>
      </x:c>
      <x:c r="F89" s="230" t="str">
        <x:v>Gaussian data — Signed logML error — Assumed M3</x:v>
      </x:c>
      <x:c r="G89" s="230" t="str">
        <x:v>Gaussian data — Signed logML error — Assumed M3</x:v>
      </x:c>
      <x:c r="H89" s="230" t="str">
        <x:v>Gaussian data — Signed logML error — Assumed M3</x:v>
      </x:c>
      <x:c r="I89" s="230" t="str">
        <x:v>Gaussian data — Signed logML error — Assumed M3</x:v>
      </x:c>
      <x:c r="J89" s="230" t="str">
        <x:v>Gaussian data — Signed logML error — Assumed M3</x:v>
      </x:c>
      <x:c r="K89" s="230" t="str">
        <x:v>Gaussian data — Signed logML error — Assumed M3</x:v>
      </x:c>
      <x:c r="L89" s="230" t="str">
        <x:v>Gaussian data — Signed logML error — Assumed M3</x:v>
      </x:c>
      <x:c r="M89" s="230" t="str">
        <x:v>Gaussian data — Signed logML error — Assumed M3</x:v>
      </x:c>
      <x:c r="N89" s="230" t="str">
        <x:v>Gaussian data — Signed logML error — Assumed M3</x:v>
      </x:c>
      <x:c r="O89" s="230" t="str">
        <x:v>Gaussian data — Signed logML error — Assumed M3</x:v>
      </x:c>
    </x:row>
    <x:row r="90" ht="19" customHeight="1">
      <x:c r="A90" s="236" t="str">
        <x:v>Summary</x:v>
      </x:c>
      <x:c r="B90" s="237" t="str">
        <x:v>L2 — FNR</x:v>
      </x:c>
      <x:c r="C90" s="237" t="str">
        <x:v>L2 — FPR</x:v>
      </x:c>
      <x:c r="D90" s="237" t="str">
        <x:v>L∞ — FNR</x:v>
      </x:c>
      <x:c r="E90" s="237" t="str">
        <x:v>L∞ — FPR</x:v>
      </x:c>
      <x:c r="F90" s="237" t="str">
        <x:v>Density — FNR</x:v>
      </x:c>
      <x:c r="G90" s="237" t="str">
        <x:v>Density — FPR</x:v>
      </x:c>
      <x:c r="H90" s="237" t="str">
        <x:v>MMD — FNR</x:v>
      </x:c>
      <x:c r="I90" s="237" t="str">
        <x:v>MMD — FPR</x:v>
      </x:c>
      <x:c r="J90" s="237"/>
      <x:c r="K90" s="237" t="str">
        <x:v>Summary</x:v>
      </x:c>
      <x:c r="L90" s="237" t="str">
        <x:v>L2</x:v>
      </x:c>
      <x:c r="M90" s="237" t="str">
        <x:v>L∞</x:v>
      </x:c>
      <x:c r="N90" s="237" t="str">
        <x:v>Density</x:v>
      </x:c>
      <x:c r="O90" s="238" t="str">
        <x:v>MMD</x:v>
      </x:c>
    </x:row>
    <x:row r="91" ht="19" customHeight="1">
      <x:c r="A91" s="240" t="str">
        <x:v>S=D</x:v>
      </x:c>
      <x:c r="B91" s="241" t="n">
        <x:f>IFERROR('Gaussian data'!C40*100,NA())</x:f>
        <x:v>26.637554585152838</x:v>
      </x:c>
      <x:c r="C91" s="241" t="n">
        <x:f>IFERROR('Gaussian data'!C41*100,NA())</x:f>
        <x:v>38.732394366197184</x:v>
      </x:c>
      <x:c r="D91" s="241" t="n">
        <x:f>IFERROR('Gaussian data'!D40*100,NA())</x:f>
        <x:v>33.04347826086956</x:v>
      </x:c>
      <x:c r="E91" s="241" t="n">
        <x:f>IFERROR('Gaussian data'!D41*100,NA())</x:f>
        <x:v>28.57142857142857</x:v>
      </x:c>
      <x:c r="F91" s="241" t="n">
        <x:f>IFERROR('Gaussian data'!E40*100,NA())</x:f>
        <x:v>47.161572052401745</x:v>
      </x:c>
      <x:c r="G91" s="241" t="n">
        <x:f>IFERROR('Gaussian data'!E41*100,NA())</x:f>
        <x:v>30.28169014084507</x:v>
      </x:c>
      <x:c r="H91" s="241" t="n">
        <x:f>IFERROR('Gaussian data'!F40*100,NA())</x:f>
        <x:v>26.85589519650655</x:v>
      </x:c>
      <x:c r="I91" s="242" t="n">
        <x:f>IFERROR('Gaussian data'!F41*100,NA())</x:f>
        <x:v>38.732394366197184</x:v>
      </x:c>
      <x:c r="K91" s="240" t="str">
        <x:v>S=D</x:v>
      </x:c>
      <x:c r="L91" s="241" t="n">
        <x:f>IFERROR('Gaussian data'!C43*100,NA())</x:f>
        <x:v>65.48988252660065</x:v>
      </x:c>
      <x:c r="M91" s="241" t="n">
        <x:f>IFERROR('Gaussian data'!D43*100,NA())</x:f>
        <x:v>71.1444099378882</x:v>
      </x:c>
      <x:c r="N91" s="241" t="n">
        <x:f>IFERROR('Gaussian data'!E43*100,NA())</x:f>
        <x:v>65.0485884740759</x:v>
      </x:c>
      <x:c r="O91" s="242" t="n">
        <x:f>IFERROR('Gaussian data'!F43*100,NA())</x:f>
        <x:v>65.57752629312996</x:v>
      </x:c>
    </x:row>
    <x:row r="92" ht="19" customHeight="1">
      <x:c r="A92" s="243" t="str">
        <x:v>S=2D</x:v>
      </x:c>
      <x:c r="B92" s="244" t="n">
        <x:f>IFERROR('Gaussian data'!C44*100,NA())</x:f>
        <x:v>26.706827309236946</x:v>
      </x:c>
      <x:c r="C92" s="244" t="n">
        <x:f>IFERROR('Gaussian data'!C45*100,NA())</x:f>
        <x:v>42.15686274509804</x:v>
      </x:c>
      <x:c r="D92" s="244" t="n">
        <x:f>IFERROR('Gaussian data'!D44*100,NA())</x:f>
        <x:v>32.59109311740891</x:v>
      </x:c>
      <x:c r="E92" s="244" t="n">
        <x:f>IFERROR('Gaussian data'!D45*100,NA())</x:f>
        <x:v>32.075471698113205</x:v>
      </x:c>
      <x:c r="F92" s="244" t="n">
        <x:f>IFERROR('Gaussian data'!E44*100,NA())</x:f>
        <x:v>7.228915662650602</x:v>
      </x:c>
      <x:c r="G92" s="244" t="n">
        <x:f>IFERROR('Gaussian data'!E45*100,NA())</x:f>
        <x:v>52.94117647058824</x:v>
      </x:c>
      <x:c r="H92" s="244" t="n">
        <x:f>IFERROR('Gaussian data'!F44*100,NA())</x:f>
        <x:v>28.514056224899598</x:v>
      </x:c>
      <x:c r="I92" s="245" t="n">
        <x:f>IFERROR('Gaussian data'!F45*100,NA())</x:f>
        <x:v>42.15686274509804</x:v>
      </x:c>
      <x:c r="K92" s="243" t="str">
        <x:v>S=2D</x:v>
      </x:c>
      <x:c r="L92" s="244" t="n">
        <x:f>IFERROR('Gaussian data'!C47*100,NA())</x:f>
        <x:v>62.126939129065285</x:v>
      </x:c>
      <x:c r="M92" s="244" t="n">
        <x:f>IFERROR('Gaussian data'!D47*100,NA())</x:f>
        <x:v>64.74295317393629</x:v>
      </x:c>
      <x:c r="N92" s="244" t="n">
        <x:f>IFERROR('Gaussian data'!E47*100,NA())</x:f>
        <x:v>69.4818489644854</x:v>
      </x:c>
      <x:c r="O92" s="245" t="n">
        <x:f>IFERROR('Gaussian data'!F47*100,NA())</x:f>
        <x:v>60.05984723206552</x:v>
      </x:c>
    </x:row>
    <x:row r="93" ht="19" customHeight="1">
      <x:c r="A93" s="246" t="str">
        <x:v>S=4D</x:v>
      </x:c>
      <x:c r="B93" s="247" t="n">
        <x:f>IFERROR('Gaussian data'!C48*100,NA())</x:f>
        <x:v>3.6072144288577155</x:v>
      </x:c>
      <x:c r="C93" s="247" t="n">
        <x:f>IFERROR('Gaussian data'!C49*100,NA())</x:f>
        <x:v>59.4059405940594</x:v>
      </x:c>
      <x:c r="D93" s="247" t="n">
        <x:f>IFERROR('Gaussian data'!D48*100,NA())</x:f>
        <x:v>22.067594433399602</x:v>
      </x:c>
      <x:c r="E93" s="247" t="n">
        <x:f>IFERROR('Gaussian data'!D49*100,NA())</x:f>
        <x:v>49.48453608247423</x:v>
      </x:c>
      <x:c r="F93" s="247" t="n">
        <x:f>IFERROR('Gaussian data'!E48*100,NA())</x:f>
        <x:v>1.2024048096192386</x:v>
      </x:c>
      <x:c r="G93" s="247" t="n">
        <x:f>IFERROR('Gaussian data'!E49*100,NA())</x:f>
        <x:v>59.4059405940594</x:v>
      </x:c>
      <x:c r="H93" s="247" t="n">
        <x:f>IFERROR('Gaussian data'!F48*100,NA())</x:f>
        <x:v>27.054108216432866</x:v>
      </x:c>
      <x:c r="I93" s="248" t="n">
        <x:f>IFERROR('Gaussian data'!F49*100,NA())</x:f>
        <x:v>33.663366336633665</x:v>
      </x:c>
      <x:c r="K93" s="246" t="str">
        <x:v>S=4D</x:v>
      </x:c>
      <x:c r="L93" s="247" t="n">
        <x:f>IFERROR('Gaussian data'!C51*100,NA())</x:f>
        <x:v>72.56294767753329</x:v>
      </x:c>
      <x:c r="M93" s="247" t="n">
        <x:f>IFERROR('Gaussian data'!D51*100,NA())</x:f>
        <x:v>68.14576458773134</x:v>
      </x:c>
      <x:c r="N93" s="247" t="n">
        <x:f>IFERROR('Gaussian data'!E51*100,NA())</x:f>
        <x:v>72.6800134923312</x:v>
      </x:c>
      <x:c r="O93" s="248" t="n">
        <x:f>IFERROR('Gaussian data'!F51*100,NA())</x:f>
        <x:v>66.57274945931468</x:v>
      </x:c>
    </x:row>
    <x:row r="94" ht="19" customHeight="1"/>
    <x:row r="95" ht="19" customHeight="1">
      <x:c r="A95" s="230" t="str">
        <x:v>Gaussian data — Signed logML error — Assumed M4</x:v>
      </x:c>
      <x:c r="B95" s="230" t="str">
        <x:v>Gaussian data — Signed logML error — Assumed M4</x:v>
      </x:c>
      <x:c r="C95" s="230" t="str">
        <x:v>Gaussian data — Signed logML error — Assumed M4</x:v>
      </x:c>
      <x:c r="D95" s="230" t="str">
        <x:v>Gaussian data — Signed logML error — Assumed M4</x:v>
      </x:c>
      <x:c r="E95" s="230" t="str">
        <x:v>Gaussian data — Signed logML error — Assumed M4</x:v>
      </x:c>
      <x:c r="F95" s="230" t="str">
        <x:v>Gaussian data — Signed logML error — Assumed M4</x:v>
      </x:c>
      <x:c r="G95" s="230" t="str">
        <x:v>Gaussian data — Signed logML error — Assumed M4</x:v>
      </x:c>
      <x:c r="H95" s="230" t="str">
        <x:v>Gaussian data — Signed logML error — Assumed M4</x:v>
      </x:c>
      <x:c r="I95" s="230" t="str">
        <x:v>Gaussian data — Signed logML error — Assumed M4</x:v>
      </x:c>
      <x:c r="J95" s="230" t="str">
        <x:v>Gaussian data — Signed logML error — Assumed M4</x:v>
      </x:c>
      <x:c r="K95" s="230" t="str">
        <x:v>Gaussian data — Signed logML error — Assumed M4</x:v>
      </x:c>
      <x:c r="L95" s="230" t="str">
        <x:v>Gaussian data — Signed logML error — Assumed M4</x:v>
      </x:c>
      <x:c r="M95" s="230" t="str">
        <x:v>Gaussian data — Signed logML error — Assumed M4</x:v>
      </x:c>
      <x:c r="N95" s="230" t="str">
        <x:v>Gaussian data — Signed logML error — Assumed M4</x:v>
      </x:c>
      <x:c r="O95" s="230" t="str">
        <x:v>Gaussian data — Signed logML error — Assumed M4</x:v>
      </x:c>
    </x:row>
    <x:row r="96" ht="19" customHeight="1">
      <x:c r="A96" s="236" t="str">
        <x:v>Summary</x:v>
      </x:c>
      <x:c r="B96" s="237" t="str">
        <x:v>L2 — FNR</x:v>
      </x:c>
      <x:c r="C96" s="237" t="str">
        <x:v>L2 — FPR</x:v>
      </x:c>
      <x:c r="D96" s="237" t="str">
        <x:v>L∞ — FNR</x:v>
      </x:c>
      <x:c r="E96" s="237" t="str">
        <x:v>L∞ — FPR</x:v>
      </x:c>
      <x:c r="F96" s="237" t="str">
        <x:v>Density — FNR</x:v>
      </x:c>
      <x:c r="G96" s="237" t="str">
        <x:v>Density — FPR</x:v>
      </x:c>
      <x:c r="H96" s="237" t="str">
        <x:v>MMD — FNR</x:v>
      </x:c>
      <x:c r="I96" s="237" t="str">
        <x:v>MMD — FPR</x:v>
      </x:c>
      <x:c r="J96" s="237"/>
      <x:c r="K96" s="237" t="str">
        <x:v>Summary</x:v>
      </x:c>
      <x:c r="L96" s="237" t="str">
        <x:v>L2</x:v>
      </x:c>
      <x:c r="M96" s="237" t="str">
        <x:v>L∞</x:v>
      </x:c>
      <x:c r="N96" s="237" t="str">
        <x:v>Density</x:v>
      </x:c>
      <x:c r="O96" s="238" t="str">
        <x:v>MMD</x:v>
      </x:c>
    </x:row>
    <x:row r="97" ht="19" customHeight="1">
      <x:c r="A97" s="240" t="str">
        <x:v>S=D</x:v>
      </x:c>
      <x:c r="B97" s="241" t="n">
        <x:f>IFERROR('Gaussian data'!C56*100,NA())</x:f>
        <x:v>45.97014925373134</x:v>
      </x:c>
      <x:c r="C97" s="241" t="n">
        <x:f>IFERROR('Gaussian data'!C57*100,NA())</x:f>
        <x:v>10.18867924528302</x:v>
      </x:c>
      <x:c r="D97" s="241" t="n">
        <x:f>IFERROR('Gaussian data'!D56*100,NA())</x:f>
        <x:v>45.21739130434783</x:v>
      </x:c>
      <x:c r="E97" s="241" t="n">
        <x:f>IFERROR('Gaussian data'!D57*100,NA())</x:f>
        <x:v>7.0588235294117645</x:v>
      </x:c>
      <x:c r="F97" s="241" t="n">
        <x:f>IFERROR('Gaussian data'!E56*100,NA())</x:f>
        <x:v>47.16417910447761</x:v>
      </x:c>
      <x:c r="G97" s="241" t="n">
        <x:f>IFERROR('Gaussian data'!E57*100,NA())</x:f>
        <x:v>10.18867924528302</x:v>
      </x:c>
      <x:c r="H97" s="241" t="n">
        <x:f>IFERROR('Gaussian data'!F56*100,NA())</x:f>
        <x:v>45.67164179104478</x:v>
      </x:c>
      <x:c r="I97" s="242" t="n">
        <x:f>IFERROR('Gaussian data'!F57*100,NA())</x:f>
        <x:v>10.943396226415095</x:v>
      </x:c>
      <x:c r="K97" s="240" t="str">
        <x:v>S=D</x:v>
      </x:c>
      <x:c r="L97" s="241" t="n">
        <x:f>IFERROR('Gaussian data'!C59*100,NA())</x:f>
        <x:v>83.2069839481836</x:v>
      </x:c>
      <x:c r="M97" s="241" t="n">
        <x:f>IFERROR('Gaussian data'!D59*100,NA())</x:f>
        <x:v>83.21682296106849</x:v>
      </x:c>
      <x:c r="N97" s="241" t="n">
        <x:f>IFERROR('Gaussian data'!E59*100,NA())</x:f>
        <x:v>83.02900591382709</x:v>
      </x:c>
      <x:c r="O97" s="242" t="n">
        <x:f>IFERROR('Gaussian data'!F59*100,NA())</x:f>
        <x:v>83.13038580681497</x:v>
      </x:c>
    </x:row>
    <x:row r="98" ht="19" customHeight="1">
      <x:c r="A98" s="243" t="str">
        <x:v>S=2D</x:v>
      </x:c>
      <x:c r="B98" s="244" t="n">
        <x:f>IFERROR('Gaussian data'!C60*100,NA())</x:f>
        <x:v>3.322259136212625</x:v>
      </x:c>
      <x:c r="C98" s="244" t="n">
        <x:f>IFERROR('Gaussian data'!C61*100,NA())</x:f>
        <x:v>29.09698996655518</x:v>
      </x:c>
      <x:c r="D98" s="244" t="n">
        <x:f>IFERROR('Gaussian data'!D60*100,NA())</x:f>
        <x:v>18.354430379746837</x:v>
      </x:c>
      <x:c r="E98" s="244" t="n">
        <x:f>IFERROR('Gaussian data'!D61*100,NA())</x:f>
        <x:v>7.042253521126761</x:v>
      </x:c>
      <x:c r="F98" s="244" t="n">
        <x:f>IFERROR('Gaussian data'!E60*100,NA())</x:f>
        <x:v>1.6611295681063125</x:v>
      </x:c>
      <x:c r="G98" s="244" t="n">
        <x:f>IFERROR('Gaussian data'!E61*100,NA())</x:f>
        <x:v>36.45484949832776</x:v>
      </x:c>
      <x:c r="H98" s="244" t="n">
        <x:f>IFERROR('Gaussian data'!F60*100,NA())</x:f>
        <x:v>36.21262458471761</x:v>
      </x:c>
      <x:c r="I98" s="245" t="n">
        <x:f>IFERROR('Gaussian data'!F61*100,NA())</x:f>
        <x:v>21.40468227424749</x:v>
      </x:c>
      <x:c r="K98" s="243" t="str">
        <x:v>S=2D</x:v>
      </x:c>
      <x:c r="L98" s="244" t="n">
        <x:f>IFERROR('Gaussian data'!C63*100,NA())</x:f>
        <x:v>96.93663262925143</x:v>
      </x:c>
      <x:c r="M98" s="244" t="n">
        <x:f>IFERROR('Gaussian data'!D63*100,NA())</x:f>
        <x:v>94.50436798003209</x:v>
      </x:c>
      <x:c r="N98" s="244" t="n">
        <x:f>IFERROR('Gaussian data'!E63*100,NA())</x:f>
        <x:v>91.27656973966377</x:v>
      </x:c>
      <x:c r="O98" s="245" t="n">
        <x:f>IFERROR('Gaussian data'!F63*100,NA())</x:f>
        <x:v>76.94974388604318</x:v>
      </x:c>
    </x:row>
    <x:row r="99" ht="19" customHeight="1">
      <x:c r="A99" s="246" t="str">
        <x:v>S=4D</x:v>
      </x:c>
      <x:c r="B99" s="247" t="n">
        <x:f>IFERROR('Gaussian data'!C64*100,NA())</x:f>
        <x:v>8.123249299719888</x:v>
      </x:c>
      <x:c r="C99" s="247" t="n">
        <x:f>IFERROR('Gaussian data'!C65*100,NA())</x:f>
        <x:v>27.983539094650205</x:v>
      </x:c>
      <x:c r="D99" s="247" t="n">
        <x:f>IFERROR('Gaussian data'!D64*100,NA())</x:f>
        <x:v>22.911051212938006</x:v>
      </x:c>
      <x:c r="E99" s="247" t="n">
        <x:f>IFERROR('Gaussian data'!D65*100,NA())</x:f>
        <x:v>7.423580786026202</x:v>
      </x:c>
      <x:c r="F99" s="247" t="n">
        <x:f>IFERROR('Gaussian data'!E64*100,NA())</x:f>
        <x:v>7.563025210084033</x:v>
      </x:c>
      <x:c r="G99" s="247" t="n">
        <x:f>IFERROR('Gaussian data'!E65*100,NA())</x:f>
        <x:v>32.92181069958848</x:v>
      </x:c>
      <x:c r="H99" s="247" t="n">
        <x:f>IFERROR('Gaussian data'!F64*100,NA())</x:f>
        <x:v>38.37535014005603</x:v>
      </x:c>
      <x:c r="I99" s="248" t="n">
        <x:f>IFERROR('Gaussian data'!F65*100,NA())</x:f>
        <x:v>18.106995884773664</x:v>
      </x:c>
      <x:c r="K99" s="246" t="str">
        <x:v>S=4D</x:v>
      </x:c>
      <x:c r="L99" s="247" t="n">
        <x:f>IFERROR('Gaussian data'!C67*100,NA())</x:f>
        <x:v>93.01448974651589</x:v>
      </x:c>
      <x:c r="M99" s="247" t="n">
        <x:f>IFERROR('Gaussian data'!D67*100,NA())</x:f>
        <x:v>92.1314987229134</x:v>
      </x:c>
      <x:c r="N99" s="247" t="n">
        <x:f>IFERROR('Gaussian data'!E67*100,NA())</x:f>
        <x:v>90.07388963815978</x:v>
      </x:c>
      <x:c r="O99" s="248" t="n">
        <x:f>IFERROR('Gaussian data'!F67*100,NA())</x:f>
        <x:v>77.668268953672</x:v>
      </x:c>
    </x:row>
    <x:row r="100" ht="19" customHeight="1"/>
    <x:row r="101" ht="19" customHeight="1">
      <x:c r="A101" s="230" t="str">
        <x:v>Gaussian data — Signed PMP error — Assumed M1</x:v>
      </x:c>
      <x:c r="B101" s="230" t="str">
        <x:v>Gaussian data — Signed PMP error — Assumed M1</x:v>
      </x:c>
      <x:c r="C101" s="230" t="str">
        <x:v>Gaussian data — Signed PMP error — Assumed M1</x:v>
      </x:c>
      <x:c r="D101" s="230" t="str">
        <x:v>Gaussian data — Signed PMP error — Assumed M1</x:v>
      </x:c>
      <x:c r="E101" s="230" t="str">
        <x:v>Gaussian data — Signed PMP error — Assumed M1</x:v>
      </x:c>
      <x:c r="F101" s="230" t="str">
        <x:v>Gaussian data — Signed PMP error — Assumed M1</x:v>
      </x:c>
      <x:c r="G101" s="230" t="str">
        <x:v>Gaussian data — Signed PMP error — Assumed M1</x:v>
      </x:c>
      <x:c r="H101" s="230" t="str">
        <x:v>Gaussian data — Signed PMP error — Assumed M1</x:v>
      </x:c>
      <x:c r="I101" s="230" t="str">
        <x:v>Gaussian data — Signed PMP error — Assumed M1</x:v>
      </x:c>
      <x:c r="J101" s="230" t="str">
        <x:v>Gaussian data — Signed PMP error — Assumed M1</x:v>
      </x:c>
      <x:c r="K101" s="230" t="str">
        <x:v>Gaussian data — Signed PMP error — Assumed M1</x:v>
      </x:c>
      <x:c r="L101" s="230" t="str">
        <x:v>Gaussian data — Signed PMP error — Assumed M1</x:v>
      </x:c>
      <x:c r="M101" s="230" t="str">
        <x:v>Gaussian data — Signed PMP error — Assumed M1</x:v>
      </x:c>
      <x:c r="N101" s="230" t="str">
        <x:v>Gaussian data — Signed PMP error — Assumed M1</x:v>
      </x:c>
      <x:c r="O101" s="230" t="str">
        <x:v>Gaussian data — Signed PMP error — Assumed M1</x:v>
      </x:c>
    </x:row>
    <x:row r="102" ht="19" customHeight="1">
      <x:c r="A102" s="236" t="str">
        <x:v>Summary</x:v>
      </x:c>
      <x:c r="B102" s="237" t="str">
        <x:v>L2 — FNR</x:v>
      </x:c>
      <x:c r="C102" s="237" t="str">
        <x:v>L2 — FPR</x:v>
      </x:c>
      <x:c r="D102" s="237" t="str">
        <x:v>L∞ — FNR</x:v>
      </x:c>
      <x:c r="E102" s="237" t="str">
        <x:v>L∞ — FPR</x:v>
      </x:c>
      <x:c r="F102" s="237" t="str">
        <x:v>Density — FNR</x:v>
      </x:c>
      <x:c r="G102" s="237" t="str">
        <x:v>Density — FPR</x:v>
      </x:c>
      <x:c r="H102" s="237" t="str">
        <x:v>MMD — FNR</x:v>
      </x:c>
      <x:c r="I102" s="237" t="str">
        <x:v>MMD — FPR</x:v>
      </x:c>
      <x:c r="J102" s="237"/>
      <x:c r="K102" s="237" t="str">
        <x:v>Summary</x:v>
      </x:c>
      <x:c r="L102" s="237" t="str">
        <x:v>L2</x:v>
      </x:c>
      <x:c r="M102" s="237" t="str">
        <x:v>L∞</x:v>
      </x:c>
      <x:c r="N102" s="237" t="str">
        <x:v>Density</x:v>
      </x:c>
      <x:c r="O102" s="238" t="str">
        <x:v>MMD</x:v>
      </x:c>
    </x:row>
    <x:row r="103" ht="19" customHeight="1">
      <x:c r="A103" s="240" t="str">
        <x:v>S=D</x:v>
      </x:c>
      <x:c r="B103" s="241" t="n">
        <x:f>IFERROR('Gaussian data'!C72*100,NA())</x:f>
        <x:v>58.333333333333336</x:v>
      </x:c>
      <x:c r="C103" s="241" t="n">
        <x:f>IFERROR('Gaussian data'!C73*100,NA())</x:f>
        <x:v>32.38095238095238</x:v>
      </x:c>
      <x:c r="D103" s="241" t="n">
        <x:f>IFERROR('Gaussian data'!D72*100,NA())</x:f>
        <x:v>62.121212121212125</x:v>
      </x:c>
      <x:c r="E103" s="241" t="n">
        <x:f>IFERROR('Gaussian data'!D73*100,NA())</x:f>
        <x:v>32.83582089552239</x:v>
      </x:c>
      <x:c r="F103" s="241" t="n">
        <x:f>IFERROR('Gaussian data'!E72*100,NA())</x:f>
        <x:v>68.88888888888889</x:v>
      </x:c>
      <x:c r="G103" s="241" t="n">
        <x:f>IFERROR('Gaussian data'!E73*100,NA())</x:f>
        <x:v>29.761904761904763</x:v>
      </x:c>
      <x:c r="H103" s="241" t="n">
        <x:f>IFERROR('Gaussian data'!F72*100,NA())</x:f>
        <x:v>58.333333333333336</x:v>
      </x:c>
      <x:c r="I103" s="242" t="n">
        <x:f>IFERROR('Gaussian data'!F73*100,NA())</x:f>
        <x:v>32.857142857142854</x:v>
      </x:c>
      <x:c r="K103" s="240" t="str">
        <x:v>S=D</x:v>
      </x:c>
      <x:c r="L103" s="241" t="n">
        <x:f>IFERROR('Gaussian data'!C75*100,NA())</x:f>
        <x:v>51.00661375661376</x:v>
      </x:c>
      <x:c r="M103" s="241" t="n">
        <x:f>IFERROR('Gaussian data'!D75*100,NA())</x:f>
        <x:v>53.772802653399665</x:v>
      </x:c>
      <x:c r="N103" s="241" t="n">
        <x:f>IFERROR('Gaussian data'!E75*100,NA())</x:f>
        <x:v>53.113756613756614</x:v>
      </x:c>
      <x:c r="O103" s="242" t="n">
        <x:f>IFERROR('Gaussian data'!F75*100,NA())</x:f>
        <x:v>51.49206349206349</x:v>
      </x:c>
    </x:row>
    <x:row r="104" ht="19" customHeight="1">
      <x:c r="A104" s="243" t="str">
        <x:v>S=2D</x:v>
      </x:c>
      <x:c r="B104" s="244" t="n">
        <x:f>IFERROR('Gaussian data'!C76*100,NA())</x:f>
        <x:v>34.883720930232556</x:v>
      </x:c>
      <x:c r="C104" s="244" t="n">
        <x:f>IFERROR('Gaussian data'!C77*100,NA())</x:f>
        <x:v>56.475583864118896</x:v>
      </x:c>
      <x:c r="D104" s="244" t="n">
        <x:f>IFERROR('Gaussian data'!D76*100,NA())</x:f>
        <x:v>57.46268656716418</x:v>
      </x:c>
      <x:c r="E104" s="244" t="n">
        <x:f>IFERROR('Gaussian data'!D77*100,NA())</x:f>
        <x:v>47.42489270386266</x:v>
      </x:c>
      <x:c r="F104" s="244" t="n">
        <x:f>IFERROR('Gaussian data'!E76*100,NA())</x:f>
        <x:v>27.131782945736433</x:v>
      </x:c>
      <x:c r="G104" s="244" t="n">
        <x:f>IFERROR('Gaussian data'!E77*100,NA())</x:f>
        <x:v>65.60509554140127</x:v>
      </x:c>
      <x:c r="H104" s="244" t="n">
        <x:f>IFERROR('Gaussian data'!F76*100,NA())</x:f>
        <x:v>37.98449612403101</x:v>
      </x:c>
      <x:c r="I104" s="245" t="n">
        <x:f>IFERROR('Gaussian data'!F77*100,NA())</x:f>
        <x:v>33.54564755838641</x:v>
      </x:c>
      <x:c r="K104" s="243" t="str">
        <x:v>S=2D</x:v>
      </x:c>
      <x:c r="L104" s="244" t="n">
        <x:f>IFERROR('Gaussian data'!C79*100,NA())</x:f>
        <x:v>49.883967807238434</x:v>
      </x:c>
      <x:c r="M104" s="244" t="n">
        <x:f>IFERROR('Gaussian data'!D79*100,NA())</x:f>
        <x:v>47.74517968099417</x:v>
      </x:c>
      <x:c r="N104" s="244" t="n">
        <x:f>IFERROR('Gaussian data'!E79*100,NA())</x:f>
        <x:v>43.7852828387564</x:v>
      </x:c>
      <x:c r="O104" s="245" t="n">
        <x:f>IFERROR('Gaussian data'!F79*100,NA())</x:f>
        <x:v>65.445448410935</x:v>
      </x:c>
    </x:row>
    <x:row r="105" ht="19" customHeight="1">
      <x:c r="A105" s="246" t="str">
        <x:v>S=4D</x:v>
      </x:c>
      <x:c r="B105" s="247" t="n">
        <x:f>IFERROR('Gaussian data'!C80*100,NA())</x:f>
        <x:v>21.052631578947366</x:v>
      </x:c>
      <x:c r="C105" s="247" t="n">
        <x:f>IFERROR('Gaussian data'!C81*100,NA())</x:f>
        <x:v>62.74089935760171</x:v>
      </x:c>
      <x:c r="D105" s="247" t="n">
        <x:f>IFERROR('Gaussian data'!D80*100,NA())</x:f>
        <x:v>38.68613138686132</x:v>
      </x:c>
      <x:c r="E105" s="247" t="n">
        <x:f>IFERROR('Gaussian data'!D81*100,NA())</x:f>
        <x:v>53.99568034557235</x:v>
      </x:c>
      <x:c r="F105" s="247" t="n">
        <x:f>IFERROR('Gaussian data'!E80*100,NA())</x:f>
        <x:v>15.789473684210526</x:v>
      </x:c>
      <x:c r="G105" s="247" t="n">
        <x:f>IFERROR('Gaussian data'!E81*100,NA())</x:f>
        <x:v>68.73661670235546</x:v>
      </x:c>
      <x:c r="H105" s="247" t="n">
        <x:f>IFERROR('Gaussian data'!F80*100,NA())</x:f>
        <x:v>30.82706766917293</x:v>
      </x:c>
      <x:c r="I105" s="248" t="n">
        <x:f>IFERROR('Gaussian data'!F81*100,NA())</x:f>
        <x:v>43.46895074946467</x:v>
      </x:c>
      <x:c r="K105" s="246" t="str">
        <x:v>S=4D</x:v>
      </x:c>
      <x:c r="L105" s="247" t="n">
        <x:f>IFERROR('Gaussian data'!C83*100,NA())</x:f>
        <x:v>48.6773679380464</x:v>
      </x:c>
      <x:c r="M105" s="247" t="n">
        <x:f>IFERROR('Gaussian data'!D83*100,NA())</x:f>
        <x:v>49.21095363465813</x:v>
      </x:c>
      <x:c r="N105" s="247" t="n">
        <x:f>IFERROR('Gaussian data'!E83*100,NA())</x:f>
        <x:v>46.22691632722062</x:v>
      </x:c>
      <x:c r="O105" s="248" t="n">
        <x:f>IFERROR('Gaussian data'!F83*100,NA())</x:f>
        <x:v>60.02962438215454</x:v>
      </x:c>
    </x:row>
    <x:row r="106" ht="19" customHeight="1"/>
    <x:row r="107" ht="19" customHeight="1">
      <x:c r="A107" s="230" t="str">
        <x:v>Gaussian data — Signed PMP error — Assumed M2</x:v>
      </x:c>
      <x:c r="B107" s="230" t="str">
        <x:v>Gaussian data — Signed PMP error — Assumed M2</x:v>
      </x:c>
      <x:c r="C107" s="230" t="str">
        <x:v>Gaussian data — Signed PMP error — Assumed M2</x:v>
      </x:c>
      <x:c r="D107" s="230" t="str">
        <x:v>Gaussian data — Signed PMP error — Assumed M2</x:v>
      </x:c>
      <x:c r="E107" s="230" t="str">
        <x:v>Gaussian data — Signed PMP error — Assumed M2</x:v>
      </x:c>
      <x:c r="F107" s="230" t="str">
        <x:v>Gaussian data — Signed PMP error — Assumed M2</x:v>
      </x:c>
      <x:c r="G107" s="230" t="str">
        <x:v>Gaussian data — Signed PMP error — Assumed M2</x:v>
      </x:c>
      <x:c r="H107" s="230" t="str">
        <x:v>Gaussian data — Signed PMP error — Assumed M2</x:v>
      </x:c>
      <x:c r="I107" s="230" t="str">
        <x:v>Gaussian data — Signed PMP error — Assumed M2</x:v>
      </x:c>
      <x:c r="J107" s="230" t="str">
        <x:v>Gaussian data — Signed PMP error — Assumed M2</x:v>
      </x:c>
      <x:c r="K107" s="230" t="str">
        <x:v>Gaussian data — Signed PMP error — Assumed M2</x:v>
      </x:c>
      <x:c r="L107" s="230" t="str">
        <x:v>Gaussian data — Signed PMP error — Assumed M2</x:v>
      </x:c>
      <x:c r="M107" s="230" t="str">
        <x:v>Gaussian data — Signed PMP error — Assumed M2</x:v>
      </x:c>
      <x:c r="N107" s="230" t="str">
        <x:v>Gaussian data — Signed PMP error — Assumed M2</x:v>
      </x:c>
      <x:c r="O107" s="230" t="str">
        <x:v>Gaussian data — Signed PMP error — Assumed M2</x:v>
      </x:c>
    </x:row>
    <x:row r="108" ht="19" customHeight="1">
      <x:c r="A108" s="236" t="str">
        <x:v>Summary</x:v>
      </x:c>
      <x:c r="B108" s="237" t="str">
        <x:v>L2 — FNR</x:v>
      </x:c>
      <x:c r="C108" s="237" t="str">
        <x:v>L2 — FPR</x:v>
      </x:c>
      <x:c r="D108" s="237" t="str">
        <x:v>L∞ — FNR</x:v>
      </x:c>
      <x:c r="E108" s="237" t="str">
        <x:v>L∞ — FPR</x:v>
      </x:c>
      <x:c r="F108" s="237" t="str">
        <x:v>Density — FNR</x:v>
      </x:c>
      <x:c r="G108" s="237" t="str">
        <x:v>Density — FPR</x:v>
      </x:c>
      <x:c r="H108" s="237" t="str">
        <x:v>MMD — FNR</x:v>
      </x:c>
      <x:c r="I108" s="237" t="str">
        <x:v>MMD — FPR</x:v>
      </x:c>
      <x:c r="J108" s="237"/>
      <x:c r="K108" s="237" t="str">
        <x:v>Summary</x:v>
      </x:c>
      <x:c r="L108" s="237" t="str">
        <x:v>L2</x:v>
      </x:c>
      <x:c r="M108" s="237" t="str">
        <x:v>L∞</x:v>
      </x:c>
      <x:c r="N108" s="237" t="str">
        <x:v>Density</x:v>
      </x:c>
      <x:c r="O108" s="238" t="str">
        <x:v>MMD</x:v>
      </x:c>
    </x:row>
    <x:row r="109" ht="19" customHeight="1">
      <x:c r="A109" s="240" t="str">
        <x:v>S=D</x:v>
      </x:c>
      <x:c r="B109" s="241" t="n">
        <x:f>IFERROR('Gaussian data'!C88*100,NA())</x:f>
        <x:v>1.282051282051282</x:v>
      </x:c>
      <x:c r="C109" s="241" t="n">
        <x:f>IFERROR('Gaussian data'!C89*100,NA())</x:f>
        <x:v>81.03448275862068</x:v>
      </x:c>
      <x:c r="D109" s="241" t="n">
        <x:f>IFERROR('Gaussian data'!D88*100,NA())</x:f>
        <x:v>5.128205128205128</x:v>
      </x:c>
      <x:c r="E109" s="241" t="n">
        <x:f>IFERROR('Gaussian data'!D89*100,NA())</x:f>
        <x:v>75.09578544061303</x:v>
      </x:c>
      <x:c r="F109" s="241" t="n">
        <x:f>IFERROR('Gaussian data'!E88*100,NA())</x:f>
        <x:v>14.102564102564102</x:v>
      </x:c>
      <x:c r="G109" s="241" t="n">
        <x:f>IFERROR('Gaussian data'!E89*100,NA())</x:f>
        <x:v>73.75478927203065</x:v>
      </x:c>
      <x:c r="H109" s="241" t="n">
        <x:f>IFERROR('Gaussian data'!F88*100,NA())</x:f>
        <x:v>1.282051282051282</x:v>
      </x:c>
      <x:c r="I109" s="242" t="n">
        <x:f>IFERROR('Gaussian data'!F89*100,NA())</x:f>
        <x:v>81.4176245210728</x:v>
      </x:c>
      <x:c r="K109" s="240" t="str">
        <x:v>S=D</x:v>
      </x:c>
      <x:c r="L109" s="241" t="n">
        <x:f>IFERROR('Gaussian data'!C91*100,NA())</x:f>
        <x:v>41.06739365360055</x:v>
      </x:c>
      <x:c r="M109" s="241" t="n">
        <x:f>IFERROR('Gaussian data'!D91*100,NA())</x:f>
        <x:v>54.94400235779546</x:v>
      </x:c>
      <x:c r="N109" s="241" t="n">
        <x:f>IFERROR('Gaussian data'!E91*100,NA())</x:f>
        <x:v>58.36526181353767</x:v>
      </x:c>
      <x:c r="O109" s="242" t="n">
        <x:f>IFERROR('Gaussian data'!F91*100,NA())</x:f>
        <x:v>40.82424599665979</x:v>
      </x:c>
    </x:row>
    <x:row r="110" ht="19" customHeight="1">
      <x:c r="A110" s="243" t="str">
        <x:v>S=2D</x:v>
      </x:c>
      <x:c r="B110" s="244" t="n">
        <x:f>IFERROR('Gaussian data'!C92*100,NA())</x:f>
        <x:v>0</x:v>
      </x:c>
      <x:c r="C110" s="244" t="n">
        <x:f>IFERROR('Gaussian data'!C93*100,NA())</x:f>
        <x:v>90.8203125</x:v>
      </x:c>
      <x:c r="D110" s="244" t="n">
        <x:f>IFERROR('Gaussian data'!D92*100,NA())</x:f>
        <x:v>10.112359550561797</x:v>
      </x:c>
      <x:c r="E110" s="244" t="n">
        <x:f>IFERROR('Gaussian data'!D93*100,NA())</x:f>
        <x:v>88.84540117416829</x:v>
      </x:c>
      <x:c r="F110" s="244" t="n">
        <x:f>IFERROR('Gaussian data'!E92*100,NA())</x:f>
        <x:v>2.272727272727273</x:v>
      </x:c>
      <x:c r="G110" s="244" t="n">
        <x:f>IFERROR('Gaussian data'!E93*100,NA())</x:f>
        <x:v>90.8203125</x:v>
      </x:c>
      <x:c r="H110" s="244" t="n">
        <x:f>IFERROR('Gaussian data'!F92*100,NA())</x:f>
        <x:v>0</x:v>
      </x:c>
      <x:c r="I110" s="245" t="n">
        <x:f>IFERROR('Gaussian data'!F93*100,NA())</x:f>
        <x:v>86.9140625</x:v>
      </x:c>
      <x:c r="K110" s="243" t="str">
        <x:v>S=2D</x:v>
      </x:c>
      <x:c r="L110" s="244" t="n">
        <x:f>IFERROR('Gaussian data'!C95*100,NA())</x:f>
        <x:v>27.940784801136363</x:v>
      </x:c>
      <x:c r="M110" s="244" t="n">
        <x:f>IFERROR('Gaussian data'!D95*100,NA())</x:f>
        <x:v>28.77811737285341</x:v>
      </x:c>
      <x:c r="N110" s="244" t="n">
        <x:f>IFERROR('Gaussian data'!E95*100,NA())</x:f>
        <x:v>29.22141335227273</x:v>
      </x:c>
      <x:c r="O110" s="245" t="n">
        <x:f>IFERROR('Gaussian data'!F95*100,NA())</x:f>
        <x:v>46.25355113636363</x:v>
      </x:c>
    </x:row>
    <x:row r="111" ht="19" customHeight="1">
      <x:c r="A111" s="246" t="str">
        <x:v>S=4D</x:v>
      </x:c>
      <x:c r="B111" s="247" t="n">
        <x:f>IFERROR('Gaussian data'!C96*100,NA())</x:f>
        <x:v>1.282051282051282</x:v>
      </x:c>
      <x:c r="C111" s="247" t="n">
        <x:f>IFERROR('Gaussian data'!C97*100,NA())</x:f>
        <x:v>90.80459770114942</x:v>
      </x:c>
      <x:c r="D111" s="247" t="n">
        <x:f>IFERROR('Gaussian data'!D96*100,NA())</x:f>
        <x:v>33.33333333333333</x:v>
      </x:c>
      <x:c r="E111" s="247" t="n">
        <x:f>IFERROR('Gaussian data'!D97*100,NA())</x:f>
        <x:v>90.61302681992338</x:v>
      </x:c>
      <x:c r="F111" s="247" t="n">
        <x:f>IFERROR('Gaussian data'!E96*100,NA())</x:f>
        <x:v>1.282051282051282</x:v>
      </x:c>
      <x:c r="G111" s="247" t="n">
        <x:f>IFERROR('Gaussian data'!E97*100,NA())</x:f>
        <x:v>91.18773946360153</x:v>
      </x:c>
      <x:c r="H111" s="247" t="n">
        <x:f>IFERROR('Gaussian data'!F96*100,NA())</x:f>
        <x:v>0</x:v>
      </x:c>
      <x:c r="I111" s="248" t="n">
        <x:f>IFERROR('Gaussian data'!F97*100,NA())</x:f>
        <x:v>89.08045977011494</x:v>
      </x:c>
      <x:c r="K111" s="246" t="str">
        <x:v>S=4D</x:v>
      </x:c>
      <x:c r="L111" s="247" t="n">
        <x:f>IFERROR('Gaussian data'!C99*100,NA())</x:f>
        <x:v>29.28332842125946</x:v>
      </x:c>
      <x:c r="M111" s="247" t="n">
        <x:f>IFERROR('Gaussian data'!D99*100,NA())</x:f>
        <x:v>30.936241281068867</x:v>
      </x:c>
      <x:c r="N111" s="247" t="n">
        <x:f>IFERROR('Gaussian data'!E99*100,NA())</x:f>
        <x:v>27.107279693486593</x:v>
      </x:c>
      <x:c r="O111" s="248" t="n">
        <x:f>IFERROR('Gaussian data'!F99*100,NA())</x:f>
        <x:v>35.111504077021316</x:v>
      </x:c>
    </x:row>
    <x:row r="112" ht="19" customHeight="1"/>
    <x:row r="113" ht="19" customHeight="1">
      <x:c r="A113" s="230" t="str">
        <x:v>Gaussian data — Signed PMP error — Assumed M3</x:v>
      </x:c>
      <x:c r="B113" s="230" t="str">
        <x:v>Gaussian data — Signed PMP error — Assumed M3</x:v>
      </x:c>
      <x:c r="C113" s="230" t="str">
        <x:v>Gaussian data — Signed PMP error — Assumed M3</x:v>
      </x:c>
      <x:c r="D113" s="230" t="str">
        <x:v>Gaussian data — Signed PMP error — Assumed M3</x:v>
      </x:c>
      <x:c r="E113" s="230" t="str">
        <x:v>Gaussian data — Signed PMP error — Assumed M3</x:v>
      </x:c>
      <x:c r="F113" s="230" t="str">
        <x:v>Gaussian data — Signed PMP error — Assumed M3</x:v>
      </x:c>
      <x:c r="G113" s="230" t="str">
        <x:v>Gaussian data — Signed PMP error — Assumed M3</x:v>
      </x:c>
      <x:c r="H113" s="230" t="str">
        <x:v>Gaussian data — Signed PMP error — Assumed M3</x:v>
      </x:c>
      <x:c r="I113" s="230" t="str">
        <x:v>Gaussian data — Signed PMP error — Assumed M3</x:v>
      </x:c>
      <x:c r="J113" s="230" t="str">
        <x:v>Gaussian data — Signed PMP error — Assumed M3</x:v>
      </x:c>
      <x:c r="K113" s="230" t="str">
        <x:v>Gaussian data — Signed PMP error — Assumed M3</x:v>
      </x:c>
      <x:c r="L113" s="230" t="str">
        <x:v>Gaussian data — Signed PMP error — Assumed M3</x:v>
      </x:c>
      <x:c r="M113" s="230" t="str">
        <x:v>Gaussian data — Signed PMP error — Assumed M3</x:v>
      </x:c>
      <x:c r="N113" s="230" t="str">
        <x:v>Gaussian data — Signed PMP error — Assumed M3</x:v>
      </x:c>
      <x:c r="O113" s="230" t="str">
        <x:v>Gaussian data — Signed PMP error — Assumed M3</x:v>
      </x:c>
    </x:row>
    <x:row r="114" ht="19" customHeight="1">
      <x:c r="A114" s="236" t="str">
        <x:v>Summary</x:v>
      </x:c>
      <x:c r="B114" s="237" t="str">
        <x:v>L2 — FNR</x:v>
      </x:c>
      <x:c r="C114" s="237" t="str">
        <x:v>L2 — FPR</x:v>
      </x:c>
      <x:c r="D114" s="237" t="str">
        <x:v>L∞ — FNR</x:v>
      </x:c>
      <x:c r="E114" s="237" t="str">
        <x:v>L∞ — FPR</x:v>
      </x:c>
      <x:c r="F114" s="237" t="str">
        <x:v>Density — FNR</x:v>
      </x:c>
      <x:c r="G114" s="237" t="str">
        <x:v>Density — FPR</x:v>
      </x:c>
      <x:c r="H114" s="237" t="str">
        <x:v>MMD — FNR</x:v>
      </x:c>
      <x:c r="I114" s="237" t="str">
        <x:v>MMD — FPR</x:v>
      </x:c>
      <x:c r="J114" s="237"/>
      <x:c r="K114" s="237" t="str">
        <x:v>Summary</x:v>
      </x:c>
      <x:c r="L114" s="237" t="str">
        <x:v>L2</x:v>
      </x:c>
      <x:c r="M114" s="237" t="str">
        <x:v>L∞</x:v>
      </x:c>
      <x:c r="N114" s="237" t="str">
        <x:v>Density</x:v>
      </x:c>
      <x:c r="O114" s="238" t="str">
        <x:v>MMD</x:v>
      </x:c>
    </x:row>
    <x:row r="115" ht="19" customHeight="1">
      <x:c r="A115" s="240" t="str">
        <x:v>S=D</x:v>
      </x:c>
      <x:c r="B115" s="241" t="n">
        <x:f>IFERROR('Gaussian data'!C104*100,NA())</x:f>
        <x:v>23</x:v>
      </x:c>
      <x:c r="C115" s="241" t="n">
        <x:f>IFERROR('Gaussian data'!C105*100,NA())</x:f>
        <x:v>6</x:v>
      </x:c>
      <x:c r="D115" s="241" t="n">
        <x:f>IFERROR('Gaussian data'!D104*100,NA())</x:f>
        <x:v>31.6</x:v>
      </x:c>
      <x:c r="E115" s="241" t="n">
        <x:f>IFERROR('Gaussian data'!D105*100,NA())</x:f>
        <x:v>6</x:v>
      </x:c>
      <x:c r="F115" s="241" t="n">
        <x:f>IFERROR('Gaussian data'!E104*100,NA())</x:f>
        <x:v>43.4</x:v>
      </x:c>
      <x:c r="G115" s="241" t="n">
        <x:f>IFERROR('Gaussian data'!E105*100,NA())</x:f>
        <x:v>2</x:v>
      </x:c>
      <x:c r="H115" s="241" t="n">
        <x:f>IFERROR('Gaussian data'!F104*100,NA())</x:f>
        <x:v>23.200000000000003</x:v>
      </x:c>
      <x:c r="I115" s="242" t="n">
        <x:f>IFERROR('Gaussian data'!F105*100,NA())</x:f>
        <x:v>6</x:v>
      </x:c>
      <x:c r="K115" s="240" t="str">
        <x:v>S=D</x:v>
      </x:c>
      <x:c r="L115" s="241" t="n">
        <x:f>IFERROR('Gaussian data'!C107*100,NA())</x:f>
        <x:v>79.65</x:v>
      </x:c>
      <x:c r="M115" s="241" t="n">
        <x:f>IFERROR('Gaussian data'!D107*100,NA())</x:f>
        <x:v>77.788</x:v>
      </x:c>
      <x:c r="N115" s="241" t="n">
        <x:f>IFERROR('Gaussian data'!E107*100,NA())</x:f>
        <x:v>83.326</x:v>
      </x:c>
      <x:c r="O115" s="242" t="n">
        <x:f>IFERROR('Gaussian data'!F107*100,NA())</x:f>
        <x:v>79.63</x:v>
      </x:c>
    </x:row>
    <x:row r="116" ht="19" customHeight="1">
      <x:c r="A116" s="243" t="str">
        <x:v>S=2D</x:v>
      </x:c>
      <x:c r="B116" s="244" t="n">
        <x:f>IFERROR('Gaussian data'!C108*100,NA())</x:f>
        <x:v>20.8</x:v>
      </x:c>
      <x:c r="C116" s="244" t="n">
        <x:f>IFERROR('Gaussian data'!C109*100,NA())</x:f>
        <x:v>12</x:v>
      </x:c>
      <x:c r="D116" s="244" t="n">
        <x:f>IFERROR('Gaussian data'!D108*100,NA())</x:f>
        <x:v>27.800000000000004</x:v>
      </x:c>
      <x:c r="E116" s="244" t="n">
        <x:f>IFERROR('Gaussian data'!D109*100,NA())</x:f>
        <x:v>6</x:v>
      </x:c>
      <x:c r="F116" s="244" t="n">
        <x:f>IFERROR('Gaussian data'!E108*100,NA())</x:f>
        <x:v>6.4</x:v>
      </x:c>
      <x:c r="G116" s="244" t="n">
        <x:f>IFERROR('Gaussian data'!E109*100,NA())</x:f>
        <x:v>48</x:v>
      </x:c>
      <x:c r="H116" s="244" t="n">
        <x:f>IFERROR('Gaussian data'!F108*100,NA())</x:f>
        <x:v>20.8</x:v>
      </x:c>
      <x:c r="I116" s="245" t="n">
        <x:f>IFERROR('Gaussian data'!F109*100,NA())</x:f>
        <x:v>3</x:v>
      </x:c>
      <x:c r="K116" s="243" t="str">
        <x:v>S=2D</x:v>
      </x:c>
      <x:c r="L116" s="244" t="n">
        <x:f>IFERROR('Gaussian data'!C111*100,NA())</x:f>
        <x:v>82.5</x:v>
      </x:c>
      <x:c r="M116" s="244" t="n">
        <x:f>IFERROR('Gaussian data'!D111*100,NA())</x:f>
        <x:v>80.97</x:v>
      </x:c>
      <x:c r="N116" s="244" t="n">
        <x:f>IFERROR('Gaussian data'!E111*100,NA())</x:f>
        <x:v>89.388</x:v>
      </x:c>
      <x:c r="O116" s="245" t="n">
        <x:f>IFERROR('Gaussian data'!F111*100,NA())</x:f>
        <x:v>80.42</x:v>
      </x:c>
    </x:row>
    <x:row r="117" ht="19" customHeight="1">
      <x:c r="A117" s="246" t="str">
        <x:v>S=4D</x:v>
      </x:c>
      <x:c r="B117" s="247" t="n">
        <x:f>IFERROR('Gaussian data'!C112*100,NA())</x:f>
        <x:v>0.4</x:v>
      </x:c>
      <x:c r="C117" s="247" t="n">
        <x:f>IFERROR('Gaussian data'!C113*100,NA())</x:f>
        <x:v>43</x:v>
      </x:c>
      <x:c r="D117" s="247" t="n">
        <x:f>IFERROR('Gaussian data'!D112*100,NA())</x:f>
        <x:v>18.6</x:v>
      </x:c>
      <x:c r="E117" s="247" t="n">
        <x:f>IFERROR('Gaussian data'!D113*100,NA())</x:f>
        <x:v>33</x:v>
      </x:c>
      <x:c r="F117" s="247" t="n">
        <x:f>IFERROR('Gaussian data'!E112*100,NA())</x:f>
        <x:v>0</x:v>
      </x:c>
      <x:c r="G117" s="247" t="n">
        <x:f>IFERROR('Gaussian data'!E113*100,NA())</x:f>
        <x:v>53</x:v>
      </x:c>
      <x:c r="H117" s="247" t="n">
        <x:f>IFERROR('Gaussian data'!F112*100,NA())</x:f>
        <x:v>21.2</x:v>
      </x:c>
      <x:c r="I117" s="248" t="n">
        <x:f>IFERROR('Gaussian data'!F113*100,NA())</x:f>
        <x:v>4</x:v>
      </x:c>
      <x:c r="K117" s="246" t="str">
        <x:v>S=4D</x:v>
      </x:c>
      <x:c r="L117" s="247" t="n">
        <x:f>IFERROR('Gaussian data'!C115*100,NA())</x:f>
        <x:v>86.724</x:v>
      </x:c>
      <x:c r="M117" s="247" t="n">
        <x:f>IFERROR('Gaussian data'!D115*100,NA())</x:f>
        <x:v>83.518</x:v>
      </x:c>
      <x:c r="N117" s="247" t="n">
        <x:f>IFERROR('Gaussian data'!E115*100,NA())</x:f>
        <x:v>96.114</x:v>
      </x:c>
      <x:c r="O117" s="248" t="n">
        <x:f>IFERROR('Gaussian data'!F115*100,NA())</x:f>
        <x:v>80.868</x:v>
      </x:c>
    </x:row>
    <x:row r="118" ht="19" customHeight="1"/>
    <x:row r="119" ht="19" customHeight="1">
      <x:c r="A119" s="230" t="str">
        <x:v>Gaussian data — Signed PMP error — Assumed M4</x:v>
      </x:c>
      <x:c r="B119" s="230" t="str">
        <x:v>Gaussian data — Signed PMP error — Assumed M4</x:v>
      </x:c>
      <x:c r="C119" s="230" t="str">
        <x:v>Gaussian data — Signed PMP error — Assumed M4</x:v>
      </x:c>
      <x:c r="D119" s="230" t="str">
        <x:v>Gaussian data — Signed PMP error — Assumed M4</x:v>
      </x:c>
      <x:c r="E119" s="230" t="str">
        <x:v>Gaussian data — Signed PMP error — Assumed M4</x:v>
      </x:c>
      <x:c r="F119" s="230" t="str">
        <x:v>Gaussian data — Signed PMP error — Assumed M4</x:v>
      </x:c>
      <x:c r="G119" s="230" t="str">
        <x:v>Gaussian data — Signed PMP error — Assumed M4</x:v>
      </x:c>
      <x:c r="H119" s="230" t="str">
        <x:v>Gaussian data — Signed PMP error — Assumed M4</x:v>
      </x:c>
      <x:c r="I119" s="230" t="str">
        <x:v>Gaussian data — Signed PMP error — Assumed M4</x:v>
      </x:c>
      <x:c r="J119" s="230" t="str">
        <x:v>Gaussian data — Signed PMP error — Assumed M4</x:v>
      </x:c>
      <x:c r="K119" s="230" t="str">
        <x:v>Gaussian data — Signed PMP error — Assumed M4</x:v>
      </x:c>
      <x:c r="L119" s="230" t="str">
        <x:v>Gaussian data — Signed PMP error — Assumed M4</x:v>
      </x:c>
      <x:c r="M119" s="230" t="str">
        <x:v>Gaussian data — Signed PMP error — Assumed M4</x:v>
      </x:c>
      <x:c r="N119" s="230" t="str">
        <x:v>Gaussian data — Signed PMP error — Assumed M4</x:v>
      </x:c>
      <x:c r="O119" s="230" t="str">
        <x:v>Gaussian data — Signed PMP error — Assumed M4</x:v>
      </x:c>
    </x:row>
    <x:row r="120" ht="19" customHeight="1">
      <x:c r="A120" s="236" t="str">
        <x:v>Summary</x:v>
      </x:c>
      <x:c r="B120" s="237" t="str">
        <x:v>L2 — FNR</x:v>
      </x:c>
      <x:c r="C120" s="237" t="str">
        <x:v>L2 — FPR</x:v>
      </x:c>
      <x:c r="D120" s="237" t="str">
        <x:v>L∞ — FNR</x:v>
      </x:c>
      <x:c r="E120" s="237" t="str">
        <x:v>L∞ — FPR</x:v>
      </x:c>
      <x:c r="F120" s="237" t="str">
        <x:v>Density — FNR</x:v>
      </x:c>
      <x:c r="G120" s="237" t="str">
        <x:v>Density — FPR</x:v>
      </x:c>
      <x:c r="H120" s="237" t="str">
        <x:v>MMD — FNR</x:v>
      </x:c>
      <x:c r="I120" s="237" t="str">
        <x:v>MMD — FPR</x:v>
      </x:c>
      <x:c r="J120" s="237"/>
      <x:c r="K120" s="237" t="str">
        <x:v>Summary</x:v>
      </x:c>
      <x:c r="L120" s="237" t="str">
        <x:v>L2</x:v>
      </x:c>
      <x:c r="M120" s="237" t="str">
        <x:v>L∞</x:v>
      </x:c>
      <x:c r="N120" s="237" t="str">
        <x:v>Density</x:v>
      </x:c>
      <x:c r="O120" s="238" t="str">
        <x:v>MMD</x:v>
      </x:c>
    </x:row>
    <x:row r="121" ht="19" customHeight="1">
      <x:c r="A121" s="240" t="str">
        <x:v>S=D</x:v>
      </x:c>
      <x:c r="B121" s="241" t="n">
        <x:f>IFERROR('Gaussian data'!C120*100,NA())</x:f>
        <x:v>51.74825174825175</x:v>
      </x:c>
      <x:c r="C121" s="241" t="n">
        <x:f>IFERROR('Gaussian data'!C121*100,NA())</x:f>
        <x:v>30.41575492341357</x:v>
      </x:c>
      <x:c r="D121" s="241" t="n">
        <x:f>IFERROR('Gaussian data'!D120*100,NA())</x:f>
        <x:v>54.088050314465406</x:v>
      </x:c>
      <x:c r="E121" s="241" t="n">
        <x:f>IFERROR('Gaussian data'!D121*100,NA())</x:f>
        <x:v>30.385487528344672</x:v>
      </x:c>
      <x:c r="F121" s="241" t="n">
        <x:f>IFERROR('Gaussian data'!E120*100,NA())</x:f>
        <x:v>58.04195804195804</x:v>
      </x:c>
      <x:c r="G121" s="241" t="n">
        <x:f>IFERROR('Gaussian data'!E121*100,NA())</x:f>
        <x:v>31.50984682713348</x:v>
      </x:c>
      <x:c r="H121" s="241" t="n">
        <x:f>IFERROR('Gaussian data'!F120*100,NA())</x:f>
        <x:v>51.048951048951054</x:v>
      </x:c>
      <x:c r="I121" s="242" t="n">
        <x:f>IFERROR('Gaussian data'!F121*100,NA())</x:f>
        <x:v>30.85339168490153</x:v>
      </x:c>
      <x:c r="K121" s="240" t="str">
        <x:v>S=D</x:v>
      </x:c>
      <x:c r="L121" s="241" t="n">
        <x:f>IFERROR('Gaussian data'!C123*100,NA())</x:f>
        <x:v>57.5905494942694</x:v>
      </x:c>
      <x:c r="M121" s="241" t="n">
        <x:f>IFERROR('Gaussian data'!D123*100,NA())</x:f>
        <x:v>54.90095409232876</x:v>
      </x:c>
      <x:c r="N121" s="241" t="n">
        <x:f>IFERROR('Gaussian data'!E123*100,NA())</x:f>
        <x:v>56.78413490229682</x:v>
      </x:c>
      <x:c r="O121" s="242" t="n">
        <x:f>IFERROR('Gaussian data'!F123*100,NA())</x:f>
        <x:v>57.67318021147343</x:v>
      </x:c>
    </x:row>
    <x:row r="122" ht="19" customHeight="1">
      <x:c r="A122" s="243" t="str">
        <x:v>S=2D</x:v>
      </x:c>
      <x:c r="B122" s="244" t="n">
        <x:f>IFERROR('Gaussian data'!C124*100,NA())</x:f>
        <x:v>32.33082706766917</x:v>
      </x:c>
      <x:c r="C122" s="244" t="n">
        <x:f>IFERROR('Gaussian data'!C125*100,NA())</x:f>
        <x:v>61.67023554603854</x:v>
      </x:c>
      <x:c r="D122" s="244" t="n">
        <x:f>IFERROR('Gaussian data'!D124*100,NA())</x:f>
        <x:v>51.85185185185185</x:v>
      </x:c>
      <x:c r="E122" s="244" t="n">
        <x:f>IFERROR('Gaussian data'!D125*100,NA())</x:f>
        <x:v>45.806451612903224</x:v>
      </x:c>
      <x:c r="F122" s="244" t="n">
        <x:f>IFERROR('Gaussian data'!E124*100,NA())</x:f>
        <x:v>24.06015037593985</x:v>
      </x:c>
      <x:c r="G122" s="244" t="n">
        <x:f>IFERROR('Gaussian data'!E125*100,NA())</x:f>
        <x:v>65.0963597430407</x:v>
      </x:c>
      <x:c r="H122" s="244" t="n">
        <x:f>IFERROR('Gaussian data'!F124*100,NA())</x:f>
        <x:v>36.09022556390977</x:v>
      </x:c>
      <x:c r="I122" s="245" t="n">
        <x:f>IFERROR('Gaussian data'!F125*100,NA())</x:f>
        <x:v>36.61670235546038</x:v>
      </x:c>
      <x:c r="K122" s="243" t="str">
        <x:v>S=2D</x:v>
      </x:c>
      <x:c r="L122" s="244" t="n">
        <x:f>IFERROR('Gaussian data'!C127*100,NA())</x:f>
        <x:v>52.01333097196954</x:v>
      </x:c>
      <x:c r="M122" s="244" t="n">
        <x:f>IFERROR('Gaussian data'!D127*100,NA())</x:f>
        <x:v>49.209080047789726</x:v>
      </x:c>
      <x:c r="N122" s="244" t="n">
        <x:f>IFERROR('Gaussian data'!E127*100,NA())</x:f>
        <x:v>43.206517364073996</x:v>
      </x:c>
      <x:c r="O122" s="245" t="n">
        <x:f>IFERROR('Gaussian data'!F127*100,NA())</x:f>
        <x:v>65.99314131152292</x:v>
      </x:c>
    </x:row>
    <x:row r="123" ht="19" customHeight="1">
      <x:c r="A123" s="246" t="str">
        <x:v>S=4D</x:v>
      </x:c>
      <x:c r="B123" s="247" t="n">
        <x:f>IFERROR('Gaussian data'!C128*100,NA())</x:f>
        <x:v>19.35483870967742</x:v>
      </x:c>
      <x:c r="C123" s="247" t="n">
        <x:f>IFERROR('Gaussian data'!C129*100,NA())</x:f>
        <x:v>62.18487394957983</x:v>
      </x:c>
      <x:c r="D123" s="247" t="n">
        <x:f>IFERROR('Gaussian data'!D128*100,NA())</x:f>
        <x:v>41.73913043478261</x:v>
      </x:c>
      <x:c r="E123" s="247" t="n">
        <x:f>IFERROR('Gaussian data'!D129*100,NA())</x:f>
        <x:v>48.65979381443299</x:v>
      </x:c>
      <x:c r="F123" s="247" t="n">
        <x:f>IFERROR('Gaussian data'!E128*100,NA())</x:f>
        <x:v>17.741935483870968</x:v>
      </x:c>
      <x:c r="G123" s="247" t="n">
        <x:f>IFERROR('Gaussian data'!E129*100,NA())</x:f>
        <x:v>64.70588235294117</x:v>
      </x:c>
      <x:c r="H123" s="247" t="n">
        <x:f>IFERROR('Gaussian data'!F128*100,NA())</x:f>
        <x:v>30.64516129032258</x:v>
      </x:c>
      <x:c r="I123" s="248" t="n">
        <x:f>IFERROR('Gaussian data'!F129*100,NA())</x:f>
        <x:v>37.39495798319328</x:v>
      </x:c>
      <x:c r="K123" s="246" t="str">
        <x:v>S=4D</x:v>
      </x:c>
      <x:c r="L123" s="247" t="n">
        <x:f>IFERROR('Gaussian data'!C131*100,NA())</x:f>
        <x:v>52.96658986175116</x:v>
      </x:c>
      <x:c r="M123" s="247" t="n">
        <x:f>IFERROR('Gaussian data'!D131*100,NA())</x:f>
        <x:v>54.332586284177495</x:v>
      </x:c>
      <x:c r="N123" s="247" t="n">
        <x:f>IFERROR('Gaussian data'!E131*100,NA())</x:f>
        <x:v>48.7496611547845</x:v>
      </x:c>
      <x:c r="O123" s="248" t="n">
        <x:f>IFERROR('Gaussian data'!F131*100,NA())</x:f>
        <x:v>67.8232583355923</x:v>
      </x:c>
    </x:row>
    <x:row r="124" ht="19" customHeight="1"/>
    <x:row r="125" ht="19" customHeight="1">
      <x:c r="A125" s="230" t="str">
        <x:v>Gaussian data — Posterior MMD — Assumed M1</x:v>
      </x:c>
      <x:c r="B125" s="230" t="str">
        <x:v>Gaussian data — Posterior MMD — Assumed M1</x:v>
      </x:c>
      <x:c r="C125" s="230" t="str">
        <x:v>Gaussian data — Posterior MMD — Assumed M1</x:v>
      </x:c>
      <x:c r="D125" s="230" t="str">
        <x:v>Gaussian data — Posterior MMD — Assumed M1</x:v>
      </x:c>
      <x:c r="E125" s="230" t="str">
        <x:v>Gaussian data — Posterior MMD — Assumed M1</x:v>
      </x:c>
      <x:c r="F125" s="230" t="str">
        <x:v>Gaussian data — Posterior MMD — Assumed M1</x:v>
      </x:c>
      <x:c r="G125" s="230" t="str">
        <x:v>Gaussian data — Posterior MMD — Assumed M1</x:v>
      </x:c>
      <x:c r="H125" s="230" t="str">
        <x:v>Gaussian data — Posterior MMD — Assumed M1</x:v>
      </x:c>
      <x:c r="I125" s="230" t="str">
        <x:v>Gaussian data — Posterior MMD — Assumed M1</x:v>
      </x:c>
      <x:c r="J125" s="230" t="str">
        <x:v>Gaussian data — Posterior MMD — Assumed M1</x:v>
      </x:c>
      <x:c r="K125" s="230" t="str">
        <x:v>Gaussian data — Posterior MMD — Assumed M1</x:v>
      </x:c>
      <x:c r="L125" s="230" t="str">
        <x:v>Gaussian data — Posterior MMD — Assumed M1</x:v>
      </x:c>
      <x:c r="M125" s="230" t="str">
        <x:v>Gaussian data — Posterior MMD — Assumed M1</x:v>
      </x:c>
      <x:c r="N125" s="230" t="str">
        <x:v>Gaussian data — Posterior MMD — Assumed M1</x:v>
      </x:c>
      <x:c r="O125" s="230" t="str">
        <x:v>Gaussian data — Posterior MMD — Assumed M1</x:v>
      </x:c>
    </x:row>
    <x:row r="126" ht="19" customHeight="1">
      <x:c r="A126" s="236" t="str">
        <x:v>Summary</x:v>
      </x:c>
      <x:c r="B126" s="237" t="str">
        <x:v>L2 — FNR</x:v>
      </x:c>
      <x:c r="C126" s="237" t="str">
        <x:v>L2 — FPR</x:v>
      </x:c>
      <x:c r="D126" s="237" t="str">
        <x:v>L∞ — FNR</x:v>
      </x:c>
      <x:c r="E126" s="237" t="str">
        <x:v>L∞ — FPR</x:v>
      </x:c>
      <x:c r="F126" s="237" t="str">
        <x:v>Density — FNR</x:v>
      </x:c>
      <x:c r="G126" s="237" t="str">
        <x:v>Density — FPR</x:v>
      </x:c>
      <x:c r="H126" s="237" t="str">
        <x:v>MMD — FNR</x:v>
      </x:c>
      <x:c r="I126" s="237" t="str">
        <x:v>MMD — FPR</x:v>
      </x:c>
      <x:c r="J126" s="237"/>
      <x:c r="K126" s="237" t="str">
        <x:v>Summary</x:v>
      </x:c>
      <x:c r="L126" s="237" t="str">
        <x:v>L2</x:v>
      </x:c>
      <x:c r="M126" s="237" t="str">
        <x:v>L∞</x:v>
      </x:c>
      <x:c r="N126" s="237" t="str">
        <x:v>Density</x:v>
      </x:c>
      <x:c r="O126" s="238" t="str">
        <x:v>MMD</x:v>
      </x:c>
    </x:row>
    <x:row r="127" ht="19" customHeight="1">
      <x:c r="A127" s="240" t="str">
        <x:v>S=D</x:v>
      </x:c>
      <x:c r="B127" s="241" t="n">
        <x:f>IFERROR('Gaussian data'!C136*100,NA())</x:f>
        <x:v>47.75</x:v>
      </x:c>
      <x:c r="C127" s="241" t="n">
        <x:f>IFERROR('Gaussian data'!C137*100,NA())</x:f>
        <x:v>1</x:v>
      </x:c>
      <x:c r="D127" s="241" t="n">
        <x:f>IFERROR('Gaussian data'!D136*100,NA())</x:f>
        <x:v>49.497487437185924</x:v>
      </x:c>
      <x:c r="E127" s="241" t="n">
        <x:f>IFERROR('Gaussian data'!D137*100,NA())</x:f>
        <x:v>2.9702970297029703</x:v>
      </x:c>
      <x:c r="F127" s="241" t="n">
        <x:f>IFERROR('Gaussian data'!E136*100,NA())</x:f>
        <x:v>55.00000000000001</x:v>
      </x:c>
      <x:c r="G127" s="241" t="n">
        <x:f>IFERROR('Gaussian data'!E137*100,NA())</x:f>
        <x:v>0.5</x:v>
      </x:c>
      <x:c r="H127" s="241" t="n">
        <x:f>IFERROR('Gaussian data'!F136*100,NA())</x:f>
        <x:v>47.75</x:v>
      </x:c>
      <x:c r="I127" s="242" t="n">
        <x:f>IFERROR('Gaussian data'!F137*100,NA())</x:f>
        <x:v>2</x:v>
      </x:c>
      <x:c r="K127" s="240" t="str">
        <x:v>S=D</x:v>
      </x:c>
      <x:c r="L127" s="241" t="n">
        <x:f>IFERROR('Gaussian data'!C139*100,NA())</x:f>
        <x:v>86.96625</x:v>
      </x:c>
      <x:c r="M127" s="241" t="n">
        <x:f>IFERROR('Gaussian data'!D139*100,NA())</x:f>
        <x:v>86.51922981</x:v>
      </x:c>
      <x:c r="N127" s="241" t="n">
        <x:f>IFERROR('Gaussian data'!E139*100,NA())</x:f>
        <x:v>91.73625</x:v>
      </x:c>
      <x:c r="O127" s="242" t="n">
        <x:f>IFERROR('Gaussian data'!F139*100,NA())</x:f>
        <x:v>86.545</x:v>
      </x:c>
    </x:row>
    <x:row r="128" ht="19" customHeight="1">
      <x:c r="A128" s="243" t="str">
        <x:v>S=2D</x:v>
      </x:c>
      <x:c r="B128" s="244" t="n">
        <x:f>IFERROR('Gaussian data'!C140*100,NA())</x:f>
        <x:v>9.03954802259887</x:v>
      </x:c>
      <x:c r="C128" s="244" t="n">
        <x:f>IFERROR('Gaussian data'!C141*100,NA())</x:f>
        <x:v>11.38211382113821</x:v>
      </x:c>
      <x:c r="D128" s="244" t="n">
        <x:f>IFERROR('Gaussian data'!D140*100,NA())</x:f>
        <x:v>24.786324786324787</x:v>
      </x:c>
      <x:c r="E128" s="244" t="n">
        <x:f>IFERROR('Gaussian data'!D141*100,NA())</x:f>
        <x:v>5.622489959839357</x:v>
      </x:c>
      <x:c r="F128" s="244" t="n">
        <x:f>IFERROR('Gaussian data'!E140*100,NA())</x:f>
        <x:v>1.41643059490085</x:v>
      </x:c>
      <x:c r="G128" s="244" t="n">
        <x:f>IFERROR('Gaussian data'!E141*100,NA())</x:f>
        <x:v>22.267206477732792</x:v>
      </x:c>
      <x:c r="H128" s="244" t="n">
        <x:f>IFERROR('Gaussian data'!F140*100,NA())</x:f>
        <x:v>37.960339943342774</x:v>
      </x:c>
      <x:c r="I128" s="245" t="n">
        <x:f>IFERROR('Gaussian data'!F141*100,NA())</x:f>
        <x:v>7.6923076923076925</x:v>
      </x:c>
      <x:c r="K128" s="243" t="str">
        <x:v>S=2D</x:v>
      </x:c>
      <x:c r="L128" s="244" t="n">
        <x:f>IFERROR('Gaussian data'!C143*100,NA())</x:f>
        <x:v>97.60461164</x:v>
      </x:c>
      <x:c r="M128" s="244" t="n">
        <x:f>IFERROR('Gaussian data'!D143*100,NA())</x:f>
        <x:v>94.152107</x:v>
      </x:c>
      <x:c r="N128" s="244" t="n">
        <x:f>IFERROR('Gaussian data'!E143*100,NA())</x:f>
        <x:v>94.84809212</x:v>
      </x:c>
      <x:c r="O128" s="245" t="n">
        <x:f>IFERROR('Gaussian data'!F143*100,NA())</x:f>
        <x:v>81.14484293000001</x:v>
      </x:c>
    </x:row>
    <x:row r="129" ht="19" customHeight="1">
      <x:c r="A129" s="246" t="str">
        <x:v>S=4D</x:v>
      </x:c>
      <x:c r="B129" s="247" t="n">
        <x:f>IFERROR('Gaussian data'!C144*100,NA())</x:f>
        <x:v>1.69971671388102</x:v>
      </x:c>
      <x:c r="C129" s="247" t="n">
        <x:f>IFERROR('Gaussian data'!C145*100,NA())</x:f>
        <x:v>20.647773279352226</x:v>
      </x:c>
      <x:c r="D129" s="247" t="n">
        <x:f>IFERROR('Gaussian data'!D144*100,NA())</x:f>
        <x:v>11.142857142857142</x:v>
      </x:c>
      <x:c r="E129" s="247" t="n">
        <x:f>IFERROR('Gaussian data'!D145*100,NA())</x:f>
        <x:v>9.2</x:v>
      </x:c>
      <x:c r="F129" s="247" t="n">
        <x:f>IFERROR('Gaussian data'!E144*100,NA())</x:f>
        <x:v>1.41643059490085</x:v>
      </x:c>
      <x:c r="G129" s="247" t="n">
        <x:f>IFERROR('Gaussian data'!E145*100,NA())</x:f>
        <x:v>34.41295546558704</x:v>
      </x:c>
      <x:c r="H129" s="247" t="n">
        <x:f>IFERROR('Gaussian data'!F144*100,NA())</x:f>
        <x:v>23.79603399433428</x:v>
      </x:c>
      <x:c r="I129" s="248" t="n">
        <x:f>IFERROR('Gaussian data'!F145*100,NA())</x:f>
        <x:v>10.526315789473683</x:v>
      </x:c>
      <x:c r="K129" s="246" t="str">
        <x:v>S=4D</x:v>
      </x:c>
      <x:c r="L129" s="247" t="n">
        <x:f>IFERROR('Gaussian data'!C147*100,NA())</x:f>
        <x:v>97.81743528999999</x:v>
      </x:c>
      <x:c r="M129" s="247" t="n">
        <x:f>IFERROR('Gaussian data'!D147*100,NA())</x:f>
        <x:v>96.41485714</x:v>
      </x:c>
      <x:c r="N129" s="247" t="n">
        <x:f>IFERROR('Gaussian data'!E147*100,NA())</x:f>
        <x:v>92.8834398</x:v>
      </x:c>
      <x:c r="O129" s="248" t="n">
        <x:f>IFERROR('Gaussian data'!F147*100,NA())</x:f>
        <x:v>87.66386439</x:v>
      </x:c>
    </x:row>
    <x:row r="130" ht="19" customHeight="1"/>
    <x:row r="131" ht="19" customHeight="1">
      <x:c r="A131" s="230" t="str">
        <x:v>Gaussian data — Posterior MMD — Assumed M2</x:v>
      </x:c>
      <x:c r="B131" s="230" t="str">
        <x:v>Gaussian data — Posterior MMD — Assumed M2</x:v>
      </x:c>
      <x:c r="C131" s="230" t="str">
        <x:v>Gaussian data — Posterior MMD — Assumed M2</x:v>
      </x:c>
      <x:c r="D131" s="230" t="str">
        <x:v>Gaussian data — Posterior MMD — Assumed M2</x:v>
      </x:c>
      <x:c r="E131" s="230" t="str">
        <x:v>Gaussian data — Posterior MMD — Assumed M2</x:v>
      </x:c>
      <x:c r="F131" s="230" t="str">
        <x:v>Gaussian data — Posterior MMD — Assumed M2</x:v>
      </x:c>
      <x:c r="G131" s="230" t="str">
        <x:v>Gaussian data — Posterior MMD — Assumed M2</x:v>
      </x:c>
      <x:c r="H131" s="230" t="str">
        <x:v>Gaussian data — Posterior MMD — Assumed M2</x:v>
      </x:c>
      <x:c r="I131" s="230" t="str">
        <x:v>Gaussian data — Posterior MMD — Assumed M2</x:v>
      </x:c>
      <x:c r="J131" s="230" t="str">
        <x:v>Gaussian data — Posterior MMD — Assumed M2</x:v>
      </x:c>
      <x:c r="K131" s="230" t="str">
        <x:v>Gaussian data — Posterior MMD — Assumed M2</x:v>
      </x:c>
      <x:c r="L131" s="230" t="str">
        <x:v>Gaussian data — Posterior MMD — Assumed M2</x:v>
      </x:c>
      <x:c r="M131" s="230" t="str">
        <x:v>Gaussian data — Posterior MMD — Assumed M2</x:v>
      </x:c>
      <x:c r="N131" s="230" t="str">
        <x:v>Gaussian data — Posterior MMD — Assumed M2</x:v>
      </x:c>
      <x:c r="O131" s="230" t="str">
        <x:v>Gaussian data — Posterior MMD — Assumed M2</x:v>
      </x:c>
    </x:row>
    <x:row r="132" ht="19" customHeight="1">
      <x:c r="A132" s="236" t="str">
        <x:v>Summary</x:v>
      </x:c>
      <x:c r="B132" s="237" t="str">
        <x:v>L2 — FNR</x:v>
      </x:c>
      <x:c r="C132" s="237" t="str">
        <x:v>L2 — FPR</x:v>
      </x:c>
      <x:c r="D132" s="237" t="str">
        <x:v>L∞ — FNR</x:v>
      </x:c>
      <x:c r="E132" s="237" t="str">
        <x:v>L∞ — FPR</x:v>
      </x:c>
      <x:c r="F132" s="237" t="str">
        <x:v>Density — FNR</x:v>
      </x:c>
      <x:c r="G132" s="237" t="str">
        <x:v>Density — FPR</x:v>
      </x:c>
      <x:c r="H132" s="237" t="str">
        <x:v>MMD — FNR</x:v>
      </x:c>
      <x:c r="I132" s="237" t="str">
        <x:v>MMD — FPR</x:v>
      </x:c>
      <x:c r="J132" s="237"/>
      <x:c r="K132" s="237" t="str">
        <x:v>Summary</x:v>
      </x:c>
      <x:c r="L132" s="237" t="str">
        <x:v>L2</x:v>
      </x:c>
      <x:c r="M132" s="237" t="str">
        <x:v>L∞</x:v>
      </x:c>
      <x:c r="N132" s="237" t="str">
        <x:v>Density</x:v>
      </x:c>
      <x:c r="O132" s="238" t="str">
        <x:v>MMD</x:v>
      </x:c>
    </x:row>
    <x:row r="133" ht="19" customHeight="1">
      <x:c r="A133" s="240" t="str">
        <x:v>S=D</x:v>
      </x:c>
      <x:c r="B133" s="241" t="n">
        <x:f>IFERROR('Gaussian data'!C152*100,NA())</x:f>
        <x:v>9.945750452079565</x:v>
      </x:c>
      <x:c r="C133" s="241" t="n">
        <x:f>IFERROR('Gaussian data'!C153*100,NA())</x:f>
        <x:v>4.25531914893617</x:v>
      </x:c>
      <x:c r="D133" s="241" t="n">
        <x:f>IFERROR('Gaussian data'!D152*100,NA())</x:f>
        <x:v>16.304347826086957</x:v>
      </x:c>
      <x:c r="E133" s="241" t="n">
        <x:f>IFERROR('Gaussian data'!D153*100,NA())</x:f>
        <x:v>8.333333333333332</x:v>
      </x:c>
      <x:c r="F133" s="241" t="n">
        <x:f>IFERROR('Gaussian data'!E152*100,NA())</x:f>
        <x:v>18.44484629294756</x:v>
      </x:c>
      <x:c r="G133" s="241" t="n">
        <x:f>IFERROR('Gaussian data'!E153*100,NA())</x:f>
        <x:v>2.127659574468085</x:v>
      </x:c>
      <x:c r="H133" s="241" t="n">
        <x:f>IFERROR('Gaussian data'!F152*100,NA())</x:f>
        <x:v>9.584086799276673</x:v>
      </x:c>
      <x:c r="I133" s="242" t="n">
        <x:f>IFERROR('Gaussian data'!F153*100,NA())</x:f>
        <x:v>4.25531914893617</x:v>
      </x:c>
      <x:c r="K133" s="240" t="str">
        <x:v>S=D</x:v>
      </x:c>
      <x:c r="L133" s="241" t="n">
        <x:f>IFERROR('Gaussian data'!C155*100,NA())</x:f>
        <x:v>96.26024393</x:v>
      </x:c>
      <x:c r="M133" s="241" t="n">
        <x:f>IFERROR('Gaussian data'!D155*100,NA())</x:f>
        <x:v>94.55766908</x:v>
      </x:c>
      <x:c r="N133" s="241" t="n">
        <x:f>IFERROR('Gaussian data'!E155*100,NA())</x:f>
        <x:v>95.02135355</x:v>
      </x:c>
      <x:c r="O133" s="242" t="n">
        <x:f>IFERROR('Gaussian data'!F155*100,NA())</x:f>
        <x:v>96.2948713</x:v>
      </x:c>
    </x:row>
    <x:row r="134" ht="19" customHeight="1">
      <x:c r="A134" s="243" t="str">
        <x:v>S=2D</x:v>
      </x:c>
      <x:c r="B134" s="244" t="n">
        <x:f>IFERROR('Gaussian data'!C156*100,NA())</x:f>
        <x:v>0.36231884057971014</x:v>
      </x:c>
      <x:c r="C134" s="244" t="n">
        <x:f>IFERROR('Gaussian data'!C157*100,NA())</x:f>
        <x:v>6.25</x:v>
      </x:c>
      <x:c r="D134" s="244" t="n">
        <x:f>IFERROR('Gaussian data'!D156*100,NA())</x:f>
        <x:v>4.308797127468582</x:v>
      </x:c>
      <x:c r="E134" s="244" t="n">
        <x:f>IFERROR('Gaussian data'!D157*100,NA())</x:f>
        <x:v>2.3255813953488373</x:v>
      </x:c>
      <x:c r="F134" s="244" t="n">
        <x:f>IFERROR('Gaussian data'!E156*100,NA())</x:f>
        <x:v>0.7246376811594203</x:v>
      </x:c>
      <x:c r="G134" s="244" t="n">
        <x:f>IFERROR('Gaussian data'!E157*100,NA())</x:f>
        <x:v>6.25</x:v>
      </x:c>
      <x:c r="H134" s="244" t="n">
        <x:f>IFERROR('Gaussian data'!F156*100,NA())</x:f>
        <x:v>3.985507246376811</x:v>
      </x:c>
      <x:c r="I134" s="245" t="n">
        <x:f>IFERROR('Gaussian data'!F157*100,NA())</x:f>
        <x:v>6.25</x:v>
      </x:c>
      <x:c r="K134" s="243" t="str">
        <x:v>S=2D</x:v>
      </x:c>
      <x:c r="L134" s="244" t="n">
        <x:f>IFERROR('Gaussian data'!C159*100,NA())</x:f>
        <x:v>99.94716183999999</x:v>
      </x:c>
      <x:c r="M134" s="244" t="n">
        <x:f>IFERROR('Gaussian data'!D159*100,NA())</x:f>
        <x:v>99.04388126</x:v>
      </x:c>
      <x:c r="N134" s="244" t="n">
        <x:f>IFERROR('Gaussian data'!E159*100,NA())</x:f>
        <x:v>99.84525966</x:v>
      </x:c>
      <x:c r="O134" s="245" t="n">
        <x:f>IFERROR('Gaussian data'!F159*100,NA())</x:f>
        <x:v>99.08665459</x:v>
      </x:c>
    </x:row>
    <x:row r="135" ht="19" customHeight="1">
      <x:c r="A135" s="246" t="str">
        <x:v>S=4D</x:v>
      </x:c>
      <x:c r="B135" s="247" t="n">
        <x:f>IFERROR('Gaussian data'!C160*100,NA())</x:f>
        <x:v>0.9009009009009009</x:v>
      </x:c>
      <x:c r="C135" s="247" t="n">
        <x:f>IFERROR('Gaussian data'!C161*100,NA())</x:f>
        <x:v>2.2222222222222223</x:v>
      </x:c>
      <x:c r="D135" s="247" t="n">
        <x:f>IFERROR('Gaussian data'!D160*100,NA())</x:f>
        <x:v>6.104129263913824</x:v>
      </x:c>
      <x:c r="E135" s="247" t="n">
        <x:f>IFERROR('Gaussian data'!D161*100,NA())</x:f>
        <x:v>4.651162790697675</x:v>
      </x:c>
      <x:c r="F135" s="247" t="n">
        <x:f>IFERROR('Gaussian data'!E160*100,NA())</x:f>
        <x:v>0.9009009009009009</x:v>
      </x:c>
      <x:c r="G135" s="247" t="n">
        <x:f>IFERROR('Gaussian data'!E161*100,NA())</x:f>
        <x:v>6.666666666666667</x:v>
      </x:c>
      <x:c r="H135" s="247" t="n">
        <x:f>IFERROR('Gaussian data'!F160*100,NA())</x:f>
        <x:v>2.3423423423423424</x:v>
      </x:c>
      <x:c r="I135" s="248" t="n">
        <x:f>IFERROR('Gaussian data'!F161*100,NA())</x:f>
        <x:v>2.2222222222222223</x:v>
      </x:c>
      <x:c r="K135" s="246" t="str">
        <x:v>S=4D</x:v>
      </x:c>
      <x:c r="L135" s="247" t="n">
        <x:f>IFERROR('Gaussian data'!C163*100,NA())</x:f>
        <x:v>99.93193192999999</x:v>
      </x:c>
      <x:c r="M135" s="247" t="n">
        <x:f>IFERROR('Gaussian data'!D163*100,NA())</x:f>
        <x:v>98.45935451999999</x:v>
      </x:c>
      <x:c r="N135" s="247" t="n">
        <x:f>IFERROR('Gaussian data'!E163*100,NA())</x:f>
        <x:v>99.78778779000001</x:v>
      </x:c>
      <x:c r="O135" s="248" t="n">
        <x:f>IFERROR('Gaussian data'!F163*100,NA())</x:f>
        <x:v>99.80780781</x:v>
      </x:c>
    </x:row>
    <x:row r="136" ht="19" customHeight="1"/>
    <x:row r="137" ht="19" customHeight="1">
      <x:c r="A137" s="230" t="str">
        <x:v>Gaussian data — Posterior MMD — Assumed M3</x:v>
      </x:c>
      <x:c r="B137" s="230" t="str">
        <x:v>Gaussian data — Posterior MMD — Assumed M3</x:v>
      </x:c>
      <x:c r="C137" s="230" t="str">
        <x:v>Gaussian data — Posterior MMD — Assumed M3</x:v>
      </x:c>
      <x:c r="D137" s="230" t="str">
        <x:v>Gaussian data — Posterior MMD — Assumed M3</x:v>
      </x:c>
      <x:c r="E137" s="230" t="str">
        <x:v>Gaussian data — Posterior MMD — Assumed M3</x:v>
      </x:c>
      <x:c r="F137" s="230" t="str">
        <x:v>Gaussian data — Posterior MMD — Assumed M3</x:v>
      </x:c>
      <x:c r="G137" s="230" t="str">
        <x:v>Gaussian data — Posterior MMD — Assumed M3</x:v>
      </x:c>
      <x:c r="H137" s="230" t="str">
        <x:v>Gaussian data — Posterior MMD — Assumed M3</x:v>
      </x:c>
      <x:c r="I137" s="230" t="str">
        <x:v>Gaussian data — Posterior MMD — Assumed M3</x:v>
      </x:c>
      <x:c r="J137" s="230" t="str">
        <x:v>Gaussian data — Posterior MMD — Assumed M3</x:v>
      </x:c>
      <x:c r="K137" s="230" t="str">
        <x:v>Gaussian data — Posterior MMD — Assumed M3</x:v>
      </x:c>
      <x:c r="L137" s="230" t="str">
        <x:v>Gaussian data — Posterior MMD — Assumed M3</x:v>
      </x:c>
      <x:c r="M137" s="230" t="str">
        <x:v>Gaussian data — Posterior MMD — Assumed M3</x:v>
      </x:c>
      <x:c r="N137" s="230" t="str">
        <x:v>Gaussian data — Posterior MMD — Assumed M3</x:v>
      </x:c>
      <x:c r="O137" s="230" t="str">
        <x:v>Gaussian data — Posterior MMD — Assumed M3</x:v>
      </x:c>
    </x:row>
    <x:row r="138" ht="19" customHeight="1">
      <x:c r="A138" s="236" t="str">
        <x:v>Summary</x:v>
      </x:c>
      <x:c r="B138" s="237" t="str">
        <x:v>L2 — FNR</x:v>
      </x:c>
      <x:c r="C138" s="237" t="str">
        <x:v>L2 — FPR</x:v>
      </x:c>
      <x:c r="D138" s="237" t="str">
        <x:v>L∞ — FNR</x:v>
      </x:c>
      <x:c r="E138" s="237" t="str">
        <x:v>L∞ — FPR</x:v>
      </x:c>
      <x:c r="F138" s="237" t="str">
        <x:v>Density — FNR</x:v>
      </x:c>
      <x:c r="G138" s="237" t="str">
        <x:v>Density — FPR</x:v>
      </x:c>
      <x:c r="H138" s="237" t="str">
        <x:v>MMD — FNR</x:v>
      </x:c>
      <x:c r="I138" s="237" t="str">
        <x:v>MMD — FPR</x:v>
      </x:c>
      <x:c r="J138" s="237"/>
      <x:c r="K138" s="237" t="str">
        <x:v>Summary</x:v>
      </x:c>
      <x:c r="L138" s="237" t="str">
        <x:v>L2</x:v>
      </x:c>
      <x:c r="M138" s="237" t="str">
        <x:v>L∞</x:v>
      </x:c>
      <x:c r="N138" s="237" t="str">
        <x:v>Density</x:v>
      </x:c>
      <x:c r="O138" s="238" t="str">
        <x:v>MMD</x:v>
      </x:c>
    </x:row>
    <x:row r="139" ht="19" customHeight="1">
      <x:c r="A139" s="240" t="str">
        <x:v>S=D</x:v>
      </x:c>
      <x:c r="B139" s="241" t="n">
        <x:f>IFERROR('Gaussian data'!C168*100,NA())</x:f>
        <x:v>13.709677419354838</x:v>
      </x:c>
      <x:c r="C139" s="241" t="n">
        <x:f>IFERROR('Gaussian data'!C169*100,NA())</x:f>
        <x:v>30.701754385964914</x:v>
      </x:c>
      <x:c r="D139" s="241" t="n">
        <x:f>IFERROR('Gaussian data'!D168*100,NA())</x:f>
        <x:v>25.13368983957219</x:v>
      </x:c>
      <x:c r="E139" s="241" t="n">
        <x:f>IFERROR('Gaussian data'!D169*100,NA())</x:f>
        <x:v>30.08849557522124</x:v>
      </x:c>
      <x:c r="F139" s="241" t="n">
        <x:f>IFERROR('Gaussian data'!E168*100,NA())</x:f>
        <x:v>38.70967741935484</x:v>
      </x:c>
      <x:c r="G139" s="241" t="n">
        <x:f>IFERROR('Gaussian data'!E169*100,NA())</x:f>
        <x:v>25</x:v>
      </x:c>
      <x:c r="H139" s="241" t="n">
        <x:f>IFERROR('Gaussian data'!F168*100,NA())</x:f>
        <x:v>13.978494623655912</x:v>
      </x:c>
      <x:c r="I139" s="242" t="n">
        <x:f>IFERROR('Gaussian data'!F169*100,NA())</x:f>
        <x:v>30.701754385964914</x:v>
      </x:c>
      <x:c r="K139" s="240" t="str">
        <x:v>S=D</x:v>
      </x:c>
      <x:c r="L139" s="241" t="n">
        <x:f>IFERROR('Gaussian data'!C171*100,NA())</x:f>
        <x:v>77.20241464</x:v>
      </x:c>
      <x:c r="M139" s="241" t="n">
        <x:f>IFERROR('Gaussian data'!D171*100,NA())</x:f>
        <x:v>77.47030429</x:v>
      </x:c>
      <x:c r="N139" s="241" t="n">
        <x:f>IFERROR('Gaussian data'!E171*100,NA())</x:f>
        <x:v>76.60818713</x:v>
      </x:c>
      <x:c r="O139" s="242" t="n">
        <x:f>IFERROR('Gaussian data'!F171*100,NA())</x:f>
        <x:v>77.42053385999999</x:v>
      </x:c>
    </x:row>
    <x:row r="140" ht="19" customHeight="1">
      <x:c r="A140" s="243" t="str">
        <x:v>S=2D</x:v>
      </x:c>
      <x:c r="B140" s="244" t="n">
        <x:f>IFERROR('Gaussian data'!C172*100,NA())</x:f>
        <x:v>26.31578947368421</x:v>
      </x:c>
      <x:c r="C140" s="244" t="n">
        <x:f>IFERROR('Gaussian data'!C173*100,NA())</x:f>
        <x:v>4.081632653061225</x:v>
      </x:c>
      <x:c r="D140" s="244" t="n">
        <x:f>IFERROR('Gaussian data'!D172*100,NA())</x:f>
        <x:v>33.57531760435572</x:v>
      </x:c>
      <x:c r="E140" s="244" t="n">
        <x:f>IFERROR('Gaussian data'!D173*100,NA())</x:f>
        <x:v>2.0408163265306123</x:v>
      </x:c>
      <x:c r="F140" s="244" t="n">
        <x:f>IFERROR('Gaussian data'!E172*100,NA())</x:f>
        <x:v>6.715063520871143</x:v>
      </x:c>
      <x:c r="G140" s="244" t="n">
        <x:f>IFERROR('Gaussian data'!E173*100,NA())</x:f>
        <x:v>4.081632653061225</x:v>
      </x:c>
      <x:c r="H140" s="244" t="n">
        <x:f>IFERROR('Gaussian data'!F172*100,NA())</x:f>
        <x:v>27.949183303085302</x:v>
      </x:c>
      <x:c r="I140" s="245" t="n">
        <x:f>IFERROR('Gaussian data'!F173*100,NA())</x:f>
        <x:v>4.081632653061225</x:v>
      </x:c>
      <x:c r="K140" s="243" t="str">
        <x:v>S=2D</x:v>
      </x:c>
      <x:c r="L140" s="244" t="n">
        <x:f>IFERROR('Gaussian data'!C175*100,NA())</x:f>
        <x:v>82.84380903</x:v>
      </x:c>
      <x:c r="M140" s="244" t="n">
        <x:f>IFERROR('Gaussian data'!D175*100,NA())</x:f>
        <x:v>78.63624579</x:v>
      </x:c>
      <x:c r="N140" s="244" t="n">
        <x:f>IFERROR('Gaussian data'!E175*100,NA())</x:f>
        <x:v>99.21478573</x:v>
      </x:c>
      <x:c r="O140" s="245" t="n">
        <x:f>IFERROR('Gaussian data'!F175*100,NA())</x:f>
        <x:v>76.94729434</x:v>
      </x:c>
    </x:row>
    <x:row r="141" ht="19" customHeight="1">
      <x:c r="A141" s="246" t="str">
        <x:v>S=4D</x:v>
      </x:c>
      <x:c r="B141" s="247" t="n">
        <x:f>IFERROR('Gaussian data'!C176*100,NA())</x:f>
        <x:v>2.35934664246824</x:v>
      </x:c>
      <x:c r="C141" s="247" t="n">
        <x:f>IFERROR('Gaussian data'!C177*100,NA())</x:f>
        <x:v>6.122448979591836</x:v>
      </x:c>
      <x:c r="D141" s="247" t="n">
        <x:f>IFERROR('Gaussian data'!D176*100,NA())</x:f>
        <x:v>20.833333333333336</x:v>
      </x:c>
      <x:c r="E141" s="247" t="n">
        <x:f>IFERROR('Gaussian data'!D177*100,NA())</x:f>
        <x:v>6.25</x:v>
      </x:c>
      <x:c r="F141" s="247" t="n">
        <x:f>IFERROR('Gaussian data'!E176*100,NA())</x:f>
        <x:v>0.18148820326678766</x:v>
      </x:c>
      <x:c r="G141" s="247" t="n">
        <x:f>IFERROR('Gaussian data'!E177*100,NA())</x:f>
        <x:v>6.122448979591836</x:v>
      </x:c>
      <x:c r="H141" s="247" t="n">
        <x:f>IFERROR('Gaussian data'!F176*100,NA())</x:f>
        <x:v>28.13067150635209</x:v>
      </x:c>
      <x:c r="I141" s="248" t="n">
        <x:f>IFERROR('Gaussian data'!F177*100,NA())</x:f>
        <x:v>4.081632653061225</x:v>
      </x:c>
      <x:c r="K141" s="246" t="str">
        <x:v>S=4D</x:v>
      </x:c>
      <x:c r="L141" s="247" t="n">
        <x:f>IFERROR('Gaussian data'!C179*100,NA())</x:f>
        <x:v>99.23330494</x:v>
      </x:c>
      <x:c r="M141" s="247" t="n">
        <x:f>IFERROR('Gaussian data'!D179*100,NA())</x:f>
        <x:v>94.33876812000001</x:v>
      </x:c>
      <x:c r="N141" s="247" t="n">
        <x:f>IFERROR('Gaussian data'!E179*100,NA())</x:f>
        <x:v>99.92962702</x:v>
      </x:c>
      <x:c r="O141" s="248" t="n">
        <x:f>IFERROR('Gaussian data'!F179*100,NA())</x:f>
        <x:v>77.79177007</x:v>
      </x:c>
    </x:row>
    <x:row r="142" ht="19" customHeight="1"/>
    <x:row r="143" ht="19" customHeight="1">
      <x:c r="A143" s="230" t="str">
        <x:v>Gaussian data — Posterior MMD — Assumed M4</x:v>
      </x:c>
      <x:c r="B143" s="230" t="str">
        <x:v>Gaussian data — Posterior MMD — Assumed M4</x:v>
      </x:c>
      <x:c r="C143" s="230" t="str">
        <x:v>Gaussian data — Posterior MMD — Assumed M4</x:v>
      </x:c>
      <x:c r="D143" s="230" t="str">
        <x:v>Gaussian data — Posterior MMD — Assumed M4</x:v>
      </x:c>
      <x:c r="E143" s="230" t="str">
        <x:v>Gaussian data — Posterior MMD — Assumed M4</x:v>
      </x:c>
      <x:c r="F143" s="230" t="str">
        <x:v>Gaussian data — Posterior MMD — Assumed M4</x:v>
      </x:c>
      <x:c r="G143" s="230" t="str">
        <x:v>Gaussian data — Posterior MMD — Assumed M4</x:v>
      </x:c>
      <x:c r="H143" s="230" t="str">
        <x:v>Gaussian data — Posterior MMD — Assumed M4</x:v>
      </x:c>
      <x:c r="I143" s="230" t="str">
        <x:v>Gaussian data — Posterior MMD — Assumed M4</x:v>
      </x:c>
      <x:c r="J143" s="230" t="str">
        <x:v>Gaussian data — Posterior MMD — Assumed M4</x:v>
      </x:c>
      <x:c r="K143" s="230" t="str">
        <x:v>Gaussian data — Posterior MMD — Assumed M4</x:v>
      </x:c>
      <x:c r="L143" s="230" t="str">
        <x:v>Gaussian data — Posterior MMD — Assumed M4</x:v>
      </x:c>
      <x:c r="M143" s="230" t="str">
        <x:v>Gaussian data — Posterior MMD — Assumed M4</x:v>
      </x:c>
      <x:c r="N143" s="230" t="str">
        <x:v>Gaussian data — Posterior MMD — Assumed M4</x:v>
      </x:c>
      <x:c r="O143" s="230" t="str">
        <x:v>Gaussian data — Posterior MMD — Assumed M4</x:v>
      </x:c>
    </x:row>
    <x:row r="144" ht="19" customHeight="1">
      <x:c r="A144" s="236" t="str">
        <x:v>Summary</x:v>
      </x:c>
      <x:c r="B144" s="237" t="str">
        <x:v>L2 — FNR</x:v>
      </x:c>
      <x:c r="C144" s="237" t="str">
        <x:v>L2 — FPR</x:v>
      </x:c>
      <x:c r="D144" s="237" t="str">
        <x:v>L∞ — FNR</x:v>
      </x:c>
      <x:c r="E144" s="237" t="str">
        <x:v>L∞ — FPR</x:v>
      </x:c>
      <x:c r="F144" s="237" t="str">
        <x:v>Density — FNR</x:v>
      </x:c>
      <x:c r="G144" s="237" t="str">
        <x:v>Density — FPR</x:v>
      </x:c>
      <x:c r="H144" s="237" t="str">
        <x:v>MMD — FNR</x:v>
      </x:c>
      <x:c r="I144" s="237" t="str">
        <x:v>MMD — FPR</x:v>
      </x:c>
      <x:c r="J144" s="237"/>
      <x:c r="K144" s="237" t="str">
        <x:v>Summary</x:v>
      </x:c>
      <x:c r="L144" s="237" t="str">
        <x:v>L2</x:v>
      </x:c>
      <x:c r="M144" s="237" t="str">
        <x:v>L∞</x:v>
      </x:c>
      <x:c r="N144" s="237" t="str">
        <x:v>Density</x:v>
      </x:c>
      <x:c r="O144" s="238" t="str">
        <x:v>MMD</x:v>
      </x:c>
    </x:row>
    <x:row r="145" ht="19" customHeight="1">
      <x:c r="A145" s="240" t="str">
        <x:v>S=D</x:v>
      </x:c>
      <x:c r="B145" s="241" t="n">
        <x:f>IFERROR('Gaussian data'!C184*100,NA())</x:f>
        <x:v>48.860759493670884</x:v>
      </x:c>
      <x:c r="C145" s="241" t="n">
        <x:f>IFERROR('Gaussian data'!C185*100,NA())</x:f>
        <x:v>2.9268292682926833</x:v>
      </x:c>
      <x:c r="D145" s="241" t="n">
        <x:f>IFERROR('Gaussian data'!D184*100,NA())</x:f>
        <x:v>48.60050890585242</x:v>
      </x:c>
      <x:c r="E145" s="241" t="n">
        <x:f>IFERROR('Gaussian data'!D185*100,NA())</x:f>
        <x:v>2.4154589371980677</x:v>
      </x:c>
      <x:c r="F145" s="241" t="n">
        <x:f>IFERROR('Gaussian data'!E184*100,NA())</x:f>
        <x:v>49.62025316455696</x:v>
      </x:c>
      <x:c r="G145" s="241" t="n">
        <x:f>IFERROR('Gaussian data'!E185*100,NA())</x:f>
        <x:v>2.4390243902439024</x:v>
      </x:c>
      <x:c r="H145" s="241" t="n">
        <x:f>IFERROR('Gaussian data'!F184*100,NA())</x:f>
        <x:v>48.60759493670886</x:v>
      </x:c>
      <x:c r="I145" s="242" t="n">
        <x:f>IFERROR('Gaussian data'!F185*100,NA())</x:f>
        <x:v>3.902439024390244</x:v>
      </x:c>
      <x:c r="K145" s="240" t="str">
        <x:v>S=D</x:v>
      </x:c>
      <x:c r="L145" s="241" t="n">
        <x:f>IFERROR('Gaussian data'!C187*100,NA())</x:f>
        <x:v>86.41556036</x:v>
      </x:c>
      <x:c r="M145" s="241" t="n">
        <x:f>IFERROR('Gaussian data'!D187*100,NA())</x:f>
        <x:v>85.55026982</x:v>
      </x:c>
      <x:c r="N145" s="241" t="n">
        <x:f>IFERROR('Gaussian data'!E187*100,NA())</x:f>
        <x:v>86.9527632</x:v>
      </x:c>
      <x:c r="O145" s="242" t="n">
        <x:f>IFERROR('Gaussian data'!F187*100,NA())</x:f>
        <x:v>86.34146341</x:v>
      </x:c>
    </x:row>
    <x:row r="146" ht="19" customHeight="1">
      <x:c r="A146" s="243" t="str">
        <x:v>S=2D</x:v>
      </x:c>
      <x:c r="B146" s="244" t="n">
        <x:f>IFERROR('Gaussian data'!C188*100,NA())</x:f>
        <x:v>3.418803418803419</x:v>
      </x:c>
      <x:c r="C146" s="244" t="n">
        <x:f>IFERROR('Gaussian data'!C189*100,NA())</x:f>
        <x:v>15.66265060240964</x:v>
      </x:c>
      <x:c r="D146" s="244" t="n">
        <x:f>IFERROR('Gaussian data'!D188*100,NA())</x:f>
        <x:v>24.43820224719101</x:v>
      </x:c>
      <x:c r="E146" s="244" t="n">
        <x:f>IFERROR('Gaussian data'!D189*100,NA())</x:f>
        <x:v>3.6885245901639343</x:v>
      </x:c>
      <x:c r="F146" s="244" t="n">
        <x:f>IFERROR('Gaussian data'!E188*100,NA())</x:f>
        <x:v>1.9943019943019942</x:v>
      </x:c>
      <x:c r="G146" s="244" t="n">
        <x:f>IFERROR('Gaussian data'!E189*100,NA())</x:f>
        <x:v>24.497991967871485</x:v>
      </x:c>
      <x:c r="H146" s="244" t="n">
        <x:f>IFERROR('Gaussian data'!F188*100,NA())</x:f>
        <x:v>33.61823361823362</x:v>
      </x:c>
      <x:c r="I146" s="245" t="n">
        <x:f>IFERROR('Gaussian data'!F189*100,NA())</x:f>
        <x:v>9.236947791164658</x:v>
      </x:c>
      <x:c r="K146" s="243" t="str">
        <x:v>S=2D</x:v>
      </x:c>
      <x:c r="L146" s="244" t="n">
        <x:f>IFERROR('Gaussian data'!C191*100,NA())</x:f>
        <x:v>98.01713978</x:v>
      </x:c>
      <x:c r="M146" s="244" t="n">
        <x:f>IFERROR('Gaussian data'!D191*100,NA())</x:f>
        <x:v>94.79761466</x:v>
      </x:c>
      <x:c r="N146" s="244" t="n">
        <x:f>IFERROR('Gaussian data'!E191*100,NA())</x:f>
        <x:v>92.40494742999999</x:v>
      </x:c>
      <x:c r="O146" s="245" t="n">
        <x:f>IFERROR('Gaussian data'!F191*100,NA())</x:f>
        <x:v>82.52268333</x:v>
      </x:c>
    </x:row>
    <x:row r="147" ht="19" customHeight="1">
      <x:c r="A147" s="246" t="str">
        <x:v>S=4D</x:v>
      </x:c>
      <x:c r="B147" s="247" t="n">
        <x:f>IFERROR('Gaussian data'!C192*100,NA())</x:f>
        <x:v>2.307692307692308</x:v>
      </x:c>
      <x:c r="C147" s="247" t="n">
        <x:f>IFERROR('Gaussian data'!C193*100,NA())</x:f>
        <x:v>7.142857142857142</x:v>
      </x:c>
      <x:c r="D147" s="247" t="n">
        <x:f>IFERROR('Gaussian data'!D192*100,NA())</x:f>
        <x:v>24.615384615384617</x:v>
      </x:c>
      <x:c r="E147" s="247" t="n">
        <x:f>IFERROR('Gaussian data'!D193*100,NA())</x:f>
        <x:v>4.285714285714286</x:v>
      </x:c>
      <x:c r="F147" s="247" t="n">
        <x:f>IFERROR('Gaussian data'!E192*100,NA())</x:f>
        <x:v>2.051282051282051</x:v>
      </x:c>
      <x:c r="G147" s="247" t="n">
        <x:f>IFERROR('Gaussian data'!E193*100,NA())</x:f>
        <x:v>13.333333333333334</x:v>
      </x:c>
      <x:c r="H147" s="247" t="n">
        <x:f>IFERROR('Gaussian data'!F192*100,NA())</x:f>
        <x:v>32.82051282051282</x:v>
      </x:c>
      <x:c r="I147" s="248" t="n">
        <x:f>IFERROR('Gaussian data'!F193*100,NA())</x:f>
        <x:v>0.9523809523809524</x:v>
      </x:c>
      <x:c r="K147" s="246" t="str">
        <x:v>S=4D</x:v>
      </x:c>
      <x:c r="L147" s="247" t="n">
        <x:f>IFERROR('Gaussian data'!C195*100,NA())</x:f>
        <x:v>98.5970696</x:v>
      </x:c>
      <x:c r="M147" s="247" t="n">
        <x:f>IFERROR('Gaussian data'!D195*100,NA())</x:f>
        <x:v>95.89499389</x:v>
      </x:c>
      <x:c r="N147" s="247" t="n">
        <x:f>IFERROR('Gaussian data'!E195*100,NA())</x:f>
        <x:v>97.33211233</x:v>
      </x:c>
      <x:c r="O147" s="248" t="n">
        <x:f>IFERROR('Gaussian data'!F195*100,NA())</x:f>
        <x:v>87.97802198</x:v>
      </x:c>
    </x:row>
    <x:row r="148" ht="19" customHeight="1"/>
    <x:row r="149" ht="19" customHeight="1">
      <x:c r="A149" t="str">
        <x:v>Simulated data — Signed log10 ML error — Assumed M0</x:v>
      </x:c>
      <x:c r="B149" t="str">
        <x:v>Simulated data — Signed log10 ML error — Assumed M0</x:v>
      </x:c>
      <x:c r="C149" t="str">
        <x:v>Simulated data — Signed log10 ML error — Assumed M0</x:v>
      </x:c>
      <x:c r="D149" t="str">
        <x:v>Simulated data — Signed log10 ML error — Assumed M0</x:v>
      </x:c>
      <x:c r="E149" t="str">
        <x:v>Simulated data — Signed log10 ML error — Assumed M0</x:v>
      </x:c>
      <x:c r="F149" t="str">
        <x:v>Simulated data — Signed log10 ML error — Assumed M0</x:v>
      </x:c>
      <x:c r="G149" t="str">
        <x:v>Simulated data — Signed log10 ML error — Assumed M0</x:v>
      </x:c>
      <x:c r="H149" t="str">
        <x:v>Simulated data — Signed log10 ML error — Assumed M0</x:v>
      </x:c>
      <x:c r="I149" t="str">
        <x:v>Simulated data — Signed log10 ML error — Assumed M0</x:v>
      </x:c>
      <x:c r="J149" t="str">
        <x:v>Simulated data — Signed log10 ML error — Assumed M0</x:v>
      </x:c>
      <x:c r="K149" t="str">
        <x:v>Simulated data — Signed log10 ML error — Assumed M0</x:v>
      </x:c>
      <x:c r="L149" t="str">
        <x:v>Simulated data — Signed log10 ML error — Assumed M0</x:v>
      </x:c>
      <x:c r="M149" t="str">
        <x:v>Simulated data — Signed log10 ML error — Assumed M0</x:v>
      </x:c>
      <x:c r="N149" t="str">
        <x:v>Simulated data — Signed log10 ML error — Assumed M0</x:v>
      </x:c>
      <x:c r="O149" t="str">
        <x:v>Simulated data — Signed log10 ML error — Assumed M0</x:v>
      </x:c>
    </x:row>
    <x:row r="150" ht="19" customHeight="1">
      <x:c r="A150" t="str">
        <x:v>Summary</x:v>
      </x:c>
      <x:c r="B150" t="str">
        <x:v>L2 — FNR</x:v>
      </x:c>
      <x:c r="C150" t="str">
        <x:v>L2 — FPR</x:v>
      </x:c>
      <x:c r="D150" t="str">
        <x:v>L∞ — FNR</x:v>
      </x:c>
      <x:c r="E150" t="str">
        <x:v>L∞ — FPR</x:v>
      </x:c>
      <x:c r="F150" t="str">
        <x:v>Density — FNR</x:v>
      </x:c>
      <x:c r="G150" t="str">
        <x:v>Density — FPR</x:v>
      </x:c>
      <x:c r="H150" t="str">
        <x:v>MMD — FNR</x:v>
      </x:c>
      <x:c r="I150" t="str">
        <x:v>MMD — FPR</x:v>
      </x:c>
      <x:c r="J150"/>
      <x:c r="K150" t="str">
        <x:v>Summary</x:v>
      </x:c>
      <x:c r="L150" t="str">
        <x:v>L2</x:v>
      </x:c>
      <x:c r="M150" t="str">
        <x:v>L∞</x:v>
      </x:c>
      <x:c r="N150" t="str">
        <x:v>Density</x:v>
      </x:c>
      <x:c r="O150" t="str">
        <x:v>MMD</x:v>
      </x:c>
    </x:row>
    <x:row r="151">
      <x:c r="A151" t="str">
        <x:v>S=D</x:v>
      </x:c>
      <x:c r="B151" t="n">
        <x:f>IFERROR('Simulated data'!C128*100,NA())</x:f>
        <x:v>21.428571428571427</x:v>
      </x:c>
      <x:c r="C151" t="n">
        <x:f>IFERROR('Simulated data'!C129*100,NA())</x:f>
        <x:v>14.285714285714285</x:v>
      </x:c>
      <x:c r="D151" t="n">
        <x:f>IFERROR('Simulated data'!D128*100,NA())</x:f>
        <x:v>31.428571428571427</x:v>
      </x:c>
      <x:c r="E151" t="n">
        <x:f>IFERROR('Simulated data'!D129*100,NA())</x:f>
        <x:v>8.16326530612245</x:v>
      </x:c>
      <x:c r="F151" t="n">
        <x:f>IFERROR('Simulated data'!E128*100,NA())</x:f>
        <x:v>17.142857142857142</x:v>
      </x:c>
      <x:c r="G151" t="n">
        <x:f>IFERROR('Simulated data'!E129*100,NA())</x:f>
        <x:v>34.69387755102041</x:v>
      </x:c>
      <x:c r="H151" t="n">
        <x:f>IFERROR('Simulated data'!F128*100,NA())</x:f>
        <x:v>50</x:v>
      </x:c>
      <x:c r="I151" t="n">
        <x:f>IFERROR('Simulated data'!F129*100,NA())</x:f>
        <x:v>6.122448979591836</x:v>
      </x:c>
      <x:c r="J151"/>
      <x:c r="K151" t="str">
        <x:v>S=D</x:v>
      </x:c>
      <x:c r="L151" t="n">
        <x:f>IFERROR('Simulated data'!C131*100,NA())</x:f>
        <x:v>88.600583090379</x:v>
      </x:c>
      <x:c r="M151" t="n">
        <x:f>IFERROR('Simulated data'!D131*100,NA())</x:f>
        <x:v>86.7930029154519</x:v>
      </x:c>
      <x:c r="N151" t="n">
        <x:f>IFERROR('Simulated data'!E131*100,NA())</x:f>
        <x:v>84.40233236151603</x:v>
      </x:c>
      <x:c r="O151" t="n">
        <x:f>IFERROR('Simulated data'!F131*100,NA())</x:f>
        <x:v>84.13994169096209</x:v>
      </x:c>
    </x:row>
    <x:row r="152">
      <x:c r="A152" t="str">
        <x:v>S=2D</x:v>
      </x:c>
      <x:c r="B152" t="n">
        <x:f>IFERROR('Simulated data'!C132*100,NA())</x:f>
        <x:v>24.59016393442623</x:v>
      </x:c>
      <x:c r="C152" t="n">
        <x:f>IFERROR('Simulated data'!C133*100,NA())</x:f>
        <x:v>24.137931034482758</x:v>
      </x:c>
      <x:c r="D152" t="n">
        <x:f>IFERROR('Simulated data'!D132*100,NA())</x:f>
        <x:v>27.86885245901639</x:v>
      </x:c>
      <x:c r="E152" t="n">
        <x:f>IFERROR('Simulated data'!D133*100,NA())</x:f>
        <x:v>24.137931034482758</x:v>
      </x:c>
      <x:c r="F152" t="n">
        <x:f>IFERROR('Simulated data'!E132*100,NA())</x:f>
        <x:v>14.754098360655737</x:v>
      </x:c>
      <x:c r="G152" t="n">
        <x:f>IFERROR('Simulated data'!E133*100,NA())</x:f>
        <x:v>56.896551724137936</x:v>
      </x:c>
      <x:c r="H152" t="n">
        <x:f>IFERROR('Simulated data'!F132*100,NA())</x:f>
        <x:v>42.62295081967213</x:v>
      </x:c>
      <x:c r="I152" t="n">
        <x:f>IFERROR('Simulated data'!F133*100,NA())</x:f>
        <x:v>10.344827586206897</x:v>
      </x:c>
      <x:c r="J152"/>
      <x:c r="K152" t="str">
        <x:v>S=2D</x:v>
      </x:c>
      <x:c r="L152" t="n">
        <x:f>IFERROR('Simulated data'!C135*100,NA())</x:f>
        <x:v>83.3239118145845</x:v>
      </x:c>
      <x:c r="M152" t="n">
        <x:f>IFERROR('Simulated data'!D135*100,NA())</x:f>
        <x:v>81.7976257772753</x:v>
      </x:c>
      <x:c r="N152" t="n">
        <x:f>IFERROR('Simulated data'!E135*100,NA())</x:f>
        <x:v>81.4584511023177</x:v>
      </x:c>
      <x:c r="O152" t="n">
        <x:f>IFERROR('Simulated data'!F135*100,NA())</x:f>
        <x:v>82.5607687959299</x:v>
      </x:c>
    </x:row>
    <x:row r="153">
      <x:c r="A153" t="str">
        <x:v>S=4D</x:v>
      </x:c>
      <x:c r="B153" t="n">
        <x:f>IFERROR('Simulated data'!C136*100,NA())</x:f>
        <x:v>26.865671641791046</x:v>
      </x:c>
      <x:c r="C153" t="n">
        <x:f>IFERROR('Simulated data'!C137*100,NA())</x:f>
        <x:v>26.923076923076923</x:v>
      </x:c>
      <x:c r="D153" t="n">
        <x:f>IFERROR('Simulated data'!D136*100,NA())</x:f>
        <x:v>29.850746268656714</x:v>
      </x:c>
      <x:c r="E153" t="n">
        <x:f>IFERROR('Simulated data'!D137*100,NA())</x:f>
        <x:v>21.153846153846153</x:v>
      </x:c>
      <x:c r="F153" t="n">
        <x:f>IFERROR('Simulated data'!E136*100,NA())</x:f>
        <x:v>14.925373134328357</x:v>
      </x:c>
      <x:c r="G153" t="n">
        <x:f>IFERROR('Simulated data'!E137*100,NA())</x:f>
        <x:v>61.53846153846154</x:v>
      </x:c>
      <x:c r="H153" t="n">
        <x:f>IFERROR('Simulated data'!F136*100,NA())</x:f>
        <x:v>43.28358208955223</x:v>
      </x:c>
      <x:c r="I153" t="n">
        <x:f>IFERROR('Simulated data'!F137*100,NA())</x:f>
        <x:v>15.384615384615385</x:v>
      </x:c>
      <x:c r="J153"/>
      <x:c r="K153" t="str">
        <x:v>S=4D</x:v>
      </x:c>
      <x:c r="L153" t="n">
        <x:f>IFERROR('Simulated data'!C139*100,NA())</x:f>
        <x:v>80.45350172215844</x:v>
      </x:c>
      <x:c r="M153" t="n">
        <x:f>IFERROR('Simulated data'!D139*100,NA())</x:f>
        <x:v>80.0516647531573</x:v>
      </x:c>
      <x:c r="N153" t="n">
        <x:f>IFERROR('Simulated data'!E139*100,NA())</x:f>
        <x:v>76.23421354764638</x:v>
      </x:c>
      <x:c r="O153" t="n">
        <x:f>IFERROR('Simulated data'!F139*100,NA())</x:f>
        <x:v>79.8507462686567</x:v>
      </x:c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</x:row>
    <x:row r="155">
      <x:c r="A155" t="str">
        <x:v>Simulated data — Signed log10 ML error — Assumed M2</x:v>
      </x:c>
      <x:c r="B155" t="str">
        <x:v>Simulated data — Signed log10 ML error — Assumed M2</x:v>
      </x:c>
      <x:c r="C155" t="str">
        <x:v>Simulated data — Signed log10 ML error — Assumed M2</x:v>
      </x:c>
      <x:c r="D155" t="str">
        <x:v>Simulated data — Signed log10 ML error — Assumed M2</x:v>
      </x:c>
      <x:c r="E155" t="str">
        <x:v>Simulated data — Signed log10 ML error — Assumed M2</x:v>
      </x:c>
      <x:c r="F155" t="str">
        <x:v>Simulated data — Signed log10 ML error — Assumed M2</x:v>
      </x:c>
      <x:c r="G155" t="str">
        <x:v>Simulated data — Signed log10 ML error — Assumed M2</x:v>
      </x:c>
      <x:c r="H155" t="str">
        <x:v>Simulated data — Signed log10 ML error — Assumed M2</x:v>
      </x:c>
      <x:c r="I155" t="str">
        <x:v>Simulated data — Signed log10 ML error — Assumed M2</x:v>
      </x:c>
      <x:c r="J155" t="str">
        <x:v>Simulated data — Signed log10 ML error — Assumed M2</x:v>
      </x:c>
      <x:c r="K155" t="str">
        <x:v>Simulated data — Signed log10 ML error — Assumed M2</x:v>
      </x:c>
      <x:c r="L155" t="str">
        <x:v>Simulated data — Signed log10 ML error — Assumed M2</x:v>
      </x:c>
      <x:c r="M155" t="str">
        <x:v>Simulated data — Signed log10 ML error — Assumed M2</x:v>
      </x:c>
      <x:c r="N155" t="str">
        <x:v>Simulated data — Signed log10 ML error — Assumed M2</x:v>
      </x:c>
      <x:c r="O155" t="str">
        <x:v>Simulated data — Signed log10 ML error — Assumed M2</x:v>
      </x:c>
    </x:row>
    <x:row r="156">
      <x:c r="A156" t="str">
        <x:v>Summary</x:v>
      </x:c>
      <x:c r="B156" t="str">
        <x:v>L2 — FNR</x:v>
      </x:c>
      <x:c r="C156" t="str">
        <x:v>L2 — FPR</x:v>
      </x:c>
      <x:c r="D156" t="str">
        <x:v>L∞ — FNR</x:v>
      </x:c>
      <x:c r="E156" t="str">
        <x:v>L∞ — FPR</x:v>
      </x:c>
      <x:c r="F156" t="str">
        <x:v>Density — FNR</x:v>
      </x:c>
      <x:c r="G156" t="str">
        <x:v>Density — FPR</x:v>
      </x:c>
      <x:c r="H156" t="str">
        <x:v>MMD — FNR</x:v>
      </x:c>
      <x:c r="I156" t="str">
        <x:v>MMD — FPR</x:v>
      </x:c>
      <x:c r="J156"/>
      <x:c r="K156" t="str">
        <x:v>Summary</x:v>
      </x:c>
      <x:c r="L156" t="str">
        <x:v>L2</x:v>
      </x:c>
      <x:c r="M156" t="str">
        <x:v>L∞</x:v>
      </x:c>
      <x:c r="N156" t="str">
        <x:v>Density</x:v>
      </x:c>
      <x:c r="O156" t="str">
        <x:v>MMD</x:v>
      </x:c>
    </x:row>
    <x:row r="157">
      <x:c r="A157" t="str">
        <x:v>S=D</x:v>
      </x:c>
      <x:c r="B157" t="n">
        <x:f>IFERROR('Simulated data'!C148*100,NA())</x:f>
        <x:v>31.428571428571427</x:v>
      </x:c>
      <x:c r="C157" t="n">
        <x:f>IFERROR('Simulated data'!C149*100,NA())</x:f>
        <x:v>20.238095238095237</x:v>
      </x:c>
      <x:c r="D157" t="n">
        <x:f>IFERROR('Simulated data'!D148*100,NA())</x:f>
        <x:v>31.428571428571427</x:v>
      </x:c>
      <x:c r="E157" t="n">
        <x:f>IFERROR('Simulated data'!D149*100,NA())</x:f>
        <x:v>16.666666666666664</x:v>
      </x:c>
      <x:c r="F157" t="n">
        <x:f>IFERROR('Simulated data'!E148*100,NA())</x:f>
        <x:v>42.857142857142854</x:v>
      </x:c>
      <x:c r="G157" t="n">
        <x:f>IFERROR('Simulated data'!E149*100,NA())</x:f>
        <x:v>34.523809523809526</x:v>
      </x:c>
      <x:c r="H157" t="n">
        <x:f>IFERROR('Simulated data'!F148*100,NA())</x:f>
        <x:v>74.28571428571429</x:v>
      </x:c>
      <x:c r="I157" t="n">
        <x:f>IFERROR('Simulated data'!F149*100,NA())</x:f>
        <x:v>4.761904761904762</x:v>
      </x:c>
      <x:c r="J157"/>
      <x:c r="K157" t="str">
        <x:v>S=D</x:v>
      </x:c>
      <x:c r="L157" t="n">
        <x:f>IFERROR('Simulated data'!C151*100,NA())</x:f>
        <x:v>83.63945578231292</x:v>
      </x:c>
      <x:c r="M157" t="n">
        <x:f>IFERROR('Simulated data'!D151*100,NA())</x:f>
        <x:v>79.08163265306123</x:v>
      </x:c>
      <x:c r="N157" t="n">
        <x:f>IFERROR('Simulated data'!E151*100,NA())</x:f>
        <x:v>75.03401360544217</x:v>
      </x:c>
      <x:c r="O157" t="n">
        <x:f>IFERROR('Simulated data'!F151*100,NA())</x:f>
        <x:v>81.97278911564626</x:v>
      </x:c>
    </x:row>
    <x:row r="158">
      <x:c r="A158" t="str">
        <x:v>S=2D</x:v>
      </x:c>
      <x:c r="B158" t="n">
        <x:f>IFERROR('Simulated data'!C152*100,NA())</x:f>
        <x:v>50</x:v>
      </x:c>
      <x:c r="C158" t="n">
        <x:f>IFERROR('Simulated data'!C153*100,NA())</x:f>
        <x:v>30.136986301369863</x:v>
      </x:c>
      <x:c r="D158" t="n">
        <x:f>IFERROR('Simulated data'!D152*100,NA())</x:f>
        <x:v>54.347826086956516</x:v>
      </x:c>
      <x:c r="E158" t="n">
        <x:f>IFERROR('Simulated data'!D153*100,NA())</x:f>
        <x:v>21.91780821917808</x:v>
      </x:c>
      <x:c r="F158" t="n">
        <x:f>IFERROR('Simulated data'!E152*100,NA())</x:f>
        <x:v>21.73913043478261</x:v>
      </x:c>
      <x:c r="G158" t="n">
        <x:f>IFERROR('Simulated data'!E153*100,NA())</x:f>
        <x:v>61.64383561643836</x:v>
      </x:c>
      <x:c r="H158" t="n">
        <x:f>IFERROR('Simulated data'!F152*100,NA())</x:f>
        <x:v>65.21739130434783</x:v>
      </x:c>
      <x:c r="I158" t="n">
        <x:f>IFERROR('Simulated data'!F153*100,NA())</x:f>
        <x:v>20.54794520547945</x:v>
      </x:c>
      <x:c r="J158"/>
      <x:c r="K158" t="str">
        <x:v>S=2D</x:v>
      </x:c>
      <x:c r="L158" t="n">
        <x:f>IFERROR('Simulated data'!C155*100,NA())</x:f>
        <x:v>61.16736152471709</x:v>
      </x:c>
      <x:c r="M158" t="n">
        <x:f>IFERROR('Simulated data'!D155*100,NA())</x:f>
        <x:v>64.05598570577725</x:v>
      </x:c>
      <x:c r="N158" t="n">
        <x:f>IFERROR('Simulated data'!E155*100,NA())</x:f>
        <x:v>68.91006551518761</x:v>
      </x:c>
      <x:c r="O158" t="n">
        <x:f>IFERROR('Simulated data'!F155*100,NA())</x:f>
        <x:v>55.56879094699225</x:v>
      </x:c>
    </x:row>
    <x:row r="159">
      <x:c r="A159" t="str">
        <x:v>S=4D</x:v>
      </x:c>
      <x:c r="B159" t="n">
        <x:f>IFERROR('Simulated data'!C156*100,NA())</x:f>
        <x:v>41.17647058823529</x:v>
      </x:c>
      <x:c r="C159" t="n">
        <x:f>IFERROR('Simulated data'!C157*100,NA())</x:f>
        <x:v>29.411764705882355</x:v>
      </x:c>
      <x:c r="D159" t="n">
        <x:f>IFERROR('Simulated data'!D156*100,NA())</x:f>
        <x:v>41.17647058823529</x:v>
      </x:c>
      <x:c r="E159" t="n">
        <x:f>IFERROR('Simulated data'!D157*100,NA())</x:f>
        <x:v>30.58823529411765</x:v>
      </x:c>
      <x:c r="F159" t="n">
        <x:f>IFERROR('Simulated data'!E156*100,NA())</x:f>
        <x:v>14.705882352941178</x:v>
      </x:c>
      <x:c r="G159" t="n">
        <x:f>IFERROR('Simulated data'!E157*100,NA())</x:f>
        <x:v>54.11764705882353</x:v>
      </x:c>
      <x:c r="H159" t="n">
        <x:f>IFERROR('Simulated data'!F156*100,NA())</x:f>
        <x:v>58.82352941176471</x:v>
      </x:c>
      <x:c r="I159" t="n">
        <x:f>IFERROR('Simulated data'!F157*100,NA())</x:f>
        <x:v>23.52941176470588</x:v>
      </x:c>
      <x:c r="J159"/>
      <x:c r="K159" t="str">
        <x:v>S=4D</x:v>
      </x:c>
      <x:c r="L159" t="n">
        <x:f>IFERROR('Simulated data'!C159*100,NA())</x:f>
        <x:v>69.51557093425606</x:v>
      </x:c>
      <x:c r="M159" t="n">
        <x:f>IFERROR('Simulated data'!D159*100,NA())</x:f>
        <x:v>67.95847750865052</x:v>
      </x:c>
      <x:c r="N159" t="n">
        <x:f>IFERROR('Simulated data'!E159*100,NA())</x:f>
        <x:v>69.55017301038062</x:v>
      </x:c>
      <x:c r="O159" t="n">
        <x:f>IFERROR('Simulated data'!F159*100,NA())</x:f>
        <x:v>62.59515570934256</x:v>
      </x:c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</x:row>
    <x:row r="161">
      <x:c r="A161" t="str">
        <x:v>Simulated data — Signed PMP error — Assumed M0</x:v>
      </x:c>
      <x:c r="B161" t="str">
        <x:v>Simulated data — Signed PMP error — Assumed M0</x:v>
      </x:c>
      <x:c r="C161" t="str">
        <x:v>Simulated data — Signed PMP error — Assumed M0</x:v>
      </x:c>
      <x:c r="D161" t="str">
        <x:v>Simulated data — Signed PMP error — Assumed M0</x:v>
      </x:c>
      <x:c r="E161" t="str">
        <x:v>Simulated data — Signed PMP error — Assumed M0</x:v>
      </x:c>
      <x:c r="F161" t="str">
        <x:v>Simulated data — Signed PMP error — Assumed M0</x:v>
      </x:c>
      <x:c r="G161" t="str">
        <x:v>Simulated data — Signed PMP error — Assumed M0</x:v>
      </x:c>
      <x:c r="H161" t="str">
        <x:v>Simulated data — Signed PMP error — Assumed M0</x:v>
      </x:c>
      <x:c r="I161" t="str">
        <x:v>Simulated data — Signed PMP error — Assumed M0</x:v>
      </x:c>
      <x:c r="J161" t="str">
        <x:v>Simulated data — Signed PMP error — Assumed M0</x:v>
      </x:c>
      <x:c r="K161" t="str">
        <x:v>Simulated data — Signed PMP error — Assumed M0</x:v>
      </x:c>
      <x:c r="L161" t="str">
        <x:v>Simulated data — Signed PMP error — Assumed M0</x:v>
      </x:c>
      <x:c r="M161" t="str">
        <x:v>Simulated data — Signed PMP error — Assumed M0</x:v>
      </x:c>
      <x:c r="N161" t="str">
        <x:v>Simulated data — Signed PMP error — Assumed M0</x:v>
      </x:c>
      <x:c r="O161" t="str">
        <x:v>Simulated data — Signed PMP error — Assumed M0</x:v>
      </x:c>
    </x:row>
    <x:row r="162">
      <x:c r="A162" t="str">
        <x:v>Summary</x:v>
      </x:c>
      <x:c r="B162" t="str">
        <x:v>L2 — FNR</x:v>
      </x:c>
      <x:c r="C162" t="str">
        <x:v>L2 — FPR</x:v>
      </x:c>
      <x:c r="D162" t="str">
        <x:v>L∞ — FNR</x:v>
      </x:c>
      <x:c r="E162" t="str">
        <x:v>L∞ — FPR</x:v>
      </x:c>
      <x:c r="F162" t="str">
        <x:v>Density — FNR</x:v>
      </x:c>
      <x:c r="G162" t="str">
        <x:v>Density — FPR</x:v>
      </x:c>
      <x:c r="H162" t="str">
        <x:v>MMD — FNR</x:v>
      </x:c>
      <x:c r="I162" t="str">
        <x:v>MMD — FPR</x:v>
      </x:c>
      <x:c r="J162"/>
      <x:c r="K162" t="str">
        <x:v>Summary</x:v>
      </x:c>
      <x:c r="L162" t="str">
        <x:v>L2</x:v>
      </x:c>
      <x:c r="M162" t="str">
        <x:v>L∞</x:v>
      </x:c>
      <x:c r="N162" t="str">
        <x:v>Density</x:v>
      </x:c>
      <x:c r="O162" t="str">
        <x:v>MMD</x:v>
      </x:c>
    </x:row>
    <x:row r="163">
      <x:c r="A163" t="str">
        <x:v>S=D</x:v>
      </x:c>
      <x:c r="B163" t="n">
        <x:f>IFERROR('Simulated data'!C168*100,NA())</x:f>
        <x:v>83.33333333333334</x:v>
      </x:c>
      <x:c r="C163" t="n">
        <x:f>IFERROR('Simulated data'!C169*100,NA())</x:f>
        <x:v>53.98230088495575</x:v>
      </x:c>
      <x:c r="D163" t="n">
        <x:f>IFERROR('Simulated data'!D168*100,NA())</x:f>
        <x:v>83.33333333333334</x:v>
      </x:c>
      <x:c r="E163" t="n">
        <x:f>IFERROR('Simulated data'!D169*100,NA())</x:f>
        <x:v>45.13274336283185</x:v>
      </x:c>
      <x:c r="F163" t="n">
        <x:f>IFERROR('Simulated data'!E168*100,NA())</x:f>
        <x:v>83.33333333333334</x:v>
      </x:c>
      <x:c r="G163" t="n">
        <x:f>IFERROR('Simulated data'!E169*100,NA())</x:f>
        <x:v>65.48672566371681</x:v>
      </x:c>
      <x:c r="H163" t="n">
        <x:f>IFERROR('Simulated data'!F168*100,NA())</x:f>
        <x:v>100</x:v>
      </x:c>
      <x:c r="I163" t="n">
        <x:f>IFERROR('Simulated data'!F169*100,NA())</x:f>
        <x:v>33.6283185840708</x:v>
      </x:c>
      <x:c r="J163"/>
      <x:c r="K163" t="str">
        <x:v>S=D</x:v>
      </x:c>
      <x:c r="L163" t="n">
        <x:f>IFERROR('Simulated data'!C171*100,NA())</x:f>
        <x:v>31.710914454277283</x:v>
      </x:c>
      <x:c r="M163" t="n">
        <x:f>IFERROR('Simulated data'!D171*100,NA())</x:f>
        <x:v>27.43362831858407</x:v>
      </x:c>
      <x:c r="N163" t="n">
        <x:f>IFERROR('Simulated data'!E171*100,NA())</x:f>
        <x:v>26.10619469026549</x:v>
      </x:c>
      <x:c r="O163" t="n">
        <x:f>IFERROR('Simulated data'!F171*100,NA())</x:f>
        <x:v>42.47787610619469</x:v>
      </x:c>
    </x:row>
    <x:row r="164">
      <x:c r="A164" t="str">
        <x:v>S=2D</x:v>
      </x:c>
      <x:c r="B164" t="n">
        <x:f>IFERROR('Simulated data'!C172*100,NA())</x:f>
        <x:v>75</x:v>
      </x:c>
      <x:c r="C164" t="n">
        <x:f>IFERROR('Simulated data'!C173*100,NA())</x:f>
        <x:v>51.30434782608696</x:v>
      </x:c>
      <x:c r="D164" t="n">
        <x:f>IFERROR('Simulated data'!D172*100,NA())</x:f>
        <x:v>100</x:v>
      </x:c>
      <x:c r="E164" t="n">
        <x:f>IFERROR('Simulated data'!D173*100,NA())</x:f>
        <x:v>50.43478260869565</x:v>
      </x:c>
      <x:c r="F164" t="n">
        <x:f>IFERROR('Simulated data'!E172*100,NA())</x:f>
        <x:v>75</x:v>
      </x:c>
      <x:c r="G164" t="n">
        <x:f>IFERROR('Simulated data'!E173*100,NA())</x:f>
        <x:v>73.04347826086956</x:v>
      </x:c>
      <x:c r="H164" t="n">
        <x:f>IFERROR('Simulated data'!F172*100,NA())</x:f>
        <x:v>100</x:v>
      </x:c>
      <x:c r="I164" t="n">
        <x:f>IFERROR('Simulated data'!F173*100,NA())</x:f>
        <x:v>35.65217391304348</x:v>
      </x:c>
      <x:c r="J164"/>
      <x:c r="K164" t="str">
        <x:v>S=2D</x:v>
      </x:c>
      <x:c r="L164" t="n">
        <x:f>IFERROR('Simulated data'!C175*100,NA())</x:f>
        <x:v>40.21739130434783</x:v>
      </x:c>
      <x:c r="M164" t="n">
        <x:f>IFERROR('Simulated data'!D175*100,NA())</x:f>
        <x:v>41.30434782608695</x:v>
      </x:c>
      <x:c r="N164" t="n">
        <x:f>IFERROR('Simulated data'!E175*100,NA())</x:f>
        <x:v>30.434782608695656</x:v>
      </x:c>
      <x:c r="O164" t="n">
        <x:f>IFERROR('Simulated data'!F175*100,NA())</x:f>
        <x:v>50.65217391304348</x:v>
      </x:c>
    </x:row>
    <x:row r="165">
      <x:c r="A165" t="str">
        <x:v>S=4D</x:v>
      </x:c>
      <x:c r="B165" t="n">
        <x:f>IFERROR('Simulated data'!C176*100,NA())</x:f>
        <x:v>100</x:v>
      </x:c>
      <x:c r="C165" t="n">
        <x:f>IFERROR('Simulated data'!C177*100,NA())</x:f>
        <x:v>54.78260869565217</x:v>
      </x:c>
      <x:c r="D165" t="n">
        <x:f>IFERROR('Simulated data'!D176*100,NA())</x:f>
        <x:v>100</x:v>
      </x:c>
      <x:c r="E165" t="n">
        <x:f>IFERROR('Simulated data'!D177*100,NA())</x:f>
        <x:v>50.43478260869565</x:v>
      </x:c>
      <x:c r="F165" t="n">
        <x:f>IFERROR('Simulated data'!E176*100,NA())</x:f>
        <x:v>100</x:v>
      </x:c>
      <x:c r="G165" t="n">
        <x:f>IFERROR('Simulated data'!E177*100,NA())</x:f>
        <x:v>77.39130434782608</x:v>
      </x:c>
      <x:c r="H165" t="n">
        <x:f>IFERROR('Simulated data'!F176*100,NA())</x:f>
        <x:v>100</x:v>
      </x:c>
      <x:c r="I165" t="n">
        <x:f>IFERROR('Simulated data'!F177*100,NA())</x:f>
        <x:v>40</x:v>
      </x:c>
      <x:c r="J165"/>
      <x:c r="K165" t="str">
        <x:v>S=4D</x:v>
      </x:c>
      <x:c r="L165" t="n">
        <x:f>IFERROR('Simulated data'!C179*100,NA())</x:f>
        <x:v>23.47826086956522</x:v>
      </x:c>
      <x:c r="M165" t="n">
        <x:f>IFERROR('Simulated data'!D179*100,NA())</x:f>
        <x:v>21.956521739130437</x:v>
      </x:c>
      <x:c r="N165" t="n">
        <x:f>IFERROR('Simulated data'!E179*100,NA())</x:f>
        <x:v>12.82608695652174</x:v>
      </x:c>
      <x:c r="O165" t="n">
        <x:f>IFERROR('Simulated data'!F179*100,NA())</x:f>
        <x:v>34.78260869565217</x:v>
      </x:c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</x:row>
    <x:row r="167">
      <x:c r="A167" t="str">
        <x:v>Simulated data — Signed PMP error — Assumed M2</x:v>
      </x:c>
      <x:c r="B167" t="str">
        <x:v>Simulated data — Signed PMP error — Assumed M2</x:v>
      </x:c>
      <x:c r="C167" t="str">
        <x:v>Simulated data — Signed PMP error — Assumed M2</x:v>
      </x:c>
      <x:c r="D167" t="str">
        <x:v>Simulated data — Signed PMP error — Assumed M2</x:v>
      </x:c>
      <x:c r="E167" t="str">
        <x:v>Simulated data — Signed PMP error — Assumed M2</x:v>
      </x:c>
      <x:c r="F167" t="str">
        <x:v>Simulated data — Signed PMP error — Assumed M2</x:v>
      </x:c>
      <x:c r="G167" t="str">
        <x:v>Simulated data — Signed PMP error — Assumed M2</x:v>
      </x:c>
      <x:c r="H167" t="str">
        <x:v>Simulated data — Signed PMP error — Assumed M2</x:v>
      </x:c>
      <x:c r="I167" t="str">
        <x:v>Simulated data — Signed PMP error — Assumed M2</x:v>
      </x:c>
      <x:c r="J167" t="str">
        <x:v>Simulated data — Signed PMP error — Assumed M2</x:v>
      </x:c>
      <x:c r="K167" t="str">
        <x:v>Simulated data — Signed PMP error — Assumed M2</x:v>
      </x:c>
      <x:c r="L167" t="str">
        <x:v>Simulated data — Signed PMP error — Assumed M2</x:v>
      </x:c>
      <x:c r="M167" t="str">
        <x:v>Simulated data — Signed PMP error — Assumed M2</x:v>
      </x:c>
      <x:c r="N167" t="str">
        <x:v>Simulated data — Signed PMP error — Assumed M2</x:v>
      </x:c>
      <x:c r="O167" t="str">
        <x:v>Simulated data — Signed PMP error — Assumed M2</x:v>
      </x:c>
    </x:row>
    <x:row r="168">
      <x:c r="A168" t="str">
        <x:v>Summary</x:v>
      </x:c>
      <x:c r="B168" t="str">
        <x:v>L2 — FNR</x:v>
      </x:c>
      <x:c r="C168" t="str">
        <x:v>L2 — FPR</x:v>
      </x:c>
      <x:c r="D168" t="str">
        <x:v>L∞ — FNR</x:v>
      </x:c>
      <x:c r="E168" t="str">
        <x:v>L∞ — FPR</x:v>
      </x:c>
      <x:c r="F168" t="str">
        <x:v>Density — FNR</x:v>
      </x:c>
      <x:c r="G168" t="str">
        <x:v>Density — FPR</x:v>
      </x:c>
      <x:c r="H168" t="str">
        <x:v>MMD — FNR</x:v>
      </x:c>
      <x:c r="I168" t="str">
        <x:v>MMD — FPR</x:v>
      </x:c>
      <x:c r="J168"/>
      <x:c r="K168" t="str">
        <x:v>Summary</x:v>
      </x:c>
      <x:c r="L168" t="str">
        <x:v>L2</x:v>
      </x:c>
      <x:c r="M168" t="str">
        <x:v>L∞</x:v>
      </x:c>
      <x:c r="N168" t="str">
        <x:v>Density</x:v>
      </x:c>
      <x:c r="O168" t="str">
        <x:v>MMD</x:v>
      </x:c>
    </x:row>
    <x:row r="169">
      <x:c r="A169" t="str">
        <x:v>S=D</x:v>
      </x:c>
      <x:c r="B169" t="n">
        <x:f>IFERROR('Simulated data'!C188*100,NA())</x:f>
        <x:v>73.33333333333333</x:v>
      </x:c>
      <x:c r="C169" t="n">
        <x:f>IFERROR('Simulated data'!C189*100,NA())</x:f>
        <x:v>35.57692307692308</x:v>
      </x:c>
      <x:c r="D169" t="n">
        <x:f>IFERROR('Simulated data'!D188*100,NA())</x:f>
        <x:v>66.66666666666666</x:v>
      </x:c>
      <x:c r="E169" t="n">
        <x:f>IFERROR('Simulated data'!D189*100,NA())</x:f>
        <x:v>31.73076923076923</x:v>
      </x:c>
      <x:c r="F169" t="n">
        <x:f>IFERROR('Simulated data'!E188*100,NA())</x:f>
        <x:v>60</x:v>
      </x:c>
      <x:c r="G169" t="n">
        <x:f>IFERROR('Simulated data'!E189*100,NA())</x:f>
        <x:v>41.34615384615385</x:v>
      </x:c>
      <x:c r="H169" t="n">
        <x:f>IFERROR('Simulated data'!F188*100,NA())</x:f>
        <x:v>100</x:v>
      </x:c>
      <x:c r="I169" t="n">
        <x:f>IFERROR('Simulated data'!F189*100,NA())</x:f>
        <x:v>12.5</x:v>
      </x:c>
      <x:c r="J169"/>
      <x:c r="K169" t="str">
        <x:v>S=D</x:v>
      </x:c>
      <x:c r="L169" t="n">
        <x:f>IFERROR('Simulated data'!C191*100,NA())</x:f>
        <x:v>47.69230769230769</x:v>
      </x:c>
      <x:c r="M169" t="n">
        <x:f>IFERROR('Simulated data'!D191*100,NA())</x:f>
        <x:v>47.11538461538461</x:v>
      </x:c>
      <x:c r="N169" t="n">
        <x:f>IFERROR('Simulated data'!E191*100,NA())</x:f>
        <x:v>48.97435897435897</x:v>
      </x:c>
      <x:c r="O169" t="n">
        <x:f>IFERROR('Simulated data'!F191*100,NA())</x:f>
        <x:v>50.641025641025635</x:v>
      </x:c>
    </x:row>
    <x:row r="170">
      <x:c r="A170" t="str">
        <x:v>S=2D</x:v>
      </x:c>
      <x:c r="B170" t="n">
        <x:f>IFERROR('Simulated data'!C192*100,NA())</x:f>
        <x:v>63.1578947368421</x:v>
      </x:c>
      <x:c r="C170" t="n">
        <x:f>IFERROR('Simulated data'!C193*100,NA())</x:f>
        <x:v>38</x:v>
      </x:c>
      <x:c r="D170" t="n">
        <x:f>IFERROR('Simulated data'!D192*100,NA())</x:f>
        <x:v>73.68421052631578</x:v>
      </x:c>
      <x:c r="E170" t="n">
        <x:f>IFERROR('Simulated data'!D193*100,NA())</x:f>
        <x:v>32</x:v>
      </x:c>
      <x:c r="F170" t="n">
        <x:f>IFERROR('Simulated data'!E192*100,NA())</x:f>
        <x:v>63.1578947368421</x:v>
      </x:c>
      <x:c r="G170" t="n">
        <x:f>IFERROR('Simulated data'!E193*100,NA())</x:f>
        <x:v>74</x:v>
      </x:c>
      <x:c r="H170" t="n">
        <x:f>IFERROR('Simulated data'!F192*100,NA())</x:f>
        <x:v>84.21052631578947</x:v>
      </x:c>
      <x:c r="I170" t="n">
        <x:f>IFERROR('Simulated data'!F193*100,NA())</x:f>
        <x:v>28.000000000000004</x:v>
      </x:c>
      <x:c r="J170"/>
      <x:c r="K170" t="str">
        <x:v>S=2D</x:v>
      </x:c>
      <x:c r="L170" t="n">
        <x:f>IFERROR('Simulated data'!C195*100,NA())</x:f>
        <x:v>43.84210526315789</x:v>
      </x:c>
      <x:c r="M170" t="n">
        <x:f>IFERROR('Simulated data'!D195*100,NA())</x:f>
        <x:v>43.89473684210527</x:v>
      </x:c>
      <x:c r="N170" t="n">
        <x:f>IFERROR('Simulated data'!E195*100,NA())</x:f>
        <x:v>27.684210526315788</x:v>
      </x:c>
      <x:c r="O170" t="n">
        <x:f>IFERROR('Simulated data'!F195*100,NA())</x:f>
        <x:v>47.68421052631579</x:v>
      </x:c>
    </x:row>
    <x:row r="171">
      <x:c r="A171" t="str">
        <x:v>S=4D</x:v>
      </x:c>
      <x:c r="B171" t="n">
        <x:f>IFERROR('Simulated data'!C196*100,NA())</x:f>
        <x:v>70.58823529411765</x:v>
      </x:c>
      <x:c r="C171" t="n">
        <x:f>IFERROR('Simulated data'!C197*100,NA())</x:f>
        <x:v>39.21568627450981</x:v>
      </x:c>
      <x:c r="D171" t="n">
        <x:f>IFERROR('Simulated data'!D196*100,NA())</x:f>
        <x:v>76.47058823529412</x:v>
      </x:c>
      <x:c r="E171" t="n">
        <x:f>IFERROR('Simulated data'!D197*100,NA())</x:f>
        <x:v>41.17647058823529</x:v>
      </x:c>
      <x:c r="F171" t="n">
        <x:f>IFERROR('Simulated data'!E196*100,NA())</x:f>
        <x:v>70.58823529411765</x:v>
      </x:c>
      <x:c r="G171" t="n">
        <x:f>IFERROR('Simulated data'!E197*100,NA())</x:f>
        <x:v>68.62745098039215</x:v>
      </x:c>
      <x:c r="H171" t="n">
        <x:f>IFERROR('Simulated data'!F196*100,NA())</x:f>
        <x:v>82.35294117647058</x:v>
      </x:c>
      <x:c r="I171" t="n">
        <x:f>IFERROR('Simulated data'!F197*100,NA())</x:f>
        <x:v>30.392156862745097</x:v>
      </x:c>
      <x:c r="J171"/>
      <x:c r="K171" t="str">
        <x:v>S=4D</x:v>
      </x:c>
      <x:c r="L171" t="n">
        <x:f>IFERROR('Simulated data'!C199*100,NA())</x:f>
        <x:v>39.504036908881204</x:v>
      </x:c>
      <x:c r="M171" t="n">
        <x:f>IFERROR('Simulated data'!D199*100,NA())</x:f>
        <x:v>38.63898500576701</x:v>
      </x:c>
      <x:c r="N171" t="n">
        <x:f>IFERROR('Simulated data'!E199*100,NA())</x:f>
        <x:v>33.73702422145329</x:v>
      </x:c>
      <x:c r="O171" t="n">
        <x:f>IFERROR('Simulated data'!F199*100,NA())</x:f>
        <x:v>46.88581314878893</x:v>
      </x:c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</x:row>
    <x:row r="173">
      <x:c r="A173" t="str">
        <x:v>Simulated data — Posterior MMD — Assumed M0</x:v>
      </x:c>
      <x:c r="B173" t="str">
        <x:v>Simulated data — Posterior MMD — Assumed M0</x:v>
      </x:c>
      <x:c r="C173" t="str">
        <x:v>Simulated data — Posterior MMD — Assumed M0</x:v>
      </x:c>
      <x:c r="D173" t="str">
        <x:v>Simulated data — Posterior MMD — Assumed M0</x:v>
      </x:c>
      <x:c r="E173" t="str">
        <x:v>Simulated data — Posterior MMD — Assumed M0</x:v>
      </x:c>
      <x:c r="F173" t="str">
        <x:v>Simulated data — Posterior MMD — Assumed M0</x:v>
      </x:c>
      <x:c r="G173" t="str">
        <x:v>Simulated data — Posterior MMD — Assumed M0</x:v>
      </x:c>
      <x:c r="H173" t="str">
        <x:v>Simulated data — Posterior MMD — Assumed M0</x:v>
      </x:c>
      <x:c r="I173" t="str">
        <x:v>Simulated data — Posterior MMD — Assumed M0</x:v>
      </x:c>
      <x:c r="J173" t="str">
        <x:v>Simulated data — Posterior MMD — Assumed M0</x:v>
      </x:c>
      <x:c r="K173" t="str">
        <x:v>Simulated data — Posterior MMD — Assumed M0</x:v>
      </x:c>
      <x:c r="L173" t="str">
        <x:v>Simulated data — Posterior MMD — Assumed M0</x:v>
      </x:c>
      <x:c r="M173" t="str">
        <x:v>Simulated data — Posterior MMD — Assumed M0</x:v>
      </x:c>
      <x:c r="N173" t="str">
        <x:v>Simulated data — Posterior MMD — Assumed M0</x:v>
      </x:c>
      <x:c r="O173" t="str">
        <x:v>Simulated data — Posterior MMD — Assumed M0</x:v>
      </x:c>
    </x:row>
    <x:row r="174">
      <x:c r="A174" t="str">
        <x:v>Summary</x:v>
      </x:c>
      <x:c r="B174" t="str">
        <x:v>L2 — FNR</x:v>
      </x:c>
      <x:c r="C174" t="str">
        <x:v>L2 — FPR</x:v>
      </x:c>
      <x:c r="D174" t="str">
        <x:v>L∞ — FNR</x:v>
      </x:c>
      <x:c r="E174" t="str">
        <x:v>L∞ — FPR</x:v>
      </x:c>
      <x:c r="F174" t="str">
        <x:v>Density — FNR</x:v>
      </x:c>
      <x:c r="G174" t="str">
        <x:v>Density — FPR</x:v>
      </x:c>
      <x:c r="H174" t="str">
        <x:v>MMD — FNR</x:v>
      </x:c>
      <x:c r="I174" t="str">
        <x:v>MMD — FPR</x:v>
      </x:c>
      <x:c r="J174"/>
      <x:c r="K174" t="str">
        <x:v>Summary</x:v>
      </x:c>
      <x:c r="L174" t="str">
        <x:v>L2</x:v>
      </x:c>
      <x:c r="M174" t="str">
        <x:v>L∞</x:v>
      </x:c>
      <x:c r="N174" t="str">
        <x:v>Density</x:v>
      </x:c>
      <x:c r="O174" t="str">
        <x:v>MMD</x:v>
      </x:c>
    </x:row>
    <x:row r="175">
      <x:c r="A175" t="str">
        <x:v>S=D</x:v>
      </x:c>
      <x:c r="B175" t="n">
        <x:f>IFERROR('Simulated data'!C208*100,NA())</x:f>
        <x:v>23.684210526315788</x:v>
      </x:c>
      <x:c r="C175" t="n">
        <x:f>IFERROR('Simulated data'!C209*100,NA())</x:f>
        <x:v>9.30232558139535</x:v>
      </x:c>
      <x:c r="D175" t="n">
        <x:f>IFERROR('Simulated data'!D208*100,NA())</x:f>
        <x:v>36.84210526315789</x:v>
      </x:c>
      <x:c r="E175" t="n">
        <x:f>IFERROR('Simulated data'!D209*100,NA())</x:f>
        <x:v>9.30232558139535</x:v>
      </x:c>
      <x:c r="F175" t="n">
        <x:f>IFERROR('Simulated data'!E208*100,NA())</x:f>
        <x:v>18.421052631578945</x:v>
      </x:c>
      <x:c r="G175" t="n">
        <x:f>IFERROR('Simulated data'!E209*100,NA())</x:f>
        <x:v>30.23255813953488</x:v>
      </x:c>
      <x:c r="H175" t="n">
        <x:f>IFERROR('Simulated data'!F208*100,NA())</x:f>
        <x:v>51.31578947368421</x:v>
      </x:c>
      <x:c r="I175" t="n">
        <x:f>IFERROR('Simulated data'!F209*100,NA())</x:f>
        <x:v>2.3255813953488373</x:v>
      </x:c>
      <x:c r="J175"/>
      <x:c r="K175" t="str">
        <x:v>S=D</x:v>
      </x:c>
      <x:c r="L175" t="n">
        <x:f>IFERROR('Simulated data'!C211*100,NA())</x:f>
        <x:v>90.82007343941248</x:v>
      </x:c>
      <x:c r="M175" t="n">
        <x:f>IFERROR('Simulated data'!D211*100,NA())</x:f>
        <x:v>87.82129742962056</x:v>
      </x:c>
      <x:c r="N175" t="n">
        <x:f>IFERROR('Simulated data'!E211*100,NA())</x:f>
        <x:v>86.47490820073439</x:v>
      </x:c>
      <x:c r="O175" t="n">
        <x:f>IFERROR('Simulated data'!F211*100,NA())</x:f>
        <x:v>85.09791921664626</x:v>
      </x:c>
    </x:row>
    <x:row r="176">
      <x:c r="A176" t="str">
        <x:v>S=2D</x:v>
      </x:c>
      <x:c r="B176" t="n">
        <x:f>IFERROR('Simulated data'!C212*100,NA())</x:f>
        <x:v>17.647058823529413</x:v>
      </x:c>
      <x:c r="C176" t="n">
        <x:f>IFERROR('Simulated data'!C213*100,NA())</x:f>
        <x:v>7.8431372549019605</x:v>
      </x:c>
      <x:c r="D176" t="n">
        <x:f>IFERROR('Simulated data'!D212*100,NA())</x:f>
        <x:v>19.11764705882353</x:v>
      </x:c>
      <x:c r="E176" t="n">
        <x:f>IFERROR('Simulated data'!D213*100,NA())</x:f>
        <x:v>5.88235294117647</x:v>
      </x:c>
      <x:c r="F176" t="n">
        <x:f>IFERROR('Simulated data'!E212*100,NA())</x:f>
        <x:v>5.88235294117647</x:v>
      </x:c>
      <x:c r="G176" t="n">
        <x:f>IFERROR('Simulated data'!E213*100,NA())</x:f>
        <x:v>41.17647058823529</x:v>
      </x:c>
      <x:c r="H176" t="n">
        <x:f>IFERROR('Simulated data'!F212*100,NA())</x:f>
        <x:v>42.64705882352941</x:v>
      </x:c>
      <x:c r="I176" t="n">
        <x:f>IFERROR('Simulated data'!F213*100,NA())</x:f>
        <x:v>3.9215686274509802</x:v>
      </x:c>
      <x:c r="J176"/>
      <x:c r="K176" t="str">
        <x:v>S=2D</x:v>
      </x:c>
      <x:c r="L176" t="n">
        <x:f>IFERROR('Simulated data'!C215*100,NA())</x:f>
        <x:v>94.52133794694349</x:v>
      </x:c>
      <x:c r="M176" t="n">
        <x:f>IFERROR('Simulated data'!D215*100,NA())</x:f>
        <x:v>94.92502883506344</x:v>
      </x:c>
      <x:c r="N176" t="n">
        <x:f>IFERROR('Simulated data'!E215*100,NA())</x:f>
        <x:v>94.49250288350635</x:v>
      </x:c>
      <x:c r="O176" t="n">
        <x:f>IFERROR('Simulated data'!F215*100,NA())</x:f>
        <x:v>90.8881199538639</x:v>
      </x:c>
    </x:row>
    <x:row r="177">
      <x:c r="A177" t="str">
        <x:v>S=4D</x:v>
      </x:c>
      <x:c r="B177" t="n">
        <x:f>IFERROR('Simulated data'!C216*100,NA())</x:f>
        <x:v>15.384615384615385</x:v>
      </x:c>
      <x:c r="C177" t="n">
        <x:f>IFERROR('Simulated data'!C217*100,NA())</x:f>
        <x:v>14.814814814814813</x:v>
      </x:c>
      <x:c r="D177" t="n">
        <x:f>IFERROR('Simulated data'!D216*100,NA())</x:f>
        <x:v>20</x:v>
      </x:c>
      <x:c r="E177" t="n">
        <x:f>IFERROR('Simulated data'!D217*100,NA())</x:f>
        <x:v>11.11111111111111</x:v>
      </x:c>
      <x:c r="F177" t="n">
        <x:f>IFERROR('Simulated data'!E216*100,NA())</x:f>
        <x:v>6.153846153846154</x:v>
      </x:c>
      <x:c r="G177" t="n">
        <x:f>IFERROR('Simulated data'!E217*100,NA())</x:f>
        <x:v>51.85185185185185</x:v>
      </x:c>
      <x:c r="H177" t="n">
        <x:f>IFERROR('Simulated data'!F216*100,NA())</x:f>
        <x:v>30.76923076923077</x:v>
      </x:c>
      <x:c r="I177" t="n">
        <x:f>IFERROR('Simulated data'!F217*100,NA())</x:f>
        <x:v>1.8518518518518516</x:v>
      </x:c>
      <x:c r="J177"/>
      <x:c r="K177" t="str">
        <x:v>S=4D</x:v>
      </x:c>
      <x:c r="L177" t="n">
        <x:f>IFERROR('Simulated data'!C219*100,NA())</x:f>
        <x:v>94.27350427350427</x:v>
      </x:c>
      <x:c r="M177" t="n">
        <x:f>IFERROR('Simulated data'!D219*100,NA())</x:f>
        <x:v>93.36182336182335</x:v>
      </x:c>
      <x:c r="N177" t="n">
        <x:f>IFERROR('Simulated data'!E219*100,NA())</x:f>
        <x:v>89.03133903133903</x:v>
      </x:c>
      <x:c r="O177" t="n">
        <x:f>IFERROR('Simulated data'!F219*100,NA())</x:f>
        <x:v>91.28205128205128</x:v>
      </x:c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</x:row>
    <x:row r="179">
      <x:c r="A179" t="str">
        <x:v>Simulated data — Posterior MMD — Assumed M2</x:v>
      </x:c>
      <x:c r="B179" t="str">
        <x:v>Simulated data — Posterior MMD — Assumed M2</x:v>
      </x:c>
      <x:c r="C179" t="str">
        <x:v>Simulated data — Posterior MMD — Assumed M2</x:v>
      </x:c>
      <x:c r="D179" t="str">
        <x:v>Simulated data — Posterior MMD — Assumed M2</x:v>
      </x:c>
      <x:c r="E179" t="str">
        <x:v>Simulated data — Posterior MMD — Assumed M2</x:v>
      </x:c>
      <x:c r="F179" t="str">
        <x:v>Simulated data — Posterior MMD — Assumed M2</x:v>
      </x:c>
      <x:c r="G179" t="str">
        <x:v>Simulated data — Posterior MMD — Assumed M2</x:v>
      </x:c>
      <x:c r="H179" t="str">
        <x:v>Simulated data — Posterior MMD — Assumed M2</x:v>
      </x:c>
      <x:c r="I179" t="str">
        <x:v>Simulated data — Posterior MMD — Assumed M2</x:v>
      </x:c>
      <x:c r="J179" t="str">
        <x:v>Simulated data — Posterior MMD — Assumed M2</x:v>
      </x:c>
      <x:c r="K179" t="str">
        <x:v>Simulated data — Posterior MMD — Assumed M2</x:v>
      </x:c>
      <x:c r="L179" t="str">
        <x:v>Simulated data — Posterior MMD — Assumed M2</x:v>
      </x:c>
      <x:c r="M179" t="str">
        <x:v>Simulated data — Posterior MMD — Assumed M2</x:v>
      </x:c>
      <x:c r="N179" t="str">
        <x:v>Simulated data — Posterior MMD — Assumed M2</x:v>
      </x:c>
      <x:c r="O179" t="str">
        <x:v>Simulated data — Posterior MMD — Assumed M2</x:v>
      </x:c>
    </x:row>
    <x:row r="180">
      <x:c r="A180" t="str">
        <x:v>Summary</x:v>
      </x:c>
      <x:c r="B180" t="str">
        <x:v>L2 — FNR</x:v>
      </x:c>
      <x:c r="C180" t="str">
        <x:v>L2 — FPR</x:v>
      </x:c>
      <x:c r="D180" t="str">
        <x:v>L∞ — FNR</x:v>
      </x:c>
      <x:c r="E180" t="str">
        <x:v>L∞ — FPR</x:v>
      </x:c>
      <x:c r="F180" t="str">
        <x:v>Density — FNR</x:v>
      </x:c>
      <x:c r="G180" t="str">
        <x:v>Density — FPR</x:v>
      </x:c>
      <x:c r="H180" t="str">
        <x:v>MMD — FNR</x:v>
      </x:c>
      <x:c r="I180" t="str">
        <x:v>MMD — FPR</x:v>
      </x:c>
      <x:c r="J180"/>
      <x:c r="K180" t="str">
        <x:v>Summary</x:v>
      </x:c>
      <x:c r="L180" t="str">
        <x:v>L2</x:v>
      </x:c>
      <x:c r="M180" t="str">
        <x:v>L∞</x:v>
      </x:c>
      <x:c r="N180" t="str">
        <x:v>Density</x:v>
      </x:c>
      <x:c r="O180" t="str">
        <x:v>MMD</x:v>
      </x:c>
    </x:row>
    <x:row r="181">
      <x:c r="A181" t="str">
        <x:v>S=D</x:v>
      </x:c>
      <x:c r="B181" t="n">
        <x:f>IFERROR('Simulated data'!C228*100,NA())</x:f>
        <x:v>34.54545454545455</x:v>
      </x:c>
      <x:c r="C181" t="n">
        <x:f>IFERROR('Simulated data'!C229*100,NA())</x:f>
        <x:v>7.8125</x:v>
      </x:c>
      <x:c r="D181" t="n">
        <x:f>IFERROR('Simulated data'!D228*100,NA())</x:f>
        <x:v>40</x:v>
      </x:c>
      <x:c r="E181" t="n">
        <x:f>IFERROR('Simulated data'!D229*100,NA())</x:f>
        <x:v>7.8125</x:v>
      </x:c>
      <x:c r="F181" t="n">
        <x:f>IFERROR('Simulated data'!E228*100,NA())</x:f>
        <x:v>32.72727272727273</x:v>
      </x:c>
      <x:c r="G181" t="n">
        <x:f>IFERROR('Simulated data'!E229*100,NA())</x:f>
        <x:v>18.75</x:v>
      </x:c>
      <x:c r="H181" t="n">
        <x:f>IFERROR('Simulated data'!F228*100,NA())</x:f>
        <x:v>78.18181818181819</x:v>
      </x:c>
      <x:c r="I181" t="n">
        <x:f>IFERROR('Simulated data'!F229*100,NA())</x:f>
        <x:v>1.5625</x:v>
      </x:c>
      <x:c r="J181"/>
      <x:c r="K181" t="str">
        <x:v>S=D</x:v>
      </x:c>
      <x:c r="L181" t="n">
        <x:f>IFERROR('Simulated data'!C231*100,NA())</x:f>
        <x:v>85.48295454545455</x:v>
      </x:c>
      <x:c r="M181" t="n">
        <x:f>IFERROR('Simulated data'!D231*100,NA())</x:f>
        <x:v>82.69886363636364</x:v>
      </x:c>
      <x:c r="N181" t="n">
        <x:f>IFERROR('Simulated data'!E231*100,NA())</x:f>
        <x:v>83.94886363636364</x:v>
      </x:c>
      <x:c r="O181" t="n">
        <x:f>IFERROR('Simulated data'!F231*100,NA())</x:f>
        <x:v>80.14204545454545</x:v>
      </x:c>
    </x:row>
    <x:row r="182">
      <x:c r="A182" t="str">
        <x:v>S=2D</x:v>
      </x:c>
      <x:c r="B182" t="n">
        <x:f>IFERROR('Simulated data'!C232*100,NA())</x:f>
        <x:v>26.41509433962264</x:v>
      </x:c>
      <x:c r="C182" t="n">
        <x:f>IFERROR('Simulated data'!C233*100,NA())</x:f>
        <x:v>9.090909090909092</x:v>
      </x:c>
      <x:c r="D182" t="n">
        <x:f>IFERROR('Simulated data'!D232*100,NA())</x:f>
        <x:v>41.509433962264154</x:v>
      </x:c>
      <x:c r="E182" t="n">
        <x:f>IFERROR('Simulated data'!D233*100,NA())</x:f>
        <x:v>9.090909090909092</x:v>
      </x:c>
      <x:c r="F182" t="n">
        <x:f>IFERROR('Simulated data'!E232*100,NA())</x:f>
        <x:v>11.320754716981133</x:v>
      </x:c>
      <x:c r="G182" t="n">
        <x:f>IFERROR('Simulated data'!E233*100,NA())</x:f>
        <x:v>51.515151515151516</x:v>
      </x:c>
      <x:c r="H182" t="n">
        <x:f>IFERROR('Simulated data'!F232*100,NA())</x:f>
        <x:v>47.16981132075472</x:v>
      </x:c>
      <x:c r="I182" t="n">
        <x:f>IFERROR('Simulated data'!F233*100,NA())</x:f>
        <x:v>4.545454545454546</x:v>
      </x:c>
      <x:c r="J182"/>
      <x:c r="K182" t="str">
        <x:v>S=2D</x:v>
      </x:c>
      <x:c r="L182" t="n">
        <x:f>IFERROR('Simulated data'!C235*100,NA())</x:f>
        <x:v>89.79416809605489</x:v>
      </x:c>
      <x:c r="M182" t="n">
        <x:f>IFERROR('Simulated data'!D235*100,NA())</x:f>
        <x:v>86.53516295025729</x:v>
      </x:c>
      <x:c r="N182" t="n">
        <x:f>IFERROR('Simulated data'!E235*100,NA())</x:f>
        <x:v>77.93024585477416</x:v>
      </x:c>
      <x:c r="O182" t="n">
        <x:f>IFERROR('Simulated data'!F235*100,NA())</x:f>
        <x:v>85.22012578616352</x:v>
      </x:c>
    </x:row>
    <x:row r="183">
      <x:c r="A183" t="str">
        <x:v>S=4D</x:v>
      </x:c>
      <x:c r="B183" t="n">
        <x:f>IFERROR('Simulated data'!C236*100,NA())</x:f>
        <x:v>13.636363636363635</x:v>
      </x:c>
      <x:c r="C183" t="n">
        <x:f>IFERROR('Simulated data'!C237*100,NA())</x:f>
        <x:v>9.333333333333334</x:v>
      </x:c>
      <x:c r="D183" t="n">
        <x:f>IFERROR('Simulated data'!D236*100,NA())</x:f>
        <x:v>13.636363636363635</x:v>
      </x:c>
      <x:c r="E183" t="n">
        <x:f>IFERROR('Simulated data'!D237*100,NA())</x:f>
        <x:v>10.666666666666668</x:v>
      </x:c>
      <x:c r="F183" t="n">
        <x:f>IFERROR('Simulated data'!E236*100,NA())</x:f>
        <x:v>6.8181818181818175</x:v>
      </x:c>
      <x:c r="G183" t="n">
        <x:f>IFERROR('Simulated data'!E237*100,NA())</x:f>
        <x:v>45.33333333333333</x:v>
      </x:c>
      <x:c r="H183" t="n">
        <x:f>IFERROR('Simulated data'!F236*100,NA())</x:f>
        <x:v>27.27272727272727</x:v>
      </x:c>
      <x:c r="I183" t="n">
        <x:f>IFERROR('Simulated data'!F237*100,NA())</x:f>
        <x:v>2.666666666666667</x:v>
      </x:c>
      <x:c r="J183"/>
      <x:c r="K183" t="str">
        <x:v>S=4D</x:v>
      </x:c>
      <x:c r="L183" t="n">
        <x:f>IFERROR('Simulated data'!C239*100,NA())</x:f>
        <x:v>95.9090909090909</x:v>
      </x:c>
      <x:c r="M183" t="n">
        <x:f>IFERROR('Simulated data'!D239*100,NA())</x:f>
        <x:v>94.78787878787878</x:v>
      </x:c>
      <x:c r="N183" t="n">
        <x:f>IFERROR('Simulated data'!E239*100,NA())</x:f>
        <x:v>86.54545454545455</x:v>
      </x:c>
      <x:c r="O183" t="n">
        <x:f>IFERROR('Simulated data'!F239*100,NA())</x:f>
        <x:v>94.03030303030303</x:v>
      </x:c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</x:row>
    <x:row r="186">
      <x:c r="A186" t="str">
        <x:v>Empirical data — Signed log10 ML error — Assumed M0</x:v>
      </x:c>
      <x:c r="B186" t="str">
        <x:v>Empirical data — Signed log10 ML error — Assumed M0</x:v>
      </x:c>
      <x:c r="C186" t="str">
        <x:v>Empirical data — Signed log10 ML error — Assumed M0</x:v>
      </x:c>
      <x:c r="D186" t="str">
        <x:v>Empirical data — Signed log10 ML error — Assumed M0</x:v>
      </x:c>
      <x:c r="E186" t="str">
        <x:v>Empirical data — Signed log10 ML error — Assumed M0</x:v>
      </x:c>
      <x:c r="F186" t="str">
        <x:v>Empirical data — Signed log10 ML error — Assumed M0</x:v>
      </x:c>
      <x:c r="G186" t="str">
        <x:v>Empirical data — Signed log10 ML error — Assumed M0</x:v>
      </x:c>
      <x:c r="H186" t="str">
        <x:v>Empirical data — Signed log10 ML error — Assumed M0</x:v>
      </x:c>
      <x:c r="I186" t="str">
        <x:v>Empirical data — Signed log10 ML error — Assumed M0</x:v>
      </x:c>
      <x:c r="J186" t="str">
        <x:v>Empirical data — Signed log10 ML error — Assumed M0</x:v>
      </x:c>
      <x:c r="K186" t="str">
        <x:v>Empirical data — Signed log10 ML error — Assumed M0</x:v>
      </x:c>
      <x:c r="L186" t="str">
        <x:v>Empirical data — Signed log10 ML error — Assumed M0</x:v>
      </x:c>
      <x:c r="M186" t="str">
        <x:v>Empirical data — Signed log10 ML error — Assumed M0</x:v>
      </x:c>
      <x:c r="N186" t="str">
        <x:v>Empirical data — Signed log10 ML error — Assumed M0</x:v>
      </x:c>
      <x:c r="O186" t="str">
        <x:v>Empirical data — Signed log10 ML error — Assumed M0</x:v>
      </x:c>
    </x:row>
    <x:row r="187">
      <x:c r="A187" t="str">
        <x:v>Summary</x:v>
      </x:c>
      <x:c r="B187" t="str">
        <x:v>L2 — FNR</x:v>
      </x:c>
      <x:c r="C187" t="str">
        <x:v>L2 — FPR</x:v>
      </x:c>
      <x:c r="D187" t="str">
        <x:v>L∞ — FNR</x:v>
      </x:c>
      <x:c r="E187" t="str">
        <x:v>L∞ — FPR</x:v>
      </x:c>
      <x:c r="F187" t="str">
        <x:v>Density — FNR</x:v>
      </x:c>
      <x:c r="G187" t="str">
        <x:v>Density — FPR</x:v>
      </x:c>
      <x:c r="H187" t="str">
        <x:v>MMD — FNR</x:v>
      </x:c>
      <x:c r="I187" t="str">
        <x:v>MMD — FPR</x:v>
      </x:c>
      <x:c r="J187"/>
      <x:c r="K187" t="str">
        <x:v>Summary</x:v>
      </x:c>
      <x:c r="L187" t="str">
        <x:v>L2</x:v>
      </x:c>
      <x:c r="M187" t="str">
        <x:v>L∞</x:v>
      </x:c>
      <x:c r="N187" t="str">
        <x:v>Density</x:v>
      </x:c>
      <x:c r="O187" t="str">
        <x:v>MMD</x:v>
      </x:c>
    </x:row>
    <x:row r="188">
      <x:c r="A188" t="str">
        <x:v>S=D</x:v>
      </x:c>
      <x:c r="B188" t="n">
        <x:f>IFERROR('Empirical data'!C128*100,NA())</x:f>
        <x:v>20</x:v>
      </x:c>
      <x:c r="C188" t="n">
        <x:f>IFERROR('Empirical data'!C129*100,NA())</x:f>
        <x:v>100</x:v>
      </x:c>
      <x:c r="D188" t="n">
        <x:f>IFERROR('Empirical data'!D128*100,NA())</x:f>
        <x:v>6.666666666666667</x:v>
      </x:c>
      <x:c r="E188" t="n">
        <x:f>IFERROR('Empirical data'!D129*100,NA())</x:f>
        <x:v>100</x:v>
      </x:c>
      <x:c r="F188" t="n">
        <x:f>IFERROR('Empirical data'!E128*100,NA())</x:f>
        <x:v>40</x:v>
      </x:c>
      <x:c r="G188" t="n">
        <x:f>IFERROR('Empirical data'!E129*100,NA())</x:f>
        <x:v>100</x:v>
      </x:c>
      <x:c r="H188" t="n">
        <x:f>IFERROR('Empirical data'!F128*100,NA())</x:f>
        <x:v>93.33333333333333</x:v>
      </x:c>
      <x:c r="I188" t="n">
        <x:f>IFERROR('Empirical data'!F129*100,NA())</x:f>
        <x:v>0</x:v>
      </x:c>
      <x:c r="J188"/>
      <x:c r="K188" t="str">
        <x:v>S=D</x:v>
      </x:c>
      <x:c r="L188" t="n">
        <x:f>IFERROR('Empirical data'!C131*100,NA())</x:f>
        <x:v>50</x:v>
      </x:c>
      <x:c r="M188" t="n">
        <x:f>IFERROR('Empirical data'!D131*100,NA())</x:f>
        <x:v>36.666666666666664</x:v>
      </x:c>
      <x:c r="N188" t="n">
        <x:f>IFERROR('Empirical data'!E131*100,NA())</x:f>
        <x:v>10</x:v>
      </x:c>
      <x:c r="O188" t="n">
        <x:f>IFERROR('Empirical data'!F131*100,NA())</x:f>
        <x:v>46.666666666666664</x:v>
      </x:c>
    </x:row>
    <x:row r="189">
      <x:c r="A189" t="str">
        <x:v>S=2D</x:v>
      </x:c>
      <x:c r="B189" t="n">
        <x:f>IFERROR('Empirical data'!C132*100,NA())</x:f>
        <x:v>0</x:v>
      </x:c>
      <x:c r="C189" t="n">
        <x:f>IFERROR('Empirical data'!C133*100,NA())</x:f>
        <x:v>100</x:v>
      </x:c>
      <x:c r="D189" t="n">
        <x:f>IFERROR('Empirical data'!D132*100,NA())</x:f>
        <x:v>0</x:v>
      </x:c>
      <x:c r="E189" t="n">
        <x:f>IFERROR('Empirical data'!D133*100,NA())</x:f>
        <x:v>100</x:v>
      </x:c>
      <x:c r="F189" t="n">
        <x:f>IFERROR('Empirical data'!E132*100,NA())</x:f>
        <x:v>0</x:v>
      </x:c>
      <x:c r="G189" t="n">
        <x:f>IFERROR('Empirical data'!E133*100,NA())</x:f>
        <x:v>100</x:v>
      </x:c>
      <x:c r="H189" t="n">
        <x:f>IFERROR('Empirical data'!F132*100,NA())</x:f>
        <x:v>41.66666666666667</x:v>
      </x:c>
      <x:c r="I189" t="n">
        <x:f>IFERROR('Empirical data'!F133*100,NA())</x:f>
        <x:v>0</x:v>
      </x:c>
      <x:c r="J189"/>
      <x:c r="K189" t="str">
        <x:v>S=2D</x:v>
      </x:c>
      <x:c r="L189" t="n">
        <x:f>IFERROR('Empirical data'!C135*100,NA())</x:f>
        <x:v>76.66666666666667</x:v>
      </x:c>
      <x:c r="M189" t="n">
        <x:f>IFERROR('Empirical data'!D135*100,NA())</x:f>
        <x:v>65</x:v>
      </x:c>
      <x:c r="N189" t="n">
        <x:f>IFERROR('Empirical data'!E135*100,NA())</x:f>
        <x:v>35</x:v>
      </x:c>
      <x:c r="O189" t="n">
        <x:f>IFERROR('Empirical data'!F135*100,NA())</x:f>
        <x:v>78.33333333333333</x:v>
      </x:c>
    </x:row>
    <x:row r="190">
      <x:c r="A190" t="str">
        <x:v>S=4D</x:v>
      </x:c>
      <x:c r="B190" t="n">
        <x:f>IFERROR('Empirical data'!C136*100,NA())</x:f>
        <x:v>8.333333333333332</x:v>
      </x:c>
      <x:c r="C190" t="n">
        <x:f>IFERROR('Empirical data'!C137*100,NA())</x:f>
        <x:v>100</x:v>
      </x:c>
      <x:c r="D190" t="n">
        <x:f>IFERROR('Empirical data'!D136*100,NA())</x:f>
        <x:v>25</x:v>
      </x:c>
      <x:c r="E190" t="n">
        <x:f>IFERROR('Empirical data'!D137*100,NA())</x:f>
        <x:v>100</x:v>
      </x:c>
      <x:c r="F190" t="n">
        <x:f>IFERROR('Empirical data'!E136*100,NA())</x:f>
        <x:v>0</x:v>
      </x:c>
      <x:c r="G190" t="n">
        <x:f>IFERROR('Empirical data'!E137*100,NA())</x:f>
        <x:v>100</x:v>
      </x:c>
      <x:c r="H190" t="n">
        <x:f>IFERROR('Empirical data'!F136*100,NA())</x:f>
        <x:v>58.333333333333336</x:v>
      </x:c>
      <x:c r="I190" t="n">
        <x:f>IFERROR('Empirical data'!F137*100,NA())</x:f>
        <x:v>80</x:v>
      </x:c>
      <x:c r="J190"/>
      <x:c r="K190" t="str">
        <x:v>S=4D</x:v>
      </x:c>
      <x:c r="L190" t="n">
        <x:f>IFERROR('Empirical data'!C139*100,NA())</x:f>
        <x:v>15</x:v>
      </x:c>
      <x:c r="M190" t="n">
        <x:f>IFERROR('Empirical data'!D139*100,NA())</x:f>
        <x:v>13.333333333333334</x:v>
      </x:c>
      <x:c r="N190" t="n">
        <x:f>IFERROR('Empirical data'!E139*100,NA())</x:f>
        <x:v>25</x:v>
      </x:c>
      <x:c r="O190" t="n">
        <x:f>IFERROR('Empirical data'!F139*100,NA())</x:f>
        <x:v>21.666666666666668</x:v>
      </x:c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</x:row>
    <x:row r="192">
      <x:c r="A192" t="str">
        <x:v>Empirical data — Signed log10 ML error — Assumed M2</x:v>
      </x:c>
      <x:c r="B192" t="str">
        <x:v>Empirical data — Signed log10 ML error — Assumed M2</x:v>
      </x:c>
      <x:c r="C192" t="str">
        <x:v>Empirical data — Signed log10 ML error — Assumed M2</x:v>
      </x:c>
      <x:c r="D192" t="str">
        <x:v>Empirical data — Signed log10 ML error — Assumed M2</x:v>
      </x:c>
      <x:c r="E192" t="str">
        <x:v>Empirical data — Signed log10 ML error — Assumed M2</x:v>
      </x:c>
      <x:c r="F192" t="str">
        <x:v>Empirical data — Signed log10 ML error — Assumed M2</x:v>
      </x:c>
      <x:c r="G192" t="str">
        <x:v>Empirical data — Signed log10 ML error — Assumed M2</x:v>
      </x:c>
      <x:c r="H192" t="str">
        <x:v>Empirical data — Signed log10 ML error — Assumed M2</x:v>
      </x:c>
      <x:c r="I192" t="str">
        <x:v>Empirical data — Signed log10 ML error — Assumed M2</x:v>
      </x:c>
      <x:c r="J192" t="str">
        <x:v>Empirical data — Signed log10 ML error — Assumed M2</x:v>
      </x:c>
      <x:c r="K192" t="str">
        <x:v>Empirical data — Signed log10 ML error — Assumed M2</x:v>
      </x:c>
      <x:c r="L192" t="str">
        <x:v>Empirical data — Signed log10 ML error — Assumed M2</x:v>
      </x:c>
      <x:c r="M192" t="str">
        <x:v>Empirical data — Signed log10 ML error — Assumed M2</x:v>
      </x:c>
      <x:c r="N192" t="str">
        <x:v>Empirical data — Signed log10 ML error — Assumed M2</x:v>
      </x:c>
      <x:c r="O192" t="str">
        <x:v>Empirical data — Signed log10 ML error — Assumed M2</x:v>
      </x:c>
    </x:row>
    <x:row r="193">
      <x:c r="A193" t="str">
        <x:v>Summary</x:v>
      </x:c>
      <x:c r="B193" t="str">
        <x:v>L2 — FNR</x:v>
      </x:c>
      <x:c r="C193" t="str">
        <x:v>L2 — FPR</x:v>
      </x:c>
      <x:c r="D193" t="str">
        <x:v>L∞ — FNR</x:v>
      </x:c>
      <x:c r="E193" t="str">
        <x:v>L∞ — FPR</x:v>
      </x:c>
      <x:c r="F193" t="str">
        <x:v>Density — FNR</x:v>
      </x:c>
      <x:c r="G193" t="str">
        <x:v>Density — FPR</x:v>
      </x:c>
      <x:c r="H193" t="str">
        <x:v>MMD — FNR</x:v>
      </x:c>
      <x:c r="I193" t="str">
        <x:v>MMD — FPR</x:v>
      </x:c>
      <x:c r="J193"/>
      <x:c r="K193" t="str">
        <x:v>Summary</x:v>
      </x:c>
      <x:c r="L193" t="str">
        <x:v>L2</x:v>
      </x:c>
      <x:c r="M193" t="str">
        <x:v>L∞</x:v>
      </x:c>
      <x:c r="N193" t="str">
        <x:v>Density</x:v>
      </x:c>
      <x:c r="O193" t="str">
        <x:v>MMD</x:v>
      </x:c>
    </x:row>
    <x:row r="194">
      <x:c r="A194" t="str">
        <x:v>S=D</x:v>
      </x:c>
      <x:c r="B194" t="n">
        <x:f>IFERROR('Empirical data'!C148*100,NA())</x:f>
        <x:v>15.384615384615385</x:v>
      </x:c>
      <x:c r="C194" t="n">
        <x:f>IFERROR('Empirical data'!C149*100,NA())</x:f>
        <x:v>25</x:v>
      </x:c>
      <x:c r="D194" t="n">
        <x:f>IFERROR('Empirical data'!D148*100,NA())</x:f>
        <x:v>61.53846153846154</x:v>
      </x:c>
      <x:c r="E194" t="n">
        <x:f>IFERROR('Empirical data'!D149*100,NA())</x:f>
        <x:v>0</x:v>
      </x:c>
      <x:c r="F194" t="n">
        <x:f>IFERROR('Empirical data'!E148*100,NA())</x:f>
        <x:v>46.15384615384615</x:v>
      </x:c>
      <x:c r="G194" t="n">
        <x:f>IFERROR('Empirical data'!E149*100,NA())</x:f>
        <x:v>100</x:v>
      </x:c>
      <x:c r="H194" t="n">
        <x:f>IFERROR('Empirical data'!F148*100,NA())</x:f>
        <x:v>84.61538461538461</x:v>
      </x:c>
      <x:c r="I194" t="n">
        <x:f>IFERROR('Empirical data'!F149*100,NA())</x:f>
        <x:v>0</x:v>
      </x:c>
      <x:c r="J194"/>
      <x:c r="K194" t="str">
        <x:v>S=D</x:v>
      </x:c>
      <x:c r="L194" t="n">
        <x:f>IFERROR('Empirical data'!C151*100,NA())</x:f>
        <x:v>86.53846153846155</x:v>
      </x:c>
      <x:c r="M194" t="n">
        <x:f>IFERROR('Empirical data'!D151*100,NA())</x:f>
        <x:v>82.6923076923077</x:v>
      </x:c>
      <x:c r="N194" t="n">
        <x:f>IFERROR('Empirical data'!E151*100,NA())</x:f>
        <x:v>21.153846153846153</x:v>
      </x:c>
      <x:c r="O194" t="n">
        <x:f>IFERROR('Empirical data'!F151*100,NA())</x:f>
        <x:v>86.53846153846155</x:v>
      </x:c>
    </x:row>
    <x:row r="195">
      <x:c r="A195" t="str">
        <x:v>S=2D</x:v>
      </x:c>
      <x:c r="B195" t="n">
        <x:f>IFERROR('Empirical data'!C152*100,NA())</x:f>
        <x:v>53.333333333333336</x:v>
      </x:c>
      <x:c r="C195" t="n">
        <x:f>IFERROR('Empirical data'!C153*100,NA())</x:f>
        <x:v>50</x:v>
      </x:c>
      <x:c r="D195" t="n">
        <x:f>IFERROR('Empirical data'!D152*100,NA())</x:f>
        <x:v>0</x:v>
      </x:c>
      <x:c r="E195" t="n">
        <x:f>IFERROR('Empirical data'!D153*100,NA())</x:f>
        <x:v>100</x:v>
      </x:c>
      <x:c r="F195" t="n">
        <x:f>IFERROR('Empirical data'!E152*100,NA())</x:f>
        <x:v>0</x:v>
      </x:c>
      <x:c r="G195" t="n">
        <x:f>IFERROR('Empirical data'!E153*100,NA())</x:f>
        <x:v>100</x:v>
      </x:c>
      <x:c r="H195" t="n">
        <x:f>IFERROR('Empirical data'!F152*100,NA())</x:f>
        <x:v>93.33333333333333</x:v>
      </x:c>
      <x:c r="I195" t="n">
        <x:f>IFERROR('Empirical data'!F153*100,NA())</x:f>
        <x:v>0</x:v>
      </x:c>
      <x:c r="J195"/>
      <x:c r="K195" t="str">
        <x:v>S=2D</x:v>
      </x:c>
      <x:c r="L195" t="n">
        <x:f>IFERROR('Empirical data'!C155*100,NA())</x:f>
        <x:v>36.666666666666664</x:v>
      </x:c>
      <x:c r="M195" t="n">
        <x:f>IFERROR('Empirical data'!D155*100,NA())</x:f>
        <x:v>26.666666666666668</x:v>
      </x:c>
      <x:c r="N195" t="n">
        <x:f>IFERROR('Empirical data'!E155*100,NA())</x:f>
        <x:v>30</x:v>
      </x:c>
      <x:c r="O195" t="n">
        <x:f>IFERROR('Empirical data'!F155*100,NA())</x:f>
        <x:v>60</x:v>
      </x:c>
    </x:row>
    <x:row r="196">
      <x:c r="A196" t="str">
        <x:v>S=4D</x:v>
      </x:c>
      <x:c r="B196" t="n">
        <x:f>IFERROR('Empirical data'!C156*100,NA())</x:f>
        <x:v>0</x:v>
      </x:c>
      <x:c r="C196" t="n">
        <x:f>IFERROR('Empirical data'!C157*100,NA())</x:f>
        <x:v>60</x:v>
      </x:c>
      <x:c r="D196" t="n">
        <x:f>IFERROR('Empirical data'!D156*100,NA())</x:f>
        <x:v>0</x:v>
      </x:c>
      <x:c r="E196" t="n">
        <x:f>IFERROR('Empirical data'!D157*100,NA())</x:f>
        <x:v>60</x:v>
      </x:c>
      <x:c r="F196" t="n">
        <x:f>IFERROR('Empirical data'!E156*100,NA())</x:f>
        <x:v>0</x:v>
      </x:c>
      <x:c r="G196" t="n">
        <x:f>IFERROR('Empirical data'!E157*100,NA())</x:f>
        <x:v>100</x:v>
      </x:c>
      <x:c r="H196" t="n">
        <x:f>IFERROR('Empirical data'!F156*100,NA())</x:f>
        <x:v>91.66666666666666</x:v>
      </x:c>
      <x:c r="I196" t="n">
        <x:f>IFERROR('Empirical data'!F157*100,NA())</x:f>
        <x:v>0</x:v>
      </x:c>
      <x:c r="J196"/>
      <x:c r="K196" t="str">
        <x:v>S=4D</x:v>
      </x:c>
      <x:c r="L196" t="n">
        <x:f>IFERROR('Empirical data'!C159*100,NA())</x:f>
        <x:v>80</x:v>
      </x:c>
      <x:c r="M196" t="n">
        <x:f>IFERROR('Empirical data'!D159*100,NA())</x:f>
        <x:v>75</x:v>
      </x:c>
      <x:c r="N196" t="n">
        <x:f>IFERROR('Empirical data'!E159*100,NA())</x:f>
        <x:v>41.66666666666667</x:v>
      </x:c>
      <x:c r="O196" t="n">
        <x:f>IFERROR('Empirical data'!F159*100,NA())</x:f>
        <x:v>83.33333333333334</x:v>
      </x:c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</x:row>
    <x:row r="198">
      <x:c r="A198" t="str">
        <x:v>Empirical data — Signed PMP error — Assumed M0</x:v>
      </x:c>
      <x:c r="B198" t="str">
        <x:v>Empirical data — Signed PMP error — Assumed M0</x:v>
      </x:c>
      <x:c r="C198" t="str">
        <x:v>Empirical data — Signed PMP error — Assumed M0</x:v>
      </x:c>
      <x:c r="D198" t="str">
        <x:v>Empirical data — Signed PMP error — Assumed M0</x:v>
      </x:c>
      <x:c r="E198" t="str">
        <x:v>Empirical data — Signed PMP error — Assumed M0</x:v>
      </x:c>
      <x:c r="F198" t="str">
        <x:v>Empirical data — Signed PMP error — Assumed M0</x:v>
      </x:c>
      <x:c r="G198" t="str">
        <x:v>Empirical data — Signed PMP error — Assumed M0</x:v>
      </x:c>
      <x:c r="H198" t="str">
        <x:v>Empirical data — Signed PMP error — Assumed M0</x:v>
      </x:c>
      <x:c r="I198" t="str">
        <x:v>Empirical data — Signed PMP error — Assumed M0</x:v>
      </x:c>
      <x:c r="J198" t="str">
        <x:v>Empirical data — Signed PMP error — Assumed M0</x:v>
      </x:c>
      <x:c r="K198" t="str">
        <x:v>Empirical data — Signed PMP error — Assumed M0</x:v>
      </x:c>
      <x:c r="L198" t="str">
        <x:v>Empirical data — Signed PMP error — Assumed M0</x:v>
      </x:c>
      <x:c r="M198" t="str">
        <x:v>Empirical data — Signed PMP error — Assumed M0</x:v>
      </x:c>
      <x:c r="N198" t="str">
        <x:v>Empirical data — Signed PMP error — Assumed M0</x:v>
      </x:c>
      <x:c r="O198" t="str">
        <x:v>Empirical data — Signed PMP error — Assumed M0</x:v>
      </x:c>
    </x:row>
    <x:row r="199">
      <x:c r="A199" t="str">
        <x:v>Summary</x:v>
      </x:c>
      <x:c r="B199" t="str">
        <x:v>L2 — FNR</x:v>
      </x:c>
      <x:c r="C199" t="str">
        <x:v>L2 — FPR</x:v>
      </x:c>
      <x:c r="D199" t="str">
        <x:v>L∞ — FNR</x:v>
      </x:c>
      <x:c r="E199" t="str">
        <x:v>L∞ — FPR</x:v>
      </x:c>
      <x:c r="F199" t="str">
        <x:v>Density — FNR</x:v>
      </x:c>
      <x:c r="G199" t="str">
        <x:v>Density — FPR</x:v>
      </x:c>
      <x:c r="H199" t="str">
        <x:v>MMD — FNR</x:v>
      </x:c>
      <x:c r="I199" t="str">
        <x:v>MMD — FPR</x:v>
      </x:c>
      <x:c r="J199"/>
      <x:c r="K199" t="str">
        <x:v>Summary</x:v>
      </x:c>
      <x:c r="L199" t="str">
        <x:v>L2</x:v>
      </x:c>
      <x:c r="M199" t="str">
        <x:v>L∞</x:v>
      </x:c>
      <x:c r="N199" t="str">
        <x:v>Density</x:v>
      </x:c>
      <x:c r="O199" t="str">
        <x:v>MMD</x:v>
      </x:c>
    </x:row>
    <x:row r="200">
      <x:c r="A200" t="str">
        <x:v>S=D</x:v>
      </x:c>
      <x:c r="B200" t="e">
        <x:f>IFERROR('Empirical data'!C168*100,NA())</x:f>
        <x:v>#N/A</x:v>
      </x:c>
      <x:c r="C200" t="n">
        <x:f>IFERROR('Empirical data'!C169*100,NA())</x:f>
        <x:v>82.35294117647058</x:v>
      </x:c>
      <x:c r="D200" t="e">
        <x:f>IFERROR('Empirical data'!D168*100,NA())</x:f>
        <x:v>#N/A</x:v>
      </x:c>
      <x:c r="E200" t="n">
        <x:f>IFERROR('Empirical data'!D169*100,NA())</x:f>
        <x:v>94.11764705882352</x:v>
      </x:c>
      <x:c r="F200" t="e">
        <x:f>IFERROR('Empirical data'!E168*100,NA())</x:f>
        <x:v>#N/A</x:v>
      </x:c>
      <x:c r="G200" t="n">
        <x:f>IFERROR('Empirical data'!E169*100,NA())</x:f>
        <x:v>64.70588235294117</x:v>
      </x:c>
      <x:c r="H200" t="e">
        <x:f>IFERROR('Empirical data'!F168*100,NA())</x:f>
        <x:v>#N/A</x:v>
      </x:c>
      <x:c r="I200" t="n">
        <x:f>IFERROR('Empirical data'!F169*100,NA())</x:f>
        <x:v>5.88235294117647</x:v>
      </x:c>
      <x:c r="J200"/>
      <x:c r="K200" t="str">
        <x:v>S=D</x:v>
      </x:c>
      <x:c r="L200" t="e">
        <x:f>IFERROR('Empirical data'!C171*100,NA())</x:f>
        <x:v>#N/A</x:v>
      </x:c>
      <x:c r="M200" t="e">
        <x:f>IFERROR('Empirical data'!D171*100,NA())</x:f>
        <x:v>#N/A</x:v>
      </x:c>
      <x:c r="N200" t="e">
        <x:f>IFERROR('Empirical data'!E171*100,NA())</x:f>
        <x:v>#N/A</x:v>
      </x:c>
      <x:c r="O200" t="e">
        <x:f>IFERROR('Empirical data'!F171*100,NA())</x:f>
        <x:v>#N/A</x:v>
      </x:c>
    </x:row>
    <x:row r="201">
      <x:c r="A201" t="str">
        <x:v>S=2D</x:v>
      </x:c>
      <x:c r="B201" t="e">
        <x:f>IFERROR('Empirical data'!C172*100,NA())</x:f>
        <x:v>#N/A</x:v>
      </x:c>
      <x:c r="C201" t="n">
        <x:f>IFERROR('Empirical data'!C173*100,NA())</x:f>
        <x:v>100</x:v>
      </x:c>
      <x:c r="D201" t="e">
        <x:f>IFERROR('Empirical data'!D172*100,NA())</x:f>
        <x:v>#N/A</x:v>
      </x:c>
      <x:c r="E201" t="n">
        <x:f>IFERROR('Empirical data'!D173*100,NA())</x:f>
        <x:v>100</x:v>
      </x:c>
      <x:c r="F201" t="e">
        <x:f>IFERROR('Empirical data'!E172*100,NA())</x:f>
        <x:v>#N/A</x:v>
      </x:c>
      <x:c r="G201" t="n">
        <x:f>IFERROR('Empirical data'!E173*100,NA())</x:f>
        <x:v>100</x:v>
      </x:c>
      <x:c r="H201" t="e">
        <x:f>IFERROR('Empirical data'!F172*100,NA())</x:f>
        <x:v>#N/A</x:v>
      </x:c>
      <x:c r="I201" t="n">
        <x:f>IFERROR('Empirical data'!F173*100,NA())</x:f>
        <x:v>41.17647058823529</x:v>
      </x:c>
      <x:c r="J201"/>
      <x:c r="K201" t="str">
        <x:v>S=2D</x:v>
      </x:c>
      <x:c r="L201" t="e">
        <x:f>IFERROR('Empirical data'!C175*100,NA())</x:f>
        <x:v>#N/A</x:v>
      </x:c>
      <x:c r="M201" t="e">
        <x:f>IFERROR('Empirical data'!D175*100,NA())</x:f>
        <x:v>#N/A</x:v>
      </x:c>
      <x:c r="N201" t="e">
        <x:f>IFERROR('Empirical data'!E175*100,NA())</x:f>
        <x:v>#N/A</x:v>
      </x:c>
      <x:c r="O201" t="e">
        <x:f>IFERROR('Empirical data'!F175*100,NA())</x:f>
        <x:v>#N/A</x:v>
      </x:c>
    </x:row>
    <x:row r="202">
      <x:c r="A202" t="str">
        <x:v>S=4D</x:v>
      </x:c>
      <x:c r="B202" t="e">
        <x:f>IFERROR('Empirical data'!C176*100,NA())</x:f>
        <x:v>#N/A</x:v>
      </x:c>
      <x:c r="C202" t="n">
        <x:f>IFERROR('Empirical data'!C177*100,NA())</x:f>
        <x:v>94.11764705882352</x:v>
      </x:c>
      <x:c r="D202" t="e">
        <x:f>IFERROR('Empirical data'!D176*100,NA())</x:f>
        <x:v>#N/A</x:v>
      </x:c>
      <x:c r="E202" t="n">
        <x:f>IFERROR('Empirical data'!D177*100,NA())</x:f>
        <x:v>82.35294117647058</x:v>
      </x:c>
      <x:c r="F202" t="e">
        <x:f>IFERROR('Empirical data'!E176*100,NA())</x:f>
        <x:v>#N/A</x:v>
      </x:c>
      <x:c r="G202" t="n">
        <x:f>IFERROR('Empirical data'!E177*100,NA())</x:f>
        <x:v>100</x:v>
      </x:c>
      <x:c r="H202" t="e">
        <x:f>IFERROR('Empirical data'!F176*100,NA())</x:f>
        <x:v>#N/A</x:v>
      </x:c>
      <x:c r="I202" t="n">
        <x:f>IFERROR('Empirical data'!F177*100,NA())</x:f>
        <x:v>52.94117647058824</x:v>
      </x:c>
      <x:c r="J202"/>
      <x:c r="K202" t="str">
        <x:v>S=4D</x:v>
      </x:c>
      <x:c r="L202" t="e">
        <x:f>IFERROR('Empirical data'!C179*100,NA())</x:f>
        <x:v>#N/A</x:v>
      </x:c>
      <x:c r="M202" t="e">
        <x:f>IFERROR('Empirical data'!D179*100,NA())</x:f>
        <x:v>#N/A</x:v>
      </x:c>
      <x:c r="N202" t="e">
        <x:f>IFERROR('Empirical data'!E179*100,NA())</x:f>
        <x:v>#N/A</x:v>
      </x:c>
      <x:c r="O202" t="e">
        <x:f>IFERROR('Empirical data'!F179*100,NA())</x:f>
        <x:v>#N/A</x:v>
      </x:c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</x:row>
    <x:row r="204">
      <x:c r="A204" t="str">
        <x:v>Empirical data — Signed PMP error — Assumed M2</x:v>
      </x:c>
      <x:c r="B204" t="str">
        <x:v>Empirical data — Signed PMP error — Assumed M2</x:v>
      </x:c>
      <x:c r="C204" t="str">
        <x:v>Empirical data — Signed PMP error — Assumed M2</x:v>
      </x:c>
      <x:c r="D204" t="str">
        <x:v>Empirical data — Signed PMP error — Assumed M2</x:v>
      </x:c>
      <x:c r="E204" t="str">
        <x:v>Empirical data — Signed PMP error — Assumed M2</x:v>
      </x:c>
      <x:c r="F204" t="str">
        <x:v>Empirical data — Signed PMP error — Assumed M2</x:v>
      </x:c>
      <x:c r="G204" t="str">
        <x:v>Empirical data — Signed PMP error — Assumed M2</x:v>
      </x:c>
      <x:c r="H204" t="str">
        <x:v>Empirical data — Signed PMP error — Assumed M2</x:v>
      </x:c>
      <x:c r="I204" t="str">
        <x:v>Empirical data — Signed PMP error — Assumed M2</x:v>
      </x:c>
      <x:c r="J204" t="str">
        <x:v>Empirical data — Signed PMP error — Assumed M2</x:v>
      </x:c>
      <x:c r="K204" t="str">
        <x:v>Empirical data — Signed PMP error — Assumed M2</x:v>
      </x:c>
      <x:c r="L204" t="str">
        <x:v>Empirical data — Signed PMP error — Assumed M2</x:v>
      </x:c>
      <x:c r="M204" t="str">
        <x:v>Empirical data — Signed PMP error — Assumed M2</x:v>
      </x:c>
      <x:c r="N204" t="str">
        <x:v>Empirical data — Signed PMP error — Assumed M2</x:v>
      </x:c>
      <x:c r="O204" t="str">
        <x:v>Empirical data — Signed PMP error — Assumed M2</x:v>
      </x:c>
    </x:row>
    <x:row r="205">
      <x:c r="A205" t="str">
        <x:v>Summary</x:v>
      </x:c>
      <x:c r="B205" t="str">
        <x:v>L2 — FNR</x:v>
      </x:c>
      <x:c r="C205" t="str">
        <x:v>L2 — FPR</x:v>
      </x:c>
      <x:c r="D205" t="str">
        <x:v>L∞ — FNR</x:v>
      </x:c>
      <x:c r="E205" t="str">
        <x:v>L∞ — FPR</x:v>
      </x:c>
      <x:c r="F205" t="str">
        <x:v>Density — FNR</x:v>
      </x:c>
      <x:c r="G205" t="str">
        <x:v>Density — FPR</x:v>
      </x:c>
      <x:c r="H205" t="str">
        <x:v>MMD — FNR</x:v>
      </x:c>
      <x:c r="I205" t="str">
        <x:v>MMD — FPR</x:v>
      </x:c>
      <x:c r="J205"/>
      <x:c r="K205" t="str">
        <x:v>Summary</x:v>
      </x:c>
      <x:c r="L205" t="str">
        <x:v>L2</x:v>
      </x:c>
      <x:c r="M205" t="str">
        <x:v>L∞</x:v>
      </x:c>
      <x:c r="N205" t="str">
        <x:v>Density</x:v>
      </x:c>
      <x:c r="O205" t="str">
        <x:v>MMD</x:v>
      </x:c>
    </x:row>
    <x:row r="206">
      <x:c r="A206" t="str">
        <x:v>S=D</x:v>
      </x:c>
      <x:c r="B206" t="n">
        <x:f>IFERROR('Empirical data'!C188*100,NA())</x:f>
        <x:v>0</x:v>
      </x:c>
      <x:c r="C206" t="n">
        <x:f>IFERROR('Empirical data'!C189*100,NA())</x:f>
        <x:v>68.75</x:v>
      </x:c>
      <x:c r="D206" t="n">
        <x:f>IFERROR('Empirical data'!D188*100,NA())</x:f>
        <x:v>0</x:v>
      </x:c>
      <x:c r="E206" t="n">
        <x:f>IFERROR('Empirical data'!D189*100,NA())</x:f>
        <x:v>25</x:v>
      </x:c>
      <x:c r="F206" t="n">
        <x:f>IFERROR('Empirical data'!E188*100,NA())</x:f>
        <x:v>0</x:v>
      </x:c>
      <x:c r="G206" t="n">
        <x:f>IFERROR('Empirical data'!E189*100,NA())</x:f>
        <x:v>62.5</x:v>
      </x:c>
      <x:c r="H206" t="n">
        <x:f>IFERROR('Empirical data'!F188*100,NA())</x:f>
        <x:v>0</x:v>
      </x:c>
      <x:c r="I206" t="n">
        <x:f>IFERROR('Empirical data'!F189*100,NA())</x:f>
        <x:v>6.25</x:v>
      </x:c>
      <x:c r="J206"/>
      <x:c r="K206" t="str">
        <x:v>S=D</x:v>
      </x:c>
      <x:c r="L206" t="n">
        <x:f>IFERROR('Empirical data'!C191*100,NA())</x:f>
        <x:v>100</x:v>
      </x:c>
      <x:c r="M206" t="n">
        <x:f>IFERROR('Empirical data'!D191*100,NA())</x:f>
        <x:v>100</x:v>
      </x:c>
      <x:c r="N206" t="n">
        <x:f>IFERROR('Empirical data'!E191*100,NA())</x:f>
        <x:v>100</x:v>
      </x:c>
      <x:c r="O206" t="n">
        <x:f>IFERROR('Empirical data'!F191*100,NA())</x:f>
        <x:v>100</x:v>
      </x:c>
    </x:row>
    <x:row r="207">
      <x:c r="A207" t="str">
        <x:v>S=2D</x:v>
      </x:c>
      <x:c r="B207" t="e">
        <x:f>IFERROR('Empirical data'!C192*100,NA())</x:f>
        <x:v>#N/A</x:v>
      </x:c>
      <x:c r="C207" t="n">
        <x:f>IFERROR('Empirical data'!C193*100,NA())</x:f>
        <x:v>47.05882352941176</x:v>
      </x:c>
      <x:c r="D207" t="e">
        <x:f>IFERROR('Empirical data'!D192*100,NA())</x:f>
        <x:v>#N/A</x:v>
      </x:c>
      <x:c r="E207" t="n">
        <x:f>IFERROR('Empirical data'!D193*100,NA())</x:f>
        <x:v>100</x:v>
      </x:c>
      <x:c r="F207" t="e">
        <x:f>IFERROR('Empirical data'!E192*100,NA())</x:f>
        <x:v>#N/A</x:v>
      </x:c>
      <x:c r="G207" t="n">
        <x:f>IFERROR('Empirical data'!E193*100,NA())</x:f>
        <x:v>100</x:v>
      </x:c>
      <x:c r="H207" t="e">
        <x:f>IFERROR('Empirical data'!F192*100,NA())</x:f>
        <x:v>#N/A</x:v>
      </x:c>
      <x:c r="I207" t="n">
        <x:f>IFERROR('Empirical data'!F193*100,NA())</x:f>
        <x:v>5.88235294117647</x:v>
      </x:c>
      <x:c r="J207"/>
      <x:c r="K207" t="str">
        <x:v>S=2D</x:v>
      </x:c>
      <x:c r="L207" t="e">
        <x:f>IFERROR('Empirical data'!C195*100,NA())</x:f>
        <x:v>#N/A</x:v>
      </x:c>
      <x:c r="M207" t="e">
        <x:f>IFERROR('Empirical data'!D195*100,NA())</x:f>
        <x:v>#N/A</x:v>
      </x:c>
      <x:c r="N207" t="e">
        <x:f>IFERROR('Empirical data'!E195*100,NA())</x:f>
        <x:v>#N/A</x:v>
      </x:c>
      <x:c r="O207" t="e">
        <x:f>IFERROR('Empirical data'!F195*100,NA())</x:f>
        <x:v>#N/A</x:v>
      </x:c>
    </x:row>
    <x:row r="208">
      <x:c r="A208" t="str">
        <x:v>S=4D</x:v>
      </x:c>
      <x:c r="B208" t="e">
        <x:f>IFERROR('Empirical data'!C196*100,NA())</x:f>
        <x:v>#N/A</x:v>
      </x:c>
      <x:c r="C208" t="n">
        <x:f>IFERROR('Empirical data'!C197*100,NA())</x:f>
        <x:v>88.23529411764706</x:v>
      </x:c>
      <x:c r="D208" t="e">
        <x:f>IFERROR('Empirical data'!D196*100,NA())</x:f>
        <x:v>#N/A</x:v>
      </x:c>
      <x:c r="E208" t="n">
        <x:f>IFERROR('Empirical data'!D197*100,NA())</x:f>
        <x:v>88.23529411764706</x:v>
      </x:c>
      <x:c r="F208" t="e">
        <x:f>IFERROR('Empirical data'!E196*100,NA())</x:f>
        <x:v>#N/A</x:v>
      </x:c>
      <x:c r="G208" t="n">
        <x:f>IFERROR('Empirical data'!E197*100,NA())</x:f>
        <x:v>100</x:v>
      </x:c>
      <x:c r="H208" t="e">
        <x:f>IFERROR('Empirical data'!F196*100,NA())</x:f>
        <x:v>#N/A</x:v>
      </x:c>
      <x:c r="I208" t="n">
        <x:f>IFERROR('Empirical data'!F197*100,NA())</x:f>
        <x:v>5.88235294117647</x:v>
      </x:c>
      <x:c r="J208"/>
      <x:c r="K208" t="str">
        <x:v>S=4D</x:v>
      </x:c>
      <x:c r="L208" t="e">
        <x:f>IFERROR('Empirical data'!C199*100,NA())</x:f>
        <x:v>#N/A</x:v>
      </x:c>
      <x:c r="M208" t="e">
        <x:f>IFERROR('Empirical data'!D199*100,NA())</x:f>
        <x:v>#N/A</x:v>
      </x:c>
      <x:c r="N208" t="e">
        <x:f>IFERROR('Empirical data'!E199*100,NA())</x:f>
        <x:v>#N/A</x:v>
      </x:c>
      <x:c r="O208" t="e">
        <x:f>IFERROR('Empirical data'!F199*100,NA())</x:f>
        <x:v>#N/A</x:v>
      </x:c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</x:row>
    <x:row r="210">
      <x:c r="A210" t="str">
        <x:v>Empirical data — Posterior MMD — Assumed M0</x:v>
      </x:c>
      <x:c r="B210" t="str">
        <x:v>Empirical data — Posterior MMD — Assumed M0</x:v>
      </x:c>
      <x:c r="C210" t="str">
        <x:v>Empirical data — Posterior MMD — Assumed M0</x:v>
      </x:c>
      <x:c r="D210" t="str">
        <x:v>Empirical data — Posterior MMD — Assumed M0</x:v>
      </x:c>
      <x:c r="E210" t="str">
        <x:v>Empirical data — Posterior MMD — Assumed M0</x:v>
      </x:c>
      <x:c r="F210" t="str">
        <x:v>Empirical data — Posterior MMD — Assumed M0</x:v>
      </x:c>
      <x:c r="G210" t="str">
        <x:v>Empirical data — Posterior MMD — Assumed M0</x:v>
      </x:c>
      <x:c r="H210" t="str">
        <x:v>Empirical data — Posterior MMD — Assumed M0</x:v>
      </x:c>
      <x:c r="I210" t="str">
        <x:v>Empirical data — Posterior MMD — Assumed M0</x:v>
      </x:c>
      <x:c r="J210" t="str">
        <x:v>Empirical data — Posterior MMD — Assumed M0</x:v>
      </x:c>
      <x:c r="K210" t="str">
        <x:v>Empirical data — Posterior MMD — Assumed M0</x:v>
      </x:c>
      <x:c r="L210" t="str">
        <x:v>Empirical data — Posterior MMD — Assumed M0</x:v>
      </x:c>
      <x:c r="M210" t="str">
        <x:v>Empirical data — Posterior MMD — Assumed M0</x:v>
      </x:c>
      <x:c r="N210" t="str">
        <x:v>Empirical data — Posterior MMD — Assumed M0</x:v>
      </x:c>
      <x:c r="O210" t="str">
        <x:v>Empirical data — Posterior MMD — Assumed M0</x:v>
      </x:c>
    </x:row>
    <x:row r="211">
      <x:c r="A211" t="str">
        <x:v>Summary</x:v>
      </x:c>
      <x:c r="B211" t="str">
        <x:v>L2 — FNR</x:v>
      </x:c>
      <x:c r="C211" t="str">
        <x:v>L2 — FPR</x:v>
      </x:c>
      <x:c r="D211" t="str">
        <x:v>L∞ — FNR</x:v>
      </x:c>
      <x:c r="E211" t="str">
        <x:v>L∞ — FPR</x:v>
      </x:c>
      <x:c r="F211" t="str">
        <x:v>Density — FNR</x:v>
      </x:c>
      <x:c r="G211" t="str">
        <x:v>Density — FPR</x:v>
      </x:c>
      <x:c r="H211" t="str">
        <x:v>MMD — FNR</x:v>
      </x:c>
      <x:c r="I211" t="str">
        <x:v>MMD — FPR</x:v>
      </x:c>
      <x:c r="J211"/>
      <x:c r="K211" t="str">
        <x:v>Summary</x:v>
      </x:c>
      <x:c r="L211" t="str">
        <x:v>L2</x:v>
      </x:c>
      <x:c r="M211" t="str">
        <x:v>L∞</x:v>
      </x:c>
      <x:c r="N211" t="str">
        <x:v>Density</x:v>
      </x:c>
      <x:c r="O211" t="str">
        <x:v>MMD</x:v>
      </x:c>
    </x:row>
    <x:row r="212">
      <x:c r="A212" t="str">
        <x:v>S=D</x:v>
      </x:c>
      <x:c r="B212" t="n">
        <x:f>IFERROR('Empirical data'!C208*100,NA())</x:f>
        <x:v>20</x:v>
      </x:c>
      <x:c r="C212" t="n">
        <x:f>IFERROR('Empirical data'!C209*100,NA())</x:f>
        <x:v>100</x:v>
      </x:c>
      <x:c r="D212" t="n">
        <x:f>IFERROR('Empirical data'!D208*100,NA())</x:f>
        <x:v>6.666666666666667</x:v>
      </x:c>
      <x:c r="E212" t="n">
        <x:f>IFERROR('Empirical data'!D209*100,NA())</x:f>
        <x:v>100</x:v>
      </x:c>
      <x:c r="F212" t="n">
        <x:f>IFERROR('Empirical data'!E208*100,NA())</x:f>
        <x:v>26.666666666666668</x:v>
      </x:c>
      <x:c r="G212" t="n">
        <x:f>IFERROR('Empirical data'!E209*100,NA())</x:f>
        <x:v>0</x:v>
      </x:c>
      <x:c r="H212" t="n">
        <x:f>IFERROR('Empirical data'!F208*100,NA())</x:f>
        <x:v>100</x:v>
      </x:c>
      <x:c r="I212" t="n">
        <x:f>IFERROR('Empirical data'!F209*100,NA())</x:f>
        <x:v>50</x:v>
      </x:c>
      <x:c r="J212"/>
      <x:c r="K212" t="str">
        <x:v>S=D</x:v>
      </x:c>
      <x:c r="L212" t="n">
        <x:f>IFERROR('Empirical data'!C211*100,NA())</x:f>
        <x:v>50</x:v>
      </x:c>
      <x:c r="M212" t="n">
        <x:f>IFERROR('Empirical data'!D211*100,NA())</x:f>
        <x:v>43.333333333333336</x:v>
      </x:c>
      <x:c r="N212" t="n">
        <x:f>IFERROR('Empirical data'!E211*100,NA())</x:f>
        <x:v>73.33333333333333</x:v>
      </x:c>
      <x:c r="O212" t="n">
        <x:f>IFERROR('Empirical data'!F211*100,NA())</x:f>
        <x:v>13.333333333333334</x:v>
      </x:c>
    </x:row>
    <x:row r="213">
      <x:c r="A213" t="str">
        <x:v>S=2D</x:v>
      </x:c>
      <x:c r="B213" t="n">
        <x:f>IFERROR('Empirical data'!C212*100,NA())</x:f>
        <x:v>0</x:v>
      </x:c>
      <x:c r="C213" t="n">
        <x:f>IFERROR('Empirical data'!C213*100,NA())</x:f>
        <x:v>100</x:v>
      </x:c>
      <x:c r="D213" t="n">
        <x:f>IFERROR('Empirical data'!D212*100,NA())</x:f>
        <x:v>0</x:v>
      </x:c>
      <x:c r="E213" t="n">
        <x:f>IFERROR('Empirical data'!D213*100,NA())</x:f>
        <x:v>100</x:v>
      </x:c>
      <x:c r="F213" t="n">
        <x:f>IFERROR('Empirical data'!E212*100,NA())</x:f>
        <x:v>0</x:v>
      </x:c>
      <x:c r="G213" t="n">
        <x:f>IFERROR('Empirical data'!E213*100,NA())</x:f>
        <x:v>100</x:v>
      </x:c>
      <x:c r="H213" t="n">
        <x:f>IFERROR('Empirical data'!F212*100,NA())</x:f>
        <x:v>50</x:v>
      </x:c>
      <x:c r="I213" t="n">
        <x:f>IFERROR('Empirical data'!F213*100,NA())</x:f>
        <x:v>20</x:v>
      </x:c>
      <x:c r="J213"/>
      <x:c r="K213" t="str">
        <x:v>S=2D</x:v>
      </x:c>
      <x:c r="L213" t="n">
        <x:f>IFERROR('Empirical data'!C215*100,NA())</x:f>
        <x:v>70</x:v>
      </x:c>
      <x:c r="M213" t="n">
        <x:f>IFERROR('Empirical data'!D215*100,NA())</x:f>
        <x:v>68.33333333333333</x:v>
      </x:c>
      <x:c r="N213" t="n">
        <x:f>IFERROR('Empirical data'!E215*100,NA())</x:f>
        <x:v>63.33333333333333</x:v>
      </x:c>
      <x:c r="O213" t="n">
        <x:f>IFERROR('Empirical data'!F215*100,NA())</x:f>
        <x:v>66.66666666666666</x:v>
      </x:c>
    </x:row>
    <x:row r="214">
      <x:c r="A214" t="str">
        <x:v>S=4D</x:v>
      </x:c>
      <x:c r="B214" t="n">
        <x:f>IFERROR('Empirical data'!C216*100,NA())</x:f>
        <x:v>0</x:v>
      </x:c>
      <x:c r="C214" t="n">
        <x:f>IFERROR('Empirical data'!C217*100,NA())</x:f>
        <x:v>83.33333333333334</x:v>
      </x:c>
      <x:c r="D214" t="n">
        <x:f>IFERROR('Empirical data'!D216*100,NA())</x:f>
        <x:v>9.090909090909092</x:v>
      </x:c>
      <x:c r="E214" t="n">
        <x:f>IFERROR('Empirical data'!D217*100,NA())</x:f>
        <x:v>66.66666666666666</x:v>
      </x:c>
      <x:c r="F214" t="n">
        <x:f>IFERROR('Empirical data'!E216*100,NA())</x:f>
        <x:v>0</x:v>
      </x:c>
      <x:c r="G214" t="n">
        <x:f>IFERROR('Empirical data'!E217*100,NA())</x:f>
        <x:v>100</x:v>
      </x:c>
      <x:c r="H214" t="n">
        <x:f>IFERROR('Empirical data'!F216*100,NA())</x:f>
        <x:v>45.45454545454545</x:v>
      </x:c>
      <x:c r="I214" t="n">
        <x:f>IFERROR('Empirical data'!F217*100,NA())</x:f>
        <x:v>50</x:v>
      </x:c>
      <x:c r="J214"/>
      <x:c r="K214" t="str">
        <x:v>S=4D</x:v>
      </x:c>
      <x:c r="L214" t="n">
        <x:f>IFERROR('Empirical data'!C219*100,NA())</x:f>
        <x:v>66.66666666666666</x:v>
      </x:c>
      <x:c r="M214" t="n">
        <x:f>IFERROR('Empirical data'!D219*100,NA())</x:f>
        <x:v>78.78787878787878</x:v>
      </x:c>
      <x:c r="N214" t="n">
        <x:f>IFERROR('Empirical data'!E219*100,NA())</x:f>
        <x:v>69.6969696969697</x:v>
      </x:c>
      <x:c r="O214" t="n">
        <x:f>IFERROR('Empirical data'!F219*100,NA())</x:f>
        <x:v>57.57575757575758</x:v>
      </x:c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</x:row>
    <x:row r="216">
      <x:c r="A216" t="str">
        <x:v>Empirical data — Posterior MMD — Assumed M2</x:v>
      </x:c>
      <x:c r="B216" t="str">
        <x:v>Empirical data — Posterior MMD — Assumed M2</x:v>
      </x:c>
      <x:c r="C216" t="str">
        <x:v>Empirical data — Posterior MMD — Assumed M2</x:v>
      </x:c>
      <x:c r="D216" t="str">
        <x:v>Empirical data — Posterior MMD — Assumed M2</x:v>
      </x:c>
      <x:c r="E216" t="str">
        <x:v>Empirical data — Posterior MMD — Assumed M2</x:v>
      </x:c>
      <x:c r="F216" t="str">
        <x:v>Empirical data — Posterior MMD — Assumed M2</x:v>
      </x:c>
      <x:c r="G216" t="str">
        <x:v>Empirical data — Posterior MMD — Assumed M2</x:v>
      </x:c>
      <x:c r="H216" t="str">
        <x:v>Empirical data — Posterior MMD — Assumed M2</x:v>
      </x:c>
      <x:c r="I216" t="str">
        <x:v>Empirical data — Posterior MMD — Assumed M2</x:v>
      </x:c>
      <x:c r="J216" t="str">
        <x:v>Empirical data — Posterior MMD — Assumed M2</x:v>
      </x:c>
      <x:c r="K216" t="str">
        <x:v>Empirical data — Posterior MMD — Assumed M2</x:v>
      </x:c>
      <x:c r="L216" t="str">
        <x:v>Empirical data — Posterior MMD — Assumed M2</x:v>
      </x:c>
      <x:c r="M216" t="str">
        <x:v>Empirical data — Posterior MMD — Assumed M2</x:v>
      </x:c>
      <x:c r="N216" t="str">
        <x:v>Empirical data — Posterior MMD — Assumed M2</x:v>
      </x:c>
      <x:c r="O216" t="str">
        <x:v>Empirical data — Posterior MMD — Assumed M2</x:v>
      </x:c>
    </x:row>
    <x:row r="217">
      <x:c r="A217" t="str">
        <x:v>Summary</x:v>
      </x:c>
      <x:c r="B217" t="str">
        <x:v>L2 — FNR</x:v>
      </x:c>
      <x:c r="C217" t="str">
        <x:v>L2 — FPR</x:v>
      </x:c>
      <x:c r="D217" t="str">
        <x:v>L∞ — FNR</x:v>
      </x:c>
      <x:c r="E217" t="str">
        <x:v>L∞ — FPR</x:v>
      </x:c>
      <x:c r="F217" t="str">
        <x:v>Density — FNR</x:v>
      </x:c>
      <x:c r="G217" t="str">
        <x:v>Density — FPR</x:v>
      </x:c>
      <x:c r="H217" t="str">
        <x:v>MMD — FNR</x:v>
      </x:c>
      <x:c r="I217" t="str">
        <x:v>MMD — FPR</x:v>
      </x:c>
      <x:c r="J217"/>
      <x:c r="K217" t="str">
        <x:v>Summary</x:v>
      </x:c>
      <x:c r="L217" t="str">
        <x:v>L2</x:v>
      </x:c>
      <x:c r="M217" t="str">
        <x:v>L∞</x:v>
      </x:c>
      <x:c r="N217" t="str">
        <x:v>Density</x:v>
      </x:c>
      <x:c r="O217" t="str">
        <x:v>MMD</x:v>
      </x:c>
    </x:row>
    <x:row r="218">
      <x:c r="A218" t="str">
        <x:v>S=D</x:v>
      </x:c>
      <x:c r="B218" t="n">
        <x:f>IFERROR('Empirical data'!C228*100,NA())</x:f>
        <x:v>33.33333333333333</x:v>
      </x:c>
      <x:c r="C218" t="n">
        <x:f>IFERROR('Empirical data'!C229*100,NA())</x:f>
        <x:v>100</x:v>
      </x:c>
      <x:c r="D218" t="n">
        <x:f>IFERROR('Empirical data'!D228*100,NA())</x:f>
        <x:v>73.33333333333333</x:v>
      </x:c>
      <x:c r="E218" t="n">
        <x:f>IFERROR('Empirical data'!D229*100,NA())</x:f>
        <x:v>50</x:v>
      </x:c>
      <x:c r="F218" t="n">
        <x:f>IFERROR('Empirical data'!E228*100,NA())</x:f>
        <x:v>26.666666666666668</x:v>
      </x:c>
      <x:c r="G218" t="n">
        <x:f>IFERROR('Empirical data'!E229*100,NA())</x:f>
        <x:v>0</x:v>
      </x:c>
      <x:c r="H218" t="n">
        <x:f>IFERROR('Empirical data'!F228*100,NA())</x:f>
        <x:v>86.66666666666667</x:v>
      </x:c>
      <x:c r="I218" t="n">
        <x:f>IFERROR('Empirical data'!F229*100,NA())</x:f>
        <x:v>0</x:v>
      </x:c>
      <x:c r="J218"/>
      <x:c r="K218" t="str">
        <x:v>S=D</x:v>
      </x:c>
      <x:c r="L218" t="n">
        <x:f>IFERROR('Empirical data'!C231*100,NA())</x:f>
        <x:v>30</x:v>
      </x:c>
      <x:c r="M218" t="n">
        <x:f>IFERROR('Empirical data'!D231*100,NA())</x:f>
        <x:v>36.666666666666664</x:v>
      </x:c>
      <x:c r="N218" t="n">
        <x:f>IFERROR('Empirical data'!E231*100,NA())</x:f>
        <x:v>93.33333333333333</x:v>
      </x:c>
      <x:c r="O218" t="n">
        <x:f>IFERROR('Empirical data'!F231*100,NA())</x:f>
        <x:v>30</x:v>
      </x:c>
    </x:row>
    <x:row r="219">
      <x:c r="A219" t="str">
        <x:v>S=2D</x:v>
      </x:c>
      <x:c r="B219" t="n">
        <x:f>IFERROR('Empirical data'!C232*100,NA())</x:f>
        <x:v>50</x:v>
      </x:c>
      <x:c r="C219" t="n">
        <x:f>IFERROR('Empirical data'!C233*100,NA())</x:f>
        <x:v>0</x:v>
      </x:c>
      <x:c r="D219" t="n">
        <x:f>IFERROR('Empirical data'!D232*100,NA())</x:f>
        <x:v>0</x:v>
      </x:c>
      <x:c r="E219" t="n">
        <x:f>IFERROR('Empirical data'!D233*100,NA())</x:f>
        <x:v>100</x:v>
      </x:c>
      <x:c r="F219" t="n">
        <x:f>IFERROR('Empirical data'!E232*100,NA())</x:f>
        <x:v>0</x:v>
      </x:c>
      <x:c r="G219" t="n">
        <x:f>IFERROR('Empirical data'!E233*100,NA())</x:f>
        <x:v>100</x:v>
      </x:c>
      <x:c r="H219" t="n">
        <x:f>IFERROR('Empirical data'!F232*100,NA())</x:f>
        <x:v>93.75</x:v>
      </x:c>
      <x:c r="I219" t="n">
        <x:f>IFERROR('Empirical data'!F233*100,NA())</x:f>
        <x:v>0</x:v>
      </x:c>
      <x:c r="J219"/>
      <x:c r="K219" t="str">
        <x:v>S=2D</x:v>
      </x:c>
      <x:c r="L219" t="n">
        <x:f>IFERROR('Empirical data'!C235*100,NA())</x:f>
        <x:v>81.25</x:v>
      </x:c>
      <x:c r="M219" t="n">
        <x:f>IFERROR('Empirical data'!D235*100,NA())</x:f>
        <x:v>93.75</x:v>
      </x:c>
      <x:c r="N219" t="n">
        <x:f>IFERROR('Empirical data'!E235*100,NA())</x:f>
        <x:v>50</x:v>
      </x:c>
      <x:c r="O219" t="n">
        <x:f>IFERROR('Empirical data'!F235*100,NA())</x:f>
        <x:v>100</x:v>
      </x:c>
    </x:row>
    <x:row r="220">
      <x:c r="A220" t="str">
        <x:v>S=4D</x:v>
      </x:c>
      <x:c r="B220" t="n">
        <x:f>IFERROR('Empirical data'!C236*100,NA())</x:f>
        <x:v>7.142857142857142</x:v>
      </x:c>
      <x:c r="C220" t="n">
        <x:f>IFERROR('Empirical data'!C237*100,NA())</x:f>
        <x:v>66.66666666666666</x:v>
      </x:c>
      <x:c r="D220" t="n">
        <x:f>IFERROR('Empirical data'!D236*100,NA())</x:f>
        <x:v>7.142857142857142</x:v>
      </x:c>
      <x:c r="E220" t="n">
        <x:f>IFERROR('Empirical data'!D237*100,NA())</x:f>
        <x:v>66.66666666666666</x:v>
      </x:c>
      <x:c r="F220" t="n">
        <x:f>IFERROR('Empirical data'!E236*100,NA())</x:f>
        <x:v>0</x:v>
      </x:c>
      <x:c r="G220" t="n">
        <x:f>IFERROR('Empirical data'!E237*100,NA())</x:f>
        <x:v>100</x:v>
      </x:c>
      <x:c r="H220" t="n">
        <x:f>IFERROR('Empirical data'!F236*100,NA())</x:f>
        <x:v>92.85714285714286</x:v>
      </x:c>
      <x:c r="I220" t="n">
        <x:f>IFERROR('Empirical data'!F237*100,NA())</x:f>
        <x:v>0</x:v>
      </x:c>
      <x:c r="J220"/>
      <x:c r="K220" t="str">
        <x:v>S=4D</x:v>
      </x:c>
      <x:c r="L220" t="n">
        <x:f>IFERROR('Empirical data'!C239*100,NA())</x:f>
        <x:v>69.04761904761905</x:v>
      </x:c>
      <x:c r="M220" t="n">
        <x:f>IFERROR('Empirical data'!D239*100,NA())</x:f>
        <x:v>85.71428571428571</x:v>
      </x:c>
      <x:c r="N220" t="n">
        <x:f>IFERROR('Empirical data'!E239*100,NA())</x:f>
        <x:v>88.09523809523809</x:v>
      </x:c>
      <x:c r="O220" t="n">
        <x:f>IFERROR('Empirical data'!F239*100,NA())</x:f>
        <x:v>54.761904761904766</x:v>
      </x:c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</x:row>
  </x:sheetData>
  <x:mergeCells>
    <x:mergeCell ref="A1:O1"/>
    <x:mergeCell ref="A3:O3"/>
    <x:mergeCell ref="A9:O9"/>
    <x:mergeCell ref="A15:O15"/>
    <x:mergeCell ref="A21:O21"/>
    <x:mergeCell ref="A27:O27"/>
    <x:mergeCell ref="A33:O33"/>
    <x:mergeCell ref="A40:O40"/>
    <x:mergeCell ref="A46:O46"/>
    <x:mergeCell ref="A52:O52"/>
    <x:mergeCell ref="A58:O58"/>
    <x:mergeCell ref="A64:O64"/>
    <x:mergeCell ref="A70:O70"/>
    <x:mergeCell ref="A77:O77"/>
    <x:mergeCell ref="A83:O83"/>
    <x:mergeCell ref="A89:O89"/>
    <x:mergeCell ref="A95:O95"/>
    <x:mergeCell ref="A101:O101"/>
    <x:mergeCell ref="A107:O107"/>
    <x:mergeCell ref="A113:O113"/>
    <x:mergeCell ref="A119:O119"/>
    <x:mergeCell ref="A125:O125"/>
    <x:mergeCell ref="A131:O131"/>
    <x:mergeCell ref="A137:O137"/>
    <x:mergeCell ref="A143:O14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</x:cols>
  <x:sheetData>
    <x:row r="1" ht="28" customHeight="1">
      <x:c r="A1" s="227" t="str">
        <x:v>Simulated data — FNR/FPR and AUC trends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  <x:c r="O1" s="227"/>
      <x:c r="P1" s="227"/>
      <x:c r="Q1" s="227"/>
      <x:c r="R1" s="227"/>
      <x:c r="S1" s="227"/>
      <x:c r="T1" s="227"/>
      <x:c r="U1" s="227"/>
      <x:c r="V1" s="227"/>
    </x:row>
    <x:row r="18" ht="18" customHeight="1">
      <x:c r="A18" s="251" t="str">
        <x:v>●  L2</x:v>
      </x:c>
      <x:c r="B18" s="251" t="str">
        <x:v>●  L2</x:v>
      </x:c>
      <x:c r="C18" s="254" t="str">
        <x:v>●  L∞</x:v>
      </x:c>
      <x:c r="D18" s="254" t="str">
        <x:v>●  L∞</x:v>
      </x:c>
      <x:c r="E18" s="257" t="str">
        <x:v>●  Density</x:v>
      </x:c>
      <x:c r="F18" s="257" t="str">
        <x:v>●  Density</x:v>
      </x:c>
      <x:c r="G18" s="257" t="str">
        <x:v>●  Density</x:v>
      </x:c>
      <x:c r="H18" s="260" t="str">
        <x:v>●  MMD</x:v>
      </x:c>
      <x:c r="I18" s="260" t="str">
        <x:v>●  MMD</x:v>
      </x:c>
      <x:c r="J18" s="260" t="str">
        <x:v>●  MMD</x:v>
      </x:c>
      <x:c r="L18" s="251" t="str">
        <x:v>●  L2</x:v>
      </x:c>
      <x:c r="M18" s="251" t="str">
        <x:v>●  L2</x:v>
      </x:c>
      <x:c r="N18" s="254" t="str">
        <x:v>●  L∞</x:v>
      </x:c>
      <x:c r="O18" s="254" t="str">
        <x:v>●  L∞</x:v>
      </x:c>
      <x:c r="P18" s="257" t="str">
        <x:v>●  Density</x:v>
      </x:c>
      <x:c r="Q18" s="257" t="str">
        <x:v>●  Density</x:v>
      </x:c>
      <x:c r="R18" s="257" t="str">
        <x:v>●  Density</x:v>
      </x:c>
      <x:c r="S18" s="260" t="str">
        <x:v>●  MMD</x:v>
      </x:c>
      <x:c r="T18" s="260" t="str">
        <x:v>●  MMD</x:v>
      </x:c>
      <x:c r="U18" s="260" t="str">
        <x:v>●  MMD</x:v>
      </x:c>
    </x:row>
    <x:row r="19" ht="18" customHeight="1">
      <x:c r="C19" s="263" t="str">
        <x:v>━━━━  FNR (solid)</x:v>
      </x:c>
      <x:c r="D19" s="263" t="str">
        <x:v>━━━━  FNR (solid)</x:v>
      </x:c>
      <x:c r="E19" s="263" t="str">
        <x:v>━━━━  FNR (solid)</x:v>
      </x:c>
      <x:c r="F19" s="266" t="str">
        <x:v>┄┄┄┄  FPR (dashed)</x:v>
      </x:c>
      <x:c r="G19" s="266" t="str">
        <x:v>┄┄┄┄  FPR (dashed)</x:v>
      </x:c>
      <x:c r="H19" s="266" t="str">
        <x:v>┄┄┄┄  FPR (dashed)</x:v>
      </x:c>
    </x:row>
    <x:row r="38" ht="18" customHeight="1">
      <x:c r="A38" s="251" t="str">
        <x:v>●  L2</x:v>
      </x:c>
      <x:c r="B38" s="251" t="str">
        <x:v>●  L2</x:v>
      </x:c>
      <x:c r="C38" s="254" t="str">
        <x:v>●  L∞</x:v>
      </x:c>
      <x:c r="D38" s="254" t="str">
        <x:v>●  L∞</x:v>
      </x:c>
      <x:c r="E38" s="257" t="str">
        <x:v>●  Density</x:v>
      </x:c>
      <x:c r="F38" s="257" t="str">
        <x:v>●  Density</x:v>
      </x:c>
      <x:c r="G38" s="257" t="str">
        <x:v>●  Density</x:v>
      </x:c>
      <x:c r="H38" s="260" t="str">
        <x:v>●  MMD</x:v>
      </x:c>
      <x:c r="I38" s="260" t="str">
        <x:v>●  MMD</x:v>
      </x:c>
      <x:c r="J38" s="260" t="str">
        <x:v>●  MMD</x:v>
      </x:c>
      <x:c r="L38" s="251" t="str">
        <x:v>●  L2</x:v>
      </x:c>
      <x:c r="M38" s="251" t="str">
        <x:v>●  L2</x:v>
      </x:c>
      <x:c r="N38" s="254" t="str">
        <x:v>●  L∞</x:v>
      </x:c>
      <x:c r="O38" s="254" t="str">
        <x:v>●  L∞</x:v>
      </x:c>
      <x:c r="P38" s="257" t="str">
        <x:v>●  Density</x:v>
      </x:c>
      <x:c r="Q38" s="257" t="str">
        <x:v>●  Density</x:v>
      </x:c>
      <x:c r="R38" s="257" t="str">
        <x:v>●  Density</x:v>
      </x:c>
      <x:c r="S38" s="260" t="str">
        <x:v>●  MMD</x:v>
      </x:c>
      <x:c r="T38" s="260" t="str">
        <x:v>●  MMD</x:v>
      </x:c>
      <x:c r="U38" s="260" t="str">
        <x:v>●  MMD</x:v>
      </x:c>
    </x:row>
    <x:row r="39" ht="18" customHeight="1">
      <x:c r="C39" s="263" t="str">
        <x:v>━━━━  FNR (solid)</x:v>
      </x:c>
      <x:c r="D39" s="263" t="str">
        <x:v>━━━━  FNR (solid)</x:v>
      </x:c>
      <x:c r="E39" s="263" t="str">
        <x:v>━━━━  FNR (solid)</x:v>
      </x:c>
      <x:c r="F39" s="266" t="str">
        <x:v>┄┄┄┄  FPR (dashed)</x:v>
      </x:c>
      <x:c r="G39" s="266" t="str">
        <x:v>┄┄┄┄  FPR (dashed)</x:v>
      </x:c>
      <x:c r="H39" s="266" t="str">
        <x:v>┄┄┄┄  FPR (dashed)</x:v>
      </x:c>
    </x:row>
    <x:row r="58" ht="18" customHeight="1">
      <x:c r="A58" s="251" t="str">
        <x:v>●  L2</x:v>
      </x:c>
      <x:c r="B58" s="251" t="str">
        <x:v>●  L2</x:v>
      </x:c>
      <x:c r="C58" s="254" t="str">
        <x:v>●  L∞</x:v>
      </x:c>
      <x:c r="D58" s="254" t="str">
        <x:v>●  L∞</x:v>
      </x:c>
      <x:c r="E58" s="257" t="str">
        <x:v>●  Density</x:v>
      </x:c>
      <x:c r="F58" s="257" t="str">
        <x:v>●  Density</x:v>
      </x:c>
      <x:c r="G58" s="257" t="str">
        <x:v>●  Density</x:v>
      </x:c>
      <x:c r="H58" s="260" t="str">
        <x:v>●  MMD</x:v>
      </x:c>
      <x:c r="I58" s="260" t="str">
        <x:v>●  MMD</x:v>
      </x:c>
      <x:c r="J58" s="260" t="str">
        <x:v>●  MMD</x:v>
      </x:c>
      <x:c r="L58" s="251" t="str">
        <x:v>●  L2</x:v>
      </x:c>
      <x:c r="M58" s="251" t="str">
        <x:v>●  L2</x:v>
      </x:c>
      <x:c r="N58" s="254" t="str">
        <x:v>●  L∞</x:v>
      </x:c>
      <x:c r="O58" s="254" t="str">
        <x:v>●  L∞</x:v>
      </x:c>
      <x:c r="P58" s="257" t="str">
        <x:v>●  Density</x:v>
      </x:c>
      <x:c r="Q58" s="257" t="str">
        <x:v>●  Density</x:v>
      </x:c>
      <x:c r="R58" s="257" t="str">
        <x:v>●  Density</x:v>
      </x:c>
      <x:c r="S58" s="260" t="str">
        <x:v>●  MMD</x:v>
      </x:c>
      <x:c r="T58" s="260" t="str">
        <x:v>●  MMD</x:v>
      </x:c>
      <x:c r="U58" s="260" t="str">
        <x:v>●  MMD</x:v>
      </x:c>
    </x:row>
    <x:row r="59" ht="18" customHeight="1">
      <x:c r="C59" s="263" t="str">
        <x:v>━━━━  FNR (solid)</x:v>
      </x:c>
      <x:c r="D59" s="263" t="str">
        <x:v>━━━━  FNR (solid)</x:v>
      </x:c>
      <x:c r="E59" s="263" t="str">
        <x:v>━━━━  FNR (solid)</x:v>
      </x:c>
      <x:c r="F59" s="266" t="str">
        <x:v>┄┄┄┄  FPR (dashed)</x:v>
      </x:c>
      <x:c r="G59" s="266" t="str">
        <x:v>┄┄┄┄  FPR (dashed)</x:v>
      </x:c>
      <x:c r="H59" s="266" t="str">
        <x:v>┄┄┄┄  FPR (dashed)</x:v>
      </x:c>
    </x:row>
    <x:row r="78" ht="18" customHeight="1">
      <x:c r="A78" s="251" t="str">
        <x:v>●  L2</x:v>
      </x:c>
      <x:c r="B78" s="251" t="str">
        <x:v>●  L2</x:v>
      </x:c>
      <x:c r="C78" s="254" t="str">
        <x:v>●  L∞</x:v>
      </x:c>
      <x:c r="D78" s="254" t="str">
        <x:v>●  L∞</x:v>
      </x:c>
      <x:c r="E78" s="257" t="str">
        <x:v>●  Density</x:v>
      </x:c>
      <x:c r="F78" s="257" t="str">
        <x:v>●  Density</x:v>
      </x:c>
      <x:c r="G78" s="257" t="str">
        <x:v>●  Density</x:v>
      </x:c>
      <x:c r="H78" s="260" t="str">
        <x:v>●  MMD</x:v>
      </x:c>
      <x:c r="I78" s="260" t="str">
        <x:v>●  MMD</x:v>
      </x:c>
      <x:c r="J78" s="260" t="str">
        <x:v>●  MMD</x:v>
      </x:c>
      <x:c r="L78" s="251" t="str">
        <x:v>●  L2</x:v>
      </x:c>
      <x:c r="M78" s="251" t="str">
        <x:v>●  L2</x:v>
      </x:c>
      <x:c r="N78" s="254" t="str">
        <x:v>●  L∞</x:v>
      </x:c>
      <x:c r="O78" s="254" t="str">
        <x:v>●  L∞</x:v>
      </x:c>
      <x:c r="P78" s="257" t="str">
        <x:v>●  Density</x:v>
      </x:c>
      <x:c r="Q78" s="257" t="str">
        <x:v>●  Density</x:v>
      </x:c>
      <x:c r="R78" s="257" t="str">
        <x:v>●  Density</x:v>
      </x:c>
      <x:c r="S78" s="260" t="str">
        <x:v>●  MMD</x:v>
      </x:c>
      <x:c r="T78" s="260" t="str">
        <x:v>●  MMD</x:v>
      </x:c>
      <x:c r="U78" s="260" t="str">
        <x:v>●  MMD</x:v>
      </x:c>
    </x:row>
    <x:row r="79" ht="18" customHeight="1">
      <x:c r="C79" s="263" t="str">
        <x:v>━━━━  FNR (solid)</x:v>
      </x:c>
      <x:c r="D79" s="263" t="str">
        <x:v>━━━━  FNR (solid)</x:v>
      </x:c>
      <x:c r="E79" s="263" t="str">
        <x:v>━━━━  FNR (solid)</x:v>
      </x:c>
      <x:c r="F79" s="266" t="str">
        <x:v>┄┄┄┄  FPR (dashed)</x:v>
      </x:c>
      <x:c r="G79" s="266" t="str">
        <x:v>┄┄┄┄  FPR (dashed)</x:v>
      </x:c>
      <x:c r="H79" s="266" t="str">
        <x:v>┄┄┄┄  FPR (dashed)</x:v>
      </x:c>
    </x:row>
    <x:row r="98" ht="18" customHeight="1">
      <x:c r="A98" s="251" t="str">
        <x:v>●  L2</x:v>
      </x:c>
      <x:c r="B98" s="251" t="str">
        <x:v>●  L2</x:v>
      </x:c>
      <x:c r="C98" s="254" t="str">
        <x:v>●  L∞</x:v>
      </x:c>
      <x:c r="D98" s="254" t="str">
        <x:v>●  L∞</x:v>
      </x:c>
      <x:c r="E98" s="257" t="str">
        <x:v>●  Density</x:v>
      </x:c>
      <x:c r="F98" s="257" t="str">
        <x:v>●  Density</x:v>
      </x:c>
      <x:c r="G98" s="257" t="str">
        <x:v>●  Density</x:v>
      </x:c>
      <x:c r="H98" s="260" t="str">
        <x:v>●  MMD</x:v>
      </x:c>
      <x:c r="I98" s="260" t="str">
        <x:v>●  MMD</x:v>
      </x:c>
      <x:c r="J98" s="260" t="str">
        <x:v>●  MMD</x:v>
      </x:c>
      <x:c r="L98" s="251" t="str">
        <x:v>●  L2</x:v>
      </x:c>
      <x:c r="M98" s="251" t="str">
        <x:v>●  L2</x:v>
      </x:c>
      <x:c r="N98" s="254" t="str">
        <x:v>●  L∞</x:v>
      </x:c>
      <x:c r="O98" s="254" t="str">
        <x:v>●  L∞</x:v>
      </x:c>
      <x:c r="P98" s="257" t="str">
        <x:v>●  Density</x:v>
      </x:c>
      <x:c r="Q98" s="257" t="str">
        <x:v>●  Density</x:v>
      </x:c>
      <x:c r="R98" s="257" t="str">
        <x:v>●  Density</x:v>
      </x:c>
      <x:c r="S98" s="260" t="str">
        <x:v>●  MMD</x:v>
      </x:c>
      <x:c r="T98" s="260" t="str">
        <x:v>●  MMD</x:v>
      </x:c>
      <x:c r="U98" s="260" t="str">
        <x:v>●  MMD</x:v>
      </x:c>
    </x:row>
    <x:row r="99" ht="18" customHeight="1">
      <x:c r="C99" s="263" t="str">
        <x:v>━━━━  FNR (solid)</x:v>
      </x:c>
      <x:c r="D99" s="263" t="str">
        <x:v>━━━━  FNR (solid)</x:v>
      </x:c>
      <x:c r="E99" s="263" t="str">
        <x:v>━━━━  FNR (solid)</x:v>
      </x:c>
      <x:c r="F99" s="266" t="str">
        <x:v>┄┄┄┄  FPR (dashed)</x:v>
      </x:c>
      <x:c r="G99" s="266" t="str">
        <x:v>┄┄┄┄  FPR (dashed)</x:v>
      </x:c>
      <x:c r="H99" s="266" t="str">
        <x:v>┄┄┄┄  FPR (dashed)</x:v>
      </x:c>
    </x:row>
    <x:row r="118" ht="18" customHeight="1">
      <x:c r="A118" s="251" t="str">
        <x:v>●  L2</x:v>
      </x:c>
      <x:c r="B118" s="251" t="str">
        <x:v>●  L2</x:v>
      </x:c>
      <x:c r="C118" s="254" t="str">
        <x:v>●  L∞</x:v>
      </x:c>
      <x:c r="D118" s="254" t="str">
        <x:v>●  L∞</x:v>
      </x:c>
      <x:c r="E118" s="257" t="str">
        <x:v>●  Density</x:v>
      </x:c>
      <x:c r="F118" s="257" t="str">
        <x:v>●  Density</x:v>
      </x:c>
      <x:c r="G118" s="257" t="str">
        <x:v>●  Density</x:v>
      </x:c>
      <x:c r="H118" s="260" t="str">
        <x:v>●  MMD</x:v>
      </x:c>
      <x:c r="I118" s="260" t="str">
        <x:v>●  MMD</x:v>
      </x:c>
      <x:c r="J118" s="260" t="str">
        <x:v>●  MMD</x:v>
      </x:c>
      <x:c r="L118" s="251" t="str">
        <x:v>●  L2</x:v>
      </x:c>
      <x:c r="M118" s="251" t="str">
        <x:v>●  L2</x:v>
      </x:c>
      <x:c r="N118" s="254" t="str">
        <x:v>●  L∞</x:v>
      </x:c>
      <x:c r="O118" s="254" t="str">
        <x:v>●  L∞</x:v>
      </x:c>
      <x:c r="P118" s="257" t="str">
        <x:v>●  Density</x:v>
      </x:c>
      <x:c r="Q118" s="257" t="str">
        <x:v>●  Density</x:v>
      </x:c>
      <x:c r="R118" s="257" t="str">
        <x:v>●  Density</x:v>
      </x:c>
      <x:c r="S118" s="260" t="str">
        <x:v>●  MMD</x:v>
      </x:c>
      <x:c r="T118" s="260" t="str">
        <x:v>●  MMD</x:v>
      </x:c>
      <x:c r="U118" s="260" t="str">
        <x:v>●  MMD</x:v>
      </x:c>
    </x:row>
    <x:row r="119" ht="18" customHeight="1">
      <x:c r="C119" s="263" t="str">
        <x:v>━━━━  FNR (solid)</x:v>
      </x:c>
      <x:c r="D119" s="263" t="str">
        <x:v>━━━━  FNR (solid)</x:v>
      </x:c>
      <x:c r="E119" s="263" t="str">
        <x:v>━━━━  FNR (solid)</x:v>
      </x:c>
      <x:c r="F119" s="266" t="str">
        <x:v>┄┄┄┄  FPR (dashed)</x:v>
      </x:c>
      <x:c r="G119" s="266" t="str">
        <x:v>┄┄┄┄  FPR (dashed)</x:v>
      </x:c>
      <x:c r="H119" s="266" t="str">
        <x:v>┄┄┄┄  FPR (dashed)</x:v>
      </x:c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</x:row>
    <x:row r="138" ht="18" customHeight="1">
      <x:c r="A138" s="250" t="str">
        <x:v>●  L2</x:v>
      </x:c>
      <x:c r="B138" s="250" t="str">
        <x:v>●  L2</x:v>
      </x:c>
      <x:c r="C138" s="253" t="str">
        <x:v>●  L∞</x:v>
      </x:c>
      <x:c r="D138" s="253" t="str">
        <x:v>●  L∞</x:v>
      </x:c>
      <x:c r="E138" s="256" t="str">
        <x:v>●  Density</x:v>
      </x:c>
      <x:c r="F138" s="256" t="str">
        <x:v>●  Density</x:v>
      </x:c>
      <x:c r="G138" s="256" t="str">
        <x:v>●  Density</x:v>
      </x:c>
      <x:c r="H138" s="259" t="str">
        <x:v>●  MMD</x:v>
      </x:c>
      <x:c r="I138" s="259" t="str">
        <x:v>●  MMD</x:v>
      </x:c>
      <x:c r="J138" s="259" t="str">
        <x:v>●  MMD</x:v>
      </x:c>
      <x:c r="K138"/>
      <x:c r="L138" s="250" t="str">
        <x:v>●  L2</x:v>
      </x:c>
      <x:c r="M138" s="250" t="str">
        <x:v>●  L2</x:v>
      </x:c>
      <x:c r="N138" s="253" t="str">
        <x:v>●  L∞</x:v>
      </x:c>
      <x:c r="O138" s="253" t="str">
        <x:v>●  L∞</x:v>
      </x:c>
      <x:c r="P138" s="256" t="str">
        <x:v>●  Density</x:v>
      </x:c>
      <x:c r="Q138" s="256" t="str">
        <x:v>●  Density</x:v>
      </x:c>
      <x:c r="R138" s="256" t="str">
        <x:v>●  Density</x:v>
      </x:c>
      <x:c r="S138" s="259" t="str">
        <x:v>●  MMD</x:v>
      </x:c>
      <x:c r="T138" s="259" t="str">
        <x:v>●  MMD</x:v>
      </x:c>
      <x:c r="U138" s="259" t="str">
        <x:v>●  MMD</x:v>
      </x:c>
    </x:row>
    <x:row r="139" ht="18" customHeight="1">
      <x:c r="A139"/>
      <x:c r="B139"/>
      <x:c r="C139" s="262" t="str">
        <x:v>━━━━  FNR (solid)</x:v>
      </x:c>
      <x:c r="D139" s="262" t="str">
        <x:v>━━━━  FNR (solid)</x:v>
      </x:c>
      <x:c r="E139" s="262" t="str">
        <x:v>━━━━  FNR (solid)</x:v>
      </x:c>
      <x:c r="F139" s="321" t="str">
        <x:v>┄┄┄┄  FPR (dashed)</x:v>
      </x:c>
      <x:c r="G139" s="321" t="str">
        <x:v>┄┄┄┄  FPR (dashed)</x:v>
      </x:c>
      <x:c r="H139" s="321" t="str">
        <x:v>┄┄┄┄  FPR (dashed)</x:v>
      </x:c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</x:row>
    <x:row r="158" ht="18" customHeight="1">
      <x:c r="A158" s="250" t="str">
        <x:v>●  L2</x:v>
      </x:c>
      <x:c r="B158" s="250" t="str">
        <x:v>●  L2</x:v>
      </x:c>
      <x:c r="C158" s="253" t="str">
        <x:v>●  L∞</x:v>
      </x:c>
      <x:c r="D158" s="253" t="str">
        <x:v>●  L∞</x:v>
      </x:c>
      <x:c r="E158" s="256" t="str">
        <x:v>●  Density</x:v>
      </x:c>
      <x:c r="F158" s="256" t="str">
        <x:v>●  Density</x:v>
      </x:c>
      <x:c r="G158" s="256" t="str">
        <x:v>●  Density</x:v>
      </x:c>
      <x:c r="H158" s="259" t="str">
        <x:v>●  MMD</x:v>
      </x:c>
      <x:c r="I158" s="259" t="str">
        <x:v>●  MMD</x:v>
      </x:c>
      <x:c r="J158" s="259" t="str">
        <x:v>●  MMD</x:v>
      </x:c>
      <x:c r="K158"/>
      <x:c r="L158" s="250" t="str">
        <x:v>●  L2</x:v>
      </x:c>
      <x:c r="M158" s="250" t="str">
        <x:v>●  L2</x:v>
      </x:c>
      <x:c r="N158" s="253" t="str">
        <x:v>●  L∞</x:v>
      </x:c>
      <x:c r="O158" s="253" t="str">
        <x:v>●  L∞</x:v>
      </x:c>
      <x:c r="P158" s="256" t="str">
        <x:v>●  Density</x:v>
      </x:c>
      <x:c r="Q158" s="256" t="str">
        <x:v>●  Density</x:v>
      </x:c>
      <x:c r="R158" s="256" t="str">
        <x:v>●  Density</x:v>
      </x:c>
      <x:c r="S158" s="259" t="str">
        <x:v>●  MMD</x:v>
      </x:c>
      <x:c r="T158" s="259" t="str">
        <x:v>●  MMD</x:v>
      </x:c>
      <x:c r="U158" s="259" t="str">
        <x:v>●  MMD</x:v>
      </x:c>
    </x:row>
    <x:row r="159" ht="18" customHeight="1">
      <x:c r="A159"/>
      <x:c r="B159"/>
      <x:c r="C159" s="262" t="str">
        <x:v>━━━━  FNR (solid)</x:v>
      </x:c>
      <x:c r="D159" s="262" t="str">
        <x:v>━━━━  FNR (solid)</x:v>
      </x:c>
      <x:c r="E159" s="262" t="str">
        <x:v>━━━━  FNR (solid)</x:v>
      </x:c>
      <x:c r="F159" s="321" t="str">
        <x:v>┄┄┄┄  FPR (dashed)</x:v>
      </x:c>
      <x:c r="G159" s="321" t="str">
        <x:v>┄┄┄┄  FPR (dashed)</x:v>
      </x:c>
      <x:c r="H159" s="321" t="str">
        <x:v>┄┄┄┄  FPR (dashed)</x:v>
      </x:c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</x:row>
    <x:row r="178" ht="18" customHeight="1">
      <x:c r="A178" s="250" t="str">
        <x:v>●  L2</x:v>
      </x:c>
      <x:c r="B178" s="250" t="str">
        <x:v>●  L2</x:v>
      </x:c>
      <x:c r="C178" s="253" t="str">
        <x:v>●  L∞</x:v>
      </x:c>
      <x:c r="D178" s="253" t="str">
        <x:v>●  L∞</x:v>
      </x:c>
      <x:c r="E178" s="256" t="str">
        <x:v>●  Density</x:v>
      </x:c>
      <x:c r="F178" s="256" t="str">
        <x:v>●  Density</x:v>
      </x:c>
      <x:c r="G178" s="256" t="str">
        <x:v>●  Density</x:v>
      </x:c>
      <x:c r="H178" s="259" t="str">
        <x:v>●  MMD</x:v>
      </x:c>
      <x:c r="I178" s="259" t="str">
        <x:v>●  MMD</x:v>
      </x:c>
      <x:c r="J178" s="259" t="str">
        <x:v>●  MMD</x:v>
      </x:c>
      <x:c r="K178"/>
      <x:c r="L178" s="250" t="str">
        <x:v>●  L2</x:v>
      </x:c>
      <x:c r="M178" s="250" t="str">
        <x:v>●  L2</x:v>
      </x:c>
      <x:c r="N178" s="253" t="str">
        <x:v>●  L∞</x:v>
      </x:c>
      <x:c r="O178" s="253" t="str">
        <x:v>●  L∞</x:v>
      </x:c>
      <x:c r="P178" s="256" t="str">
        <x:v>●  Density</x:v>
      </x:c>
      <x:c r="Q178" s="256" t="str">
        <x:v>●  Density</x:v>
      </x:c>
      <x:c r="R178" s="256" t="str">
        <x:v>●  Density</x:v>
      </x:c>
      <x:c r="S178" s="259" t="str">
        <x:v>●  MMD</x:v>
      </x:c>
      <x:c r="T178" s="259" t="str">
        <x:v>●  MMD</x:v>
      </x:c>
      <x:c r="U178" s="259" t="str">
        <x:v>●  MMD</x:v>
      </x:c>
    </x:row>
    <x:row r="179" ht="18" customHeight="1">
      <x:c r="A179"/>
      <x:c r="B179"/>
      <x:c r="C179" s="262" t="str">
        <x:v>━━━━  FNR (solid)</x:v>
      </x:c>
      <x:c r="D179" s="262" t="str">
        <x:v>━━━━  FNR (solid)</x:v>
      </x:c>
      <x:c r="E179" s="262" t="str">
        <x:v>━━━━  FNR (solid)</x:v>
      </x:c>
      <x:c r="F179" s="321" t="str">
        <x:v>┄┄┄┄  FPR (dashed)</x:v>
      </x:c>
      <x:c r="G179" s="321" t="str">
        <x:v>┄┄┄┄  FPR (dashed)</x:v>
      </x:c>
      <x:c r="H179" s="321" t="str">
        <x:v>┄┄┄┄  FPR (dashed)</x:v>
      </x:c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</x:row>
    <x:row r="198" ht="18" customHeight="1">
      <x:c r="A198" s="250" t="str">
        <x:v>●  L2</x:v>
      </x:c>
      <x:c r="B198" s="250" t="str">
        <x:v>●  L2</x:v>
      </x:c>
      <x:c r="C198" s="253" t="str">
        <x:v>●  L∞</x:v>
      </x:c>
      <x:c r="D198" s="253" t="str">
        <x:v>●  L∞</x:v>
      </x:c>
      <x:c r="E198" s="256" t="str">
        <x:v>●  Density</x:v>
      </x:c>
      <x:c r="F198" s="256" t="str">
        <x:v>●  Density</x:v>
      </x:c>
      <x:c r="G198" s="256" t="str">
        <x:v>●  Density</x:v>
      </x:c>
      <x:c r="H198" s="259" t="str">
        <x:v>●  MMD</x:v>
      </x:c>
      <x:c r="I198" s="259" t="str">
        <x:v>●  MMD</x:v>
      </x:c>
      <x:c r="J198" s="259" t="str">
        <x:v>●  MMD</x:v>
      </x:c>
      <x:c r="K198"/>
      <x:c r="L198" s="250" t="str">
        <x:v>●  L2</x:v>
      </x:c>
      <x:c r="M198" s="250" t="str">
        <x:v>●  L2</x:v>
      </x:c>
      <x:c r="N198" s="253" t="str">
        <x:v>●  L∞</x:v>
      </x:c>
      <x:c r="O198" s="253" t="str">
        <x:v>●  L∞</x:v>
      </x:c>
      <x:c r="P198" s="256" t="str">
        <x:v>●  Density</x:v>
      </x:c>
      <x:c r="Q198" s="256" t="str">
        <x:v>●  Density</x:v>
      </x:c>
      <x:c r="R198" s="256" t="str">
        <x:v>●  Density</x:v>
      </x:c>
      <x:c r="S198" s="259" t="str">
        <x:v>●  MMD</x:v>
      </x:c>
      <x:c r="T198" s="259" t="str">
        <x:v>●  MMD</x:v>
      </x:c>
      <x:c r="U198" s="259" t="str">
        <x:v>●  MMD</x:v>
      </x:c>
    </x:row>
    <x:row r="199" ht="18" customHeight="1">
      <x:c r="A199"/>
      <x:c r="B199"/>
      <x:c r="C199" s="262" t="str">
        <x:v>━━━━  FNR (solid)</x:v>
      </x:c>
      <x:c r="D199" s="262" t="str">
        <x:v>━━━━  FNR (solid)</x:v>
      </x:c>
      <x:c r="E199" s="262" t="str">
        <x:v>━━━━  FNR (solid)</x:v>
      </x:c>
      <x:c r="F199" s="321" t="str">
        <x:v>┄┄┄┄  FPR (dashed)</x:v>
      </x:c>
      <x:c r="G199" s="321" t="str">
        <x:v>┄┄┄┄  FPR (dashed)</x:v>
      </x:c>
      <x:c r="H199" s="321" t="str">
        <x:v>┄┄┄┄  FPR (dashed)</x:v>
      </x:c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</x:row>
    <x:row r="218" ht="18" customHeight="1">
      <x:c r="A218" s="250" t="str">
        <x:v>●  L2</x:v>
      </x:c>
      <x:c r="B218" s="250" t="str">
        <x:v>●  L2</x:v>
      </x:c>
      <x:c r="C218" s="253" t="str">
        <x:v>●  L∞</x:v>
      </x:c>
      <x:c r="D218" s="253" t="str">
        <x:v>●  L∞</x:v>
      </x:c>
      <x:c r="E218" s="256" t="str">
        <x:v>●  Density</x:v>
      </x:c>
      <x:c r="F218" s="256" t="str">
        <x:v>●  Density</x:v>
      </x:c>
      <x:c r="G218" s="256" t="str">
        <x:v>●  Density</x:v>
      </x:c>
      <x:c r="H218" s="259" t="str">
        <x:v>●  MMD</x:v>
      </x:c>
      <x:c r="I218" s="259" t="str">
        <x:v>●  MMD</x:v>
      </x:c>
      <x:c r="J218" s="259" t="str">
        <x:v>●  MMD</x:v>
      </x:c>
      <x:c r="K218"/>
      <x:c r="L218" s="250" t="str">
        <x:v>●  L2</x:v>
      </x:c>
      <x:c r="M218" s="250" t="str">
        <x:v>●  L2</x:v>
      </x:c>
      <x:c r="N218" s="253" t="str">
        <x:v>●  L∞</x:v>
      </x:c>
      <x:c r="O218" s="253" t="str">
        <x:v>●  L∞</x:v>
      </x:c>
      <x:c r="P218" s="256" t="str">
        <x:v>●  Density</x:v>
      </x:c>
      <x:c r="Q218" s="256" t="str">
        <x:v>●  Density</x:v>
      </x:c>
      <x:c r="R218" s="256" t="str">
        <x:v>●  Density</x:v>
      </x:c>
      <x:c r="S218" s="259" t="str">
        <x:v>●  MMD</x:v>
      </x:c>
      <x:c r="T218" s="259" t="str">
        <x:v>●  MMD</x:v>
      </x:c>
      <x:c r="U218" s="259" t="str">
        <x:v>●  MMD</x:v>
      </x:c>
    </x:row>
    <x:row r="219" ht="18" customHeight="1">
      <x:c r="A219"/>
      <x:c r="B219"/>
      <x:c r="C219" s="262" t="str">
        <x:v>━━━━  FNR (solid)</x:v>
      </x:c>
      <x:c r="D219" s="262" t="str">
        <x:v>━━━━  FNR (solid)</x:v>
      </x:c>
      <x:c r="E219" s="262" t="str">
        <x:v>━━━━  FNR (solid)</x:v>
      </x:c>
      <x:c r="F219" s="321" t="str">
        <x:v>┄┄┄┄  FPR (dashed)</x:v>
      </x:c>
      <x:c r="G219" s="321" t="str">
        <x:v>┄┄┄┄  FPR (dashed)</x:v>
      </x:c>
      <x:c r="H219" s="321" t="str">
        <x:v>┄┄┄┄  FPR (dashed)</x:v>
      </x:c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</x:row>
    <x:row r="238" ht="18" customHeight="1">
      <x:c r="A238" s="250" t="str">
        <x:v>●  L2</x:v>
      </x:c>
      <x:c r="B238" s="250" t="str">
        <x:v>●  L2</x:v>
      </x:c>
      <x:c r="C238" s="253" t="str">
        <x:v>●  L∞</x:v>
      </x:c>
      <x:c r="D238" s="253" t="str">
        <x:v>●  L∞</x:v>
      </x:c>
      <x:c r="E238" s="256" t="str">
        <x:v>●  Density</x:v>
      </x:c>
      <x:c r="F238" s="256" t="str">
        <x:v>●  Density</x:v>
      </x:c>
      <x:c r="G238" s="256" t="str">
        <x:v>●  Density</x:v>
      </x:c>
      <x:c r="H238" s="259" t="str">
        <x:v>●  MMD</x:v>
      </x:c>
      <x:c r="I238" s="259" t="str">
        <x:v>●  MMD</x:v>
      </x:c>
      <x:c r="J238" s="259" t="str">
        <x:v>●  MMD</x:v>
      </x:c>
      <x:c r="K238"/>
      <x:c r="L238" s="250" t="str">
        <x:v>●  L2</x:v>
      </x:c>
      <x:c r="M238" s="250" t="str">
        <x:v>●  L2</x:v>
      </x:c>
      <x:c r="N238" s="253" t="str">
        <x:v>●  L∞</x:v>
      </x:c>
      <x:c r="O238" s="253" t="str">
        <x:v>●  L∞</x:v>
      </x:c>
      <x:c r="P238" s="256" t="str">
        <x:v>●  Density</x:v>
      </x:c>
      <x:c r="Q238" s="256" t="str">
        <x:v>●  Density</x:v>
      </x:c>
      <x:c r="R238" s="256" t="str">
        <x:v>●  Density</x:v>
      </x:c>
      <x:c r="S238" s="259" t="str">
        <x:v>●  MMD</x:v>
      </x:c>
      <x:c r="T238" s="259" t="str">
        <x:v>●  MMD</x:v>
      </x:c>
      <x:c r="U238" s="259" t="str">
        <x:v>●  MMD</x:v>
      </x:c>
    </x:row>
    <x:row r="239" ht="18" customHeight="1">
      <x:c r="A239"/>
      <x:c r="B239"/>
      <x:c r="C239" s="262" t="str">
        <x:v>━━━━  FNR (solid)</x:v>
      </x:c>
      <x:c r="D239" s="262" t="str">
        <x:v>━━━━  FNR (solid)</x:v>
      </x:c>
      <x:c r="E239" s="262" t="str">
        <x:v>━━━━  FNR (solid)</x:v>
      </x:c>
      <x:c r="F239" s="321" t="str">
        <x:v>┄┄┄┄  FPR (dashed)</x:v>
      </x:c>
      <x:c r="G239" s="321" t="str">
        <x:v>┄┄┄┄  FPR (dashed)</x:v>
      </x:c>
      <x:c r="H239" s="321" t="str">
        <x:v>┄┄┄┄  FPR (dashed)</x:v>
      </x:c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</x:row>
  </x:sheetData>
  <x:mergeCells>
    <x:mergeCell ref="A1:V1"/>
    <x:mergeCell ref="A18:B18"/>
    <x:mergeCell ref="C18:D18"/>
    <x:mergeCell ref="E18:G18"/>
    <x:mergeCell ref="H18:J18"/>
    <x:mergeCell ref="C19:E19"/>
    <x:mergeCell ref="F19:H19"/>
    <x:mergeCell ref="A38:B38"/>
    <x:mergeCell ref="C38:D38"/>
    <x:mergeCell ref="E38:G38"/>
    <x:mergeCell ref="H38:J38"/>
    <x:mergeCell ref="C39:E39"/>
    <x:mergeCell ref="F39:H39"/>
    <x:mergeCell ref="A58:B58"/>
    <x:mergeCell ref="C58:D58"/>
    <x:mergeCell ref="E58:G58"/>
    <x:mergeCell ref="H58:J58"/>
    <x:mergeCell ref="C59:E59"/>
    <x:mergeCell ref="F59:H59"/>
    <x:mergeCell ref="A78:B78"/>
    <x:mergeCell ref="C78:D78"/>
    <x:mergeCell ref="E78:G78"/>
    <x:mergeCell ref="H78:J78"/>
    <x:mergeCell ref="C79:E79"/>
    <x:mergeCell ref="F79:H79"/>
    <x:mergeCell ref="A98:B98"/>
    <x:mergeCell ref="C98:D98"/>
    <x:mergeCell ref="E98:G98"/>
    <x:mergeCell ref="H98:J98"/>
    <x:mergeCell ref="C99:E99"/>
    <x:mergeCell ref="F99:H99"/>
    <x:mergeCell ref="A118:B118"/>
    <x:mergeCell ref="C118:D118"/>
    <x:mergeCell ref="E118:G118"/>
    <x:mergeCell ref="H118:J118"/>
    <x:mergeCell ref="C119:E119"/>
    <x:mergeCell ref="F119:H119"/>
    <x:mergeCell ref="L18:M18"/>
    <x:mergeCell ref="N18:O18"/>
    <x:mergeCell ref="P18:R18"/>
    <x:mergeCell ref="S18:U18"/>
    <x:mergeCell ref="L38:M38"/>
    <x:mergeCell ref="N38:O38"/>
    <x:mergeCell ref="P38:R38"/>
    <x:mergeCell ref="S38:U38"/>
    <x:mergeCell ref="L58:M58"/>
    <x:mergeCell ref="N58:O58"/>
    <x:mergeCell ref="P58:R58"/>
    <x:mergeCell ref="S58:U58"/>
    <x:mergeCell ref="L78:M78"/>
    <x:mergeCell ref="N78:O78"/>
    <x:mergeCell ref="P78:R78"/>
    <x:mergeCell ref="S78:U78"/>
    <x:mergeCell ref="L98:M98"/>
    <x:mergeCell ref="N98:O98"/>
    <x:mergeCell ref="P98:R98"/>
    <x:mergeCell ref="S98:U98"/>
    <x:mergeCell ref="L118:M118"/>
    <x:mergeCell ref="N118:O118"/>
    <x:mergeCell ref="P118:R118"/>
    <x:mergeCell ref="S118:U118"/>
    <x:mergeCell ref="A138:B138"/>
    <x:mergeCell ref="C138:D138"/>
    <x:mergeCell ref="E138:G138"/>
    <x:mergeCell ref="H138:J138"/>
    <x:mergeCell ref="L138:M138"/>
    <x:mergeCell ref="N138:O138"/>
    <x:mergeCell ref="P138:R138"/>
    <x:mergeCell ref="S138:U138"/>
    <x:mergeCell ref="C139:E139"/>
    <x:mergeCell ref="F139:H139"/>
    <x:mergeCell ref="A158:B158"/>
    <x:mergeCell ref="C158:D158"/>
    <x:mergeCell ref="E158:G158"/>
    <x:mergeCell ref="H158:J158"/>
    <x:mergeCell ref="L158:M158"/>
    <x:mergeCell ref="N158:O158"/>
    <x:mergeCell ref="P158:R158"/>
    <x:mergeCell ref="S158:U158"/>
    <x:mergeCell ref="C159:E159"/>
    <x:mergeCell ref="F159:H159"/>
    <x:mergeCell ref="A178:B178"/>
    <x:mergeCell ref="C178:D178"/>
    <x:mergeCell ref="E178:G178"/>
    <x:mergeCell ref="H178:J178"/>
    <x:mergeCell ref="L178:M178"/>
    <x:mergeCell ref="N178:O178"/>
    <x:mergeCell ref="P178:R178"/>
    <x:mergeCell ref="S178:U178"/>
    <x:mergeCell ref="C179:E179"/>
    <x:mergeCell ref="F179:H179"/>
    <x:mergeCell ref="A198:B198"/>
    <x:mergeCell ref="C198:D198"/>
    <x:mergeCell ref="E198:G198"/>
    <x:mergeCell ref="H198:J198"/>
    <x:mergeCell ref="L198:M198"/>
    <x:mergeCell ref="N198:O198"/>
    <x:mergeCell ref="P198:R198"/>
    <x:mergeCell ref="S198:U198"/>
    <x:mergeCell ref="C199:E199"/>
    <x:mergeCell ref="F199:H199"/>
    <x:mergeCell ref="A218:B218"/>
    <x:mergeCell ref="C218:D218"/>
    <x:mergeCell ref="E218:G218"/>
    <x:mergeCell ref="H218:J218"/>
    <x:mergeCell ref="L218:M218"/>
    <x:mergeCell ref="N218:O218"/>
    <x:mergeCell ref="P218:R218"/>
    <x:mergeCell ref="S218:U218"/>
    <x:mergeCell ref="C219:E219"/>
    <x:mergeCell ref="F219:H219"/>
    <x:mergeCell ref="A238:B238"/>
    <x:mergeCell ref="C238:D238"/>
    <x:mergeCell ref="E238:G238"/>
    <x:mergeCell ref="H238:J238"/>
    <x:mergeCell ref="L238:M238"/>
    <x:mergeCell ref="N238:O238"/>
    <x:mergeCell ref="P238:R238"/>
    <x:mergeCell ref="S238:U238"/>
    <x:mergeCell ref="C239:E239"/>
    <x:mergeCell ref="F239:H239"/>
  </x:mergeCells>
  <x:pageMargins left="0.7" right="0.7" top="0.75" bottom="0.75" header="0.3" footer="0.3"/>
  <x:drawing xmlns:r="http://schemas.openxmlformats.org/officeDocument/2006/relationships" r:id="R5e6c18473dd34dbf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</x:cols>
  <x:sheetData>
    <x:row r="1" ht="28" customHeight="1">
      <x:c r="A1" s="227" t="str">
        <x:v>Empirical data — FNR/FPR and AUC trends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  <x:c r="O1" s="227"/>
      <x:c r="P1" s="227"/>
      <x:c r="Q1" s="227"/>
      <x:c r="R1" s="227"/>
      <x:c r="S1" s="227"/>
      <x:c r="T1" s="227"/>
      <x:c r="U1" s="227"/>
      <x:c r="V1" s="227"/>
    </x:row>
    <x:row r="18" ht="18" customHeight="1">
      <x:c r="A18" s="251" t="str">
        <x:v>●  L2</x:v>
      </x:c>
      <x:c r="B18" s="251" t="str">
        <x:v>●  L2</x:v>
      </x:c>
      <x:c r="C18" s="254" t="str">
        <x:v>●  L∞</x:v>
      </x:c>
      <x:c r="D18" s="254" t="str">
        <x:v>●  L∞</x:v>
      </x:c>
      <x:c r="E18" s="257" t="str">
        <x:v>●  Density</x:v>
      </x:c>
      <x:c r="F18" s="257" t="str">
        <x:v>●  Density</x:v>
      </x:c>
      <x:c r="G18" s="257" t="str">
        <x:v>●  Density</x:v>
      </x:c>
      <x:c r="H18" s="260" t="str">
        <x:v>●  MMD</x:v>
      </x:c>
      <x:c r="I18" s="260" t="str">
        <x:v>●  MMD</x:v>
      </x:c>
      <x:c r="J18" s="260" t="str">
        <x:v>●  MMD</x:v>
      </x:c>
      <x:c r="L18" s="251" t="str">
        <x:v>●  L2</x:v>
      </x:c>
      <x:c r="M18" s="251" t="str">
        <x:v>●  L2</x:v>
      </x:c>
      <x:c r="N18" s="254" t="str">
        <x:v>●  L∞</x:v>
      </x:c>
      <x:c r="O18" s="254" t="str">
        <x:v>●  L∞</x:v>
      </x:c>
      <x:c r="P18" s="257" t="str">
        <x:v>●  Density</x:v>
      </x:c>
      <x:c r="Q18" s="257" t="str">
        <x:v>●  Density</x:v>
      </x:c>
      <x:c r="R18" s="257" t="str">
        <x:v>●  Density</x:v>
      </x:c>
      <x:c r="S18" s="260" t="str">
        <x:v>●  MMD</x:v>
      </x:c>
      <x:c r="T18" s="260" t="str">
        <x:v>●  MMD</x:v>
      </x:c>
      <x:c r="U18" s="260" t="str">
        <x:v>●  MMD</x:v>
      </x:c>
    </x:row>
    <x:row r="19" ht="18" customHeight="1">
      <x:c r="C19" s="263" t="str">
        <x:v>━━━━  FNR (solid)</x:v>
      </x:c>
      <x:c r="D19" s="263" t="str">
        <x:v>━━━━  FNR (solid)</x:v>
      </x:c>
      <x:c r="E19" s="263" t="str">
        <x:v>━━━━  FNR (solid)</x:v>
      </x:c>
      <x:c r="F19" s="266" t="str">
        <x:v>┄┄┄┄  FPR (dashed)</x:v>
      </x:c>
      <x:c r="G19" s="266" t="str">
        <x:v>┄┄┄┄  FPR (dashed)</x:v>
      </x:c>
      <x:c r="H19" s="266" t="str">
        <x:v>┄┄┄┄  FPR (dashed)</x:v>
      </x:c>
    </x:row>
    <x:row r="38" ht="18" customHeight="1">
      <x:c r="A38" s="251" t="str">
        <x:v>●  L2</x:v>
      </x:c>
      <x:c r="B38" s="251" t="str">
        <x:v>●  L2</x:v>
      </x:c>
      <x:c r="C38" s="254" t="str">
        <x:v>●  L∞</x:v>
      </x:c>
      <x:c r="D38" s="254" t="str">
        <x:v>●  L∞</x:v>
      </x:c>
      <x:c r="E38" s="257" t="str">
        <x:v>●  Density</x:v>
      </x:c>
      <x:c r="F38" s="257" t="str">
        <x:v>●  Density</x:v>
      </x:c>
      <x:c r="G38" s="257" t="str">
        <x:v>●  Density</x:v>
      </x:c>
      <x:c r="H38" s="260" t="str">
        <x:v>●  MMD</x:v>
      </x:c>
      <x:c r="I38" s="260" t="str">
        <x:v>●  MMD</x:v>
      </x:c>
      <x:c r="J38" s="260" t="str">
        <x:v>●  MMD</x:v>
      </x:c>
      <x:c r="L38" s="251" t="str">
        <x:v>●  L2</x:v>
      </x:c>
      <x:c r="M38" s="251" t="str">
        <x:v>●  L2</x:v>
      </x:c>
      <x:c r="N38" s="254" t="str">
        <x:v>●  L∞</x:v>
      </x:c>
      <x:c r="O38" s="254" t="str">
        <x:v>●  L∞</x:v>
      </x:c>
      <x:c r="P38" s="257" t="str">
        <x:v>●  Density</x:v>
      </x:c>
      <x:c r="Q38" s="257" t="str">
        <x:v>●  Density</x:v>
      </x:c>
      <x:c r="R38" s="257" t="str">
        <x:v>●  Density</x:v>
      </x:c>
      <x:c r="S38" s="260" t="str">
        <x:v>●  MMD</x:v>
      </x:c>
      <x:c r="T38" s="260" t="str">
        <x:v>●  MMD</x:v>
      </x:c>
      <x:c r="U38" s="260" t="str">
        <x:v>●  MMD</x:v>
      </x:c>
    </x:row>
    <x:row r="39" ht="18" customHeight="1">
      <x:c r="C39" s="263" t="str">
        <x:v>━━━━  FNR (solid)</x:v>
      </x:c>
      <x:c r="D39" s="263" t="str">
        <x:v>━━━━  FNR (solid)</x:v>
      </x:c>
      <x:c r="E39" s="263" t="str">
        <x:v>━━━━  FNR (solid)</x:v>
      </x:c>
      <x:c r="F39" s="266" t="str">
        <x:v>┄┄┄┄  FPR (dashed)</x:v>
      </x:c>
      <x:c r="G39" s="266" t="str">
        <x:v>┄┄┄┄  FPR (dashed)</x:v>
      </x:c>
      <x:c r="H39" s="266" t="str">
        <x:v>┄┄┄┄  FPR (dashed)</x:v>
      </x:c>
    </x:row>
    <x:row r="58" ht="18" customHeight="1">
      <x:c r="A58" s="251" t="str">
        <x:v>●  L2</x:v>
      </x:c>
      <x:c r="B58" s="251" t="str">
        <x:v>●  L2</x:v>
      </x:c>
      <x:c r="C58" s="254" t="str">
        <x:v>●  L∞</x:v>
      </x:c>
      <x:c r="D58" s="254" t="str">
        <x:v>●  L∞</x:v>
      </x:c>
      <x:c r="E58" s="257" t="str">
        <x:v>●  Density</x:v>
      </x:c>
      <x:c r="F58" s="257" t="str">
        <x:v>●  Density</x:v>
      </x:c>
      <x:c r="G58" s="257" t="str">
        <x:v>●  Density</x:v>
      </x:c>
      <x:c r="H58" s="260" t="str">
        <x:v>●  MMD</x:v>
      </x:c>
      <x:c r="I58" s="260" t="str">
        <x:v>●  MMD</x:v>
      </x:c>
      <x:c r="J58" s="260" t="str">
        <x:v>●  MMD</x:v>
      </x:c>
      <x:c r="L58" s="251" t="str">
        <x:v>●  L2</x:v>
      </x:c>
      <x:c r="M58" s="251" t="str">
        <x:v>●  L2</x:v>
      </x:c>
      <x:c r="N58" s="254" t="str">
        <x:v>●  L∞</x:v>
      </x:c>
      <x:c r="O58" s="254" t="str">
        <x:v>●  L∞</x:v>
      </x:c>
      <x:c r="P58" s="257" t="str">
        <x:v>●  Density</x:v>
      </x:c>
      <x:c r="Q58" s="257" t="str">
        <x:v>●  Density</x:v>
      </x:c>
      <x:c r="R58" s="257" t="str">
        <x:v>●  Density</x:v>
      </x:c>
      <x:c r="S58" s="260" t="str">
        <x:v>●  MMD</x:v>
      </x:c>
      <x:c r="T58" s="260" t="str">
        <x:v>●  MMD</x:v>
      </x:c>
      <x:c r="U58" s="260" t="str">
        <x:v>●  MMD</x:v>
      </x:c>
    </x:row>
    <x:row r="59" ht="18" customHeight="1">
      <x:c r="C59" s="263" t="str">
        <x:v>━━━━  FNR (solid)</x:v>
      </x:c>
      <x:c r="D59" s="263" t="str">
        <x:v>━━━━  FNR (solid)</x:v>
      </x:c>
      <x:c r="E59" s="263" t="str">
        <x:v>━━━━  FNR (solid)</x:v>
      </x:c>
      <x:c r="F59" s="266" t="str">
        <x:v>┄┄┄┄  FPR (dashed)</x:v>
      </x:c>
      <x:c r="G59" s="266" t="str">
        <x:v>┄┄┄┄  FPR (dashed)</x:v>
      </x:c>
      <x:c r="H59" s="266" t="str">
        <x:v>┄┄┄┄  FPR (dashed)</x:v>
      </x:c>
    </x:row>
    <x:row r="78" ht="18" customHeight="1">
      <x:c r="A78" s="251" t="str">
        <x:v>●  L2</x:v>
      </x:c>
      <x:c r="B78" s="251" t="str">
        <x:v>●  L2</x:v>
      </x:c>
      <x:c r="C78" s="254" t="str">
        <x:v>●  L∞</x:v>
      </x:c>
      <x:c r="D78" s="254" t="str">
        <x:v>●  L∞</x:v>
      </x:c>
      <x:c r="E78" s="257" t="str">
        <x:v>●  Density</x:v>
      </x:c>
      <x:c r="F78" s="257" t="str">
        <x:v>●  Density</x:v>
      </x:c>
      <x:c r="G78" s="257" t="str">
        <x:v>●  Density</x:v>
      </x:c>
      <x:c r="H78" s="260" t="str">
        <x:v>●  MMD</x:v>
      </x:c>
      <x:c r="I78" s="260" t="str">
        <x:v>●  MMD</x:v>
      </x:c>
      <x:c r="J78" s="260" t="str">
        <x:v>●  MMD</x:v>
      </x:c>
      <x:c r="L78" s="251" t="str">
        <x:v>●  L2</x:v>
      </x:c>
      <x:c r="M78" s="251" t="str">
        <x:v>●  L2</x:v>
      </x:c>
      <x:c r="N78" s="254" t="str">
        <x:v>●  L∞</x:v>
      </x:c>
      <x:c r="O78" s="254" t="str">
        <x:v>●  L∞</x:v>
      </x:c>
      <x:c r="P78" s="257" t="str">
        <x:v>●  Density</x:v>
      </x:c>
      <x:c r="Q78" s="257" t="str">
        <x:v>●  Density</x:v>
      </x:c>
      <x:c r="R78" s="257" t="str">
        <x:v>●  Density</x:v>
      </x:c>
      <x:c r="S78" s="260" t="str">
        <x:v>●  MMD</x:v>
      </x:c>
      <x:c r="T78" s="260" t="str">
        <x:v>●  MMD</x:v>
      </x:c>
      <x:c r="U78" s="260" t="str">
        <x:v>●  MMD</x:v>
      </x:c>
    </x:row>
    <x:row r="79" ht="18" customHeight="1">
      <x:c r="C79" s="263" t="str">
        <x:v>━━━━  FNR (solid)</x:v>
      </x:c>
      <x:c r="D79" s="263" t="str">
        <x:v>━━━━  FNR (solid)</x:v>
      </x:c>
      <x:c r="E79" s="263" t="str">
        <x:v>━━━━  FNR (solid)</x:v>
      </x:c>
      <x:c r="F79" s="266" t="str">
        <x:v>┄┄┄┄  FPR (dashed)</x:v>
      </x:c>
      <x:c r="G79" s="266" t="str">
        <x:v>┄┄┄┄  FPR (dashed)</x:v>
      </x:c>
      <x:c r="H79" s="266" t="str">
        <x:v>┄┄┄┄  FPR (dashed)</x:v>
      </x:c>
    </x:row>
    <x:row r="98" ht="18" customHeight="1">
      <x:c r="A98" s="251" t="str">
        <x:v>●  L2</x:v>
      </x:c>
      <x:c r="B98" s="251" t="str">
        <x:v>●  L2</x:v>
      </x:c>
      <x:c r="C98" s="254" t="str">
        <x:v>●  L∞</x:v>
      </x:c>
      <x:c r="D98" s="254" t="str">
        <x:v>●  L∞</x:v>
      </x:c>
      <x:c r="E98" s="257" t="str">
        <x:v>●  Density</x:v>
      </x:c>
      <x:c r="F98" s="257" t="str">
        <x:v>●  Density</x:v>
      </x:c>
      <x:c r="G98" s="257" t="str">
        <x:v>●  Density</x:v>
      </x:c>
      <x:c r="H98" s="260" t="str">
        <x:v>●  MMD</x:v>
      </x:c>
      <x:c r="I98" s="260" t="str">
        <x:v>●  MMD</x:v>
      </x:c>
      <x:c r="J98" s="260" t="str">
        <x:v>●  MMD</x:v>
      </x:c>
      <x:c r="L98" s="251" t="str">
        <x:v>●  L2</x:v>
      </x:c>
      <x:c r="M98" s="251" t="str">
        <x:v>●  L2</x:v>
      </x:c>
      <x:c r="N98" s="254" t="str">
        <x:v>●  L∞</x:v>
      </x:c>
      <x:c r="O98" s="254" t="str">
        <x:v>●  L∞</x:v>
      </x:c>
      <x:c r="P98" s="257" t="str">
        <x:v>●  Density</x:v>
      </x:c>
      <x:c r="Q98" s="257" t="str">
        <x:v>●  Density</x:v>
      </x:c>
      <x:c r="R98" s="257" t="str">
        <x:v>●  Density</x:v>
      </x:c>
      <x:c r="S98" s="260" t="str">
        <x:v>●  MMD</x:v>
      </x:c>
      <x:c r="T98" s="260" t="str">
        <x:v>●  MMD</x:v>
      </x:c>
      <x:c r="U98" s="260" t="str">
        <x:v>●  MMD</x:v>
      </x:c>
    </x:row>
    <x:row r="99" ht="18" customHeight="1">
      <x:c r="C99" s="263" t="str">
        <x:v>━━━━  FNR (solid)</x:v>
      </x:c>
      <x:c r="D99" s="263" t="str">
        <x:v>━━━━  FNR (solid)</x:v>
      </x:c>
      <x:c r="E99" s="263" t="str">
        <x:v>━━━━  FNR (solid)</x:v>
      </x:c>
      <x:c r="F99" s="266" t="str">
        <x:v>┄┄┄┄  FPR (dashed)</x:v>
      </x:c>
      <x:c r="G99" s="266" t="str">
        <x:v>┄┄┄┄  FPR (dashed)</x:v>
      </x:c>
      <x:c r="H99" s="266" t="str">
        <x:v>┄┄┄┄  FPR (dashed)</x:v>
      </x:c>
    </x:row>
    <x:row r="118" ht="18" customHeight="1">
      <x:c r="A118" s="251" t="str">
        <x:v>●  L2</x:v>
      </x:c>
      <x:c r="B118" s="251" t="str">
        <x:v>●  L2</x:v>
      </x:c>
      <x:c r="C118" s="254" t="str">
        <x:v>●  L∞</x:v>
      </x:c>
      <x:c r="D118" s="254" t="str">
        <x:v>●  L∞</x:v>
      </x:c>
      <x:c r="E118" s="257" t="str">
        <x:v>●  Density</x:v>
      </x:c>
      <x:c r="F118" s="257" t="str">
        <x:v>●  Density</x:v>
      </x:c>
      <x:c r="G118" s="257" t="str">
        <x:v>●  Density</x:v>
      </x:c>
      <x:c r="H118" s="260" t="str">
        <x:v>●  MMD</x:v>
      </x:c>
      <x:c r="I118" s="260" t="str">
        <x:v>●  MMD</x:v>
      </x:c>
      <x:c r="J118" s="260" t="str">
        <x:v>●  MMD</x:v>
      </x:c>
      <x:c r="L118" s="251" t="str">
        <x:v>●  L2</x:v>
      </x:c>
      <x:c r="M118" s="251" t="str">
        <x:v>●  L2</x:v>
      </x:c>
      <x:c r="N118" s="254" t="str">
        <x:v>●  L∞</x:v>
      </x:c>
      <x:c r="O118" s="254" t="str">
        <x:v>●  L∞</x:v>
      </x:c>
      <x:c r="P118" s="257" t="str">
        <x:v>●  Density</x:v>
      </x:c>
      <x:c r="Q118" s="257" t="str">
        <x:v>●  Density</x:v>
      </x:c>
      <x:c r="R118" s="257" t="str">
        <x:v>●  Density</x:v>
      </x:c>
      <x:c r="S118" s="260" t="str">
        <x:v>●  MMD</x:v>
      </x:c>
      <x:c r="T118" s="260" t="str">
        <x:v>●  MMD</x:v>
      </x:c>
      <x:c r="U118" s="260" t="str">
        <x:v>●  MMD</x:v>
      </x:c>
    </x:row>
    <x:row r="119" ht="18" customHeight="1">
      <x:c r="C119" s="263" t="str">
        <x:v>━━━━  FNR (solid)</x:v>
      </x:c>
      <x:c r="D119" s="263" t="str">
        <x:v>━━━━  FNR (solid)</x:v>
      </x:c>
      <x:c r="E119" s="263" t="str">
        <x:v>━━━━  FNR (solid)</x:v>
      </x:c>
      <x:c r="F119" s="266" t="str">
        <x:v>┄┄┄┄  FPR (dashed)</x:v>
      </x:c>
      <x:c r="G119" s="266" t="str">
        <x:v>┄┄┄┄  FPR (dashed)</x:v>
      </x:c>
      <x:c r="H119" s="266" t="str">
        <x:v>┄┄┄┄  FPR (dashed)</x:v>
      </x:c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</x:row>
    <x:row r="138" ht="18" customHeight="1">
      <x:c r="A138" s="250" t="str">
        <x:v>●  L2</x:v>
      </x:c>
      <x:c r="B138" s="250" t="str">
        <x:v>●  L2</x:v>
      </x:c>
      <x:c r="C138" s="253" t="str">
        <x:v>●  L∞</x:v>
      </x:c>
      <x:c r="D138" s="253" t="str">
        <x:v>●  L∞</x:v>
      </x:c>
      <x:c r="E138" s="256" t="str">
        <x:v>●  Density</x:v>
      </x:c>
      <x:c r="F138" s="256" t="str">
        <x:v>●  Density</x:v>
      </x:c>
      <x:c r="G138" s="256" t="str">
        <x:v>●  Density</x:v>
      </x:c>
      <x:c r="H138" s="259" t="str">
        <x:v>●  MMD</x:v>
      </x:c>
      <x:c r="I138" s="259" t="str">
        <x:v>●  MMD</x:v>
      </x:c>
      <x:c r="J138" s="259" t="str">
        <x:v>●  MMD</x:v>
      </x:c>
      <x:c r="K138"/>
      <x:c r="L138" s="250" t="str">
        <x:v>●  L2</x:v>
      </x:c>
      <x:c r="M138" s="250" t="str">
        <x:v>●  L2</x:v>
      </x:c>
      <x:c r="N138" s="253" t="str">
        <x:v>●  L∞</x:v>
      </x:c>
      <x:c r="O138" s="253" t="str">
        <x:v>●  L∞</x:v>
      </x:c>
      <x:c r="P138" s="256" t="str">
        <x:v>●  Density</x:v>
      </x:c>
      <x:c r="Q138" s="256" t="str">
        <x:v>●  Density</x:v>
      </x:c>
      <x:c r="R138" s="256" t="str">
        <x:v>●  Density</x:v>
      </x:c>
      <x:c r="S138" s="259" t="str">
        <x:v>●  MMD</x:v>
      </x:c>
      <x:c r="T138" s="259" t="str">
        <x:v>●  MMD</x:v>
      </x:c>
      <x:c r="U138" s="259" t="str">
        <x:v>●  MMD</x:v>
      </x:c>
    </x:row>
    <x:row r="139" ht="18" customHeight="1">
      <x:c r="A139"/>
      <x:c r="B139"/>
      <x:c r="C139" s="262" t="str">
        <x:v>━━━━  FNR (solid)</x:v>
      </x:c>
      <x:c r="D139" s="262" t="str">
        <x:v>━━━━  FNR (solid)</x:v>
      </x:c>
      <x:c r="E139" s="262" t="str">
        <x:v>━━━━  FNR (solid)</x:v>
      </x:c>
      <x:c r="F139" s="321" t="str">
        <x:v>┄┄┄┄  FPR (dashed)</x:v>
      </x:c>
      <x:c r="G139" s="321" t="str">
        <x:v>┄┄┄┄  FPR (dashed)</x:v>
      </x:c>
      <x:c r="H139" s="321" t="str">
        <x:v>┄┄┄┄  FPR (dashed)</x:v>
      </x:c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</x:row>
    <x:row r="158" ht="18" customHeight="1">
      <x:c r="A158" s="250" t="str">
        <x:v>●  L2</x:v>
      </x:c>
      <x:c r="B158" s="250" t="str">
        <x:v>●  L2</x:v>
      </x:c>
      <x:c r="C158" s="253" t="str">
        <x:v>●  L∞</x:v>
      </x:c>
      <x:c r="D158" s="253" t="str">
        <x:v>●  L∞</x:v>
      </x:c>
      <x:c r="E158" s="256" t="str">
        <x:v>●  Density</x:v>
      </x:c>
      <x:c r="F158" s="256" t="str">
        <x:v>●  Density</x:v>
      </x:c>
      <x:c r="G158" s="256" t="str">
        <x:v>●  Density</x:v>
      </x:c>
      <x:c r="H158" s="259" t="str">
        <x:v>●  MMD</x:v>
      </x:c>
      <x:c r="I158" s="259" t="str">
        <x:v>●  MMD</x:v>
      </x:c>
      <x:c r="J158" s="259" t="str">
        <x:v>●  MMD</x:v>
      </x:c>
      <x:c r="K158"/>
      <x:c r="L158" s="250" t="str">
        <x:v>●  L2</x:v>
      </x:c>
      <x:c r="M158" s="250" t="str">
        <x:v>●  L2</x:v>
      </x:c>
      <x:c r="N158" s="253" t="str">
        <x:v>●  L∞</x:v>
      </x:c>
      <x:c r="O158" s="253" t="str">
        <x:v>●  L∞</x:v>
      </x:c>
      <x:c r="P158" s="256" t="str">
        <x:v>●  Density</x:v>
      </x:c>
      <x:c r="Q158" s="256" t="str">
        <x:v>●  Density</x:v>
      </x:c>
      <x:c r="R158" s="256" t="str">
        <x:v>●  Density</x:v>
      </x:c>
      <x:c r="S158" s="259" t="str">
        <x:v>●  MMD</x:v>
      </x:c>
      <x:c r="T158" s="259" t="str">
        <x:v>●  MMD</x:v>
      </x:c>
      <x:c r="U158" s="259" t="str">
        <x:v>●  MMD</x:v>
      </x:c>
    </x:row>
    <x:row r="159" ht="18" customHeight="1">
      <x:c r="A159"/>
      <x:c r="B159"/>
      <x:c r="C159" s="262" t="str">
        <x:v>━━━━  FNR (solid)</x:v>
      </x:c>
      <x:c r="D159" s="262" t="str">
        <x:v>━━━━  FNR (solid)</x:v>
      </x:c>
      <x:c r="E159" s="262" t="str">
        <x:v>━━━━  FNR (solid)</x:v>
      </x:c>
      <x:c r="F159" s="321" t="str">
        <x:v>┄┄┄┄  FPR (dashed)</x:v>
      </x:c>
      <x:c r="G159" s="321" t="str">
        <x:v>┄┄┄┄  FPR (dashed)</x:v>
      </x:c>
      <x:c r="H159" s="321" t="str">
        <x:v>┄┄┄┄  FPR (dashed)</x:v>
      </x:c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</x:row>
    <x:row r="178" ht="18" customHeight="1">
      <x:c r="A178" s="250" t="str">
        <x:v>●  L2</x:v>
      </x:c>
      <x:c r="B178" s="250" t="str">
        <x:v>●  L2</x:v>
      </x:c>
      <x:c r="C178" s="253" t="str">
        <x:v>●  L∞</x:v>
      </x:c>
      <x:c r="D178" s="253" t="str">
        <x:v>●  L∞</x:v>
      </x:c>
      <x:c r="E178" s="256" t="str">
        <x:v>●  Density</x:v>
      </x:c>
      <x:c r="F178" s="256" t="str">
        <x:v>●  Density</x:v>
      </x:c>
      <x:c r="G178" s="256" t="str">
        <x:v>●  Density</x:v>
      </x:c>
      <x:c r="H178" s="259" t="str">
        <x:v>●  MMD</x:v>
      </x:c>
      <x:c r="I178" s="259" t="str">
        <x:v>●  MMD</x:v>
      </x:c>
      <x:c r="J178" s="259" t="str">
        <x:v>●  MMD</x:v>
      </x:c>
      <x:c r="K178"/>
      <x:c r="L178" s="250" t="str">
        <x:v>●  L2</x:v>
      </x:c>
      <x:c r="M178" s="250" t="str">
        <x:v>●  L2</x:v>
      </x:c>
      <x:c r="N178" s="253" t="str">
        <x:v>●  L∞</x:v>
      </x:c>
      <x:c r="O178" s="253" t="str">
        <x:v>●  L∞</x:v>
      </x:c>
      <x:c r="P178" s="256" t="str">
        <x:v>●  Density</x:v>
      </x:c>
      <x:c r="Q178" s="256" t="str">
        <x:v>●  Density</x:v>
      </x:c>
      <x:c r="R178" s="256" t="str">
        <x:v>●  Density</x:v>
      </x:c>
      <x:c r="S178" s="259" t="str">
        <x:v>●  MMD</x:v>
      </x:c>
      <x:c r="T178" s="259" t="str">
        <x:v>●  MMD</x:v>
      </x:c>
      <x:c r="U178" s="259" t="str">
        <x:v>●  MMD</x:v>
      </x:c>
    </x:row>
    <x:row r="179" ht="18" customHeight="1">
      <x:c r="A179"/>
      <x:c r="B179"/>
      <x:c r="C179" s="262" t="str">
        <x:v>━━━━  FNR (solid)</x:v>
      </x:c>
      <x:c r="D179" s="262" t="str">
        <x:v>━━━━  FNR (solid)</x:v>
      </x:c>
      <x:c r="E179" s="262" t="str">
        <x:v>━━━━  FNR (solid)</x:v>
      </x:c>
      <x:c r="F179" s="321" t="str">
        <x:v>┄┄┄┄  FPR (dashed)</x:v>
      </x:c>
      <x:c r="G179" s="321" t="str">
        <x:v>┄┄┄┄  FPR (dashed)</x:v>
      </x:c>
      <x:c r="H179" s="321" t="str">
        <x:v>┄┄┄┄  FPR (dashed)</x:v>
      </x:c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</x:row>
    <x:row r="198" ht="18" customHeight="1">
      <x:c r="A198" s="250" t="str">
        <x:v>●  L2</x:v>
      </x:c>
      <x:c r="B198" s="250" t="str">
        <x:v>●  L2</x:v>
      </x:c>
      <x:c r="C198" s="253" t="str">
        <x:v>●  L∞</x:v>
      </x:c>
      <x:c r="D198" s="253" t="str">
        <x:v>●  L∞</x:v>
      </x:c>
      <x:c r="E198" s="256" t="str">
        <x:v>●  Density</x:v>
      </x:c>
      <x:c r="F198" s="256" t="str">
        <x:v>●  Density</x:v>
      </x:c>
      <x:c r="G198" s="256" t="str">
        <x:v>●  Density</x:v>
      </x:c>
      <x:c r="H198" s="259" t="str">
        <x:v>●  MMD</x:v>
      </x:c>
      <x:c r="I198" s="259" t="str">
        <x:v>●  MMD</x:v>
      </x:c>
      <x:c r="J198" s="259" t="str">
        <x:v>●  MMD</x:v>
      </x:c>
      <x:c r="K198"/>
      <x:c r="L198" s="250" t="str">
        <x:v>●  L2</x:v>
      </x:c>
      <x:c r="M198" s="250" t="str">
        <x:v>●  L2</x:v>
      </x:c>
      <x:c r="N198" s="253" t="str">
        <x:v>●  L∞</x:v>
      </x:c>
      <x:c r="O198" s="253" t="str">
        <x:v>●  L∞</x:v>
      </x:c>
      <x:c r="P198" s="256" t="str">
        <x:v>●  Density</x:v>
      </x:c>
      <x:c r="Q198" s="256" t="str">
        <x:v>●  Density</x:v>
      </x:c>
      <x:c r="R198" s="256" t="str">
        <x:v>●  Density</x:v>
      </x:c>
      <x:c r="S198" s="259" t="str">
        <x:v>●  MMD</x:v>
      </x:c>
      <x:c r="T198" s="259" t="str">
        <x:v>●  MMD</x:v>
      </x:c>
      <x:c r="U198" s="259" t="str">
        <x:v>●  MMD</x:v>
      </x:c>
    </x:row>
    <x:row r="199" ht="18" customHeight="1">
      <x:c r="A199"/>
      <x:c r="B199"/>
      <x:c r="C199" s="262" t="str">
        <x:v>━━━━  FNR (solid)</x:v>
      </x:c>
      <x:c r="D199" s="262" t="str">
        <x:v>━━━━  FNR (solid)</x:v>
      </x:c>
      <x:c r="E199" s="262" t="str">
        <x:v>━━━━  FNR (solid)</x:v>
      </x:c>
      <x:c r="F199" s="321" t="str">
        <x:v>┄┄┄┄  FPR (dashed)</x:v>
      </x:c>
      <x:c r="G199" s="321" t="str">
        <x:v>┄┄┄┄  FPR (dashed)</x:v>
      </x:c>
      <x:c r="H199" s="321" t="str">
        <x:v>┄┄┄┄  FPR (dashed)</x:v>
      </x:c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</x:row>
    <x:row r="218" ht="18" customHeight="1">
      <x:c r="A218" s="250" t="str">
        <x:v>●  L2</x:v>
      </x:c>
      <x:c r="B218" s="250" t="str">
        <x:v>●  L2</x:v>
      </x:c>
      <x:c r="C218" s="253" t="str">
        <x:v>●  L∞</x:v>
      </x:c>
      <x:c r="D218" s="253" t="str">
        <x:v>●  L∞</x:v>
      </x:c>
      <x:c r="E218" s="256" t="str">
        <x:v>●  Density</x:v>
      </x:c>
      <x:c r="F218" s="256" t="str">
        <x:v>●  Density</x:v>
      </x:c>
      <x:c r="G218" s="256" t="str">
        <x:v>●  Density</x:v>
      </x:c>
      <x:c r="H218" s="259" t="str">
        <x:v>●  MMD</x:v>
      </x:c>
      <x:c r="I218" s="259" t="str">
        <x:v>●  MMD</x:v>
      </x:c>
      <x:c r="J218" s="259" t="str">
        <x:v>●  MMD</x:v>
      </x:c>
      <x:c r="K218"/>
      <x:c r="L218" s="250" t="str">
        <x:v>●  L2</x:v>
      </x:c>
      <x:c r="M218" s="250" t="str">
        <x:v>●  L2</x:v>
      </x:c>
      <x:c r="N218" s="253" t="str">
        <x:v>●  L∞</x:v>
      </x:c>
      <x:c r="O218" s="253" t="str">
        <x:v>●  L∞</x:v>
      </x:c>
      <x:c r="P218" s="256" t="str">
        <x:v>●  Density</x:v>
      </x:c>
      <x:c r="Q218" s="256" t="str">
        <x:v>●  Density</x:v>
      </x:c>
      <x:c r="R218" s="256" t="str">
        <x:v>●  Density</x:v>
      </x:c>
      <x:c r="S218" s="259" t="str">
        <x:v>●  MMD</x:v>
      </x:c>
      <x:c r="T218" s="259" t="str">
        <x:v>●  MMD</x:v>
      </x:c>
      <x:c r="U218" s="259" t="str">
        <x:v>●  MMD</x:v>
      </x:c>
    </x:row>
    <x:row r="219" ht="18" customHeight="1">
      <x:c r="A219"/>
      <x:c r="B219"/>
      <x:c r="C219" s="262" t="str">
        <x:v>━━━━  FNR (solid)</x:v>
      </x:c>
      <x:c r="D219" s="262" t="str">
        <x:v>━━━━  FNR (solid)</x:v>
      </x:c>
      <x:c r="E219" s="262" t="str">
        <x:v>━━━━  FNR (solid)</x:v>
      </x:c>
      <x:c r="F219" s="321" t="str">
        <x:v>┄┄┄┄  FPR (dashed)</x:v>
      </x:c>
      <x:c r="G219" s="321" t="str">
        <x:v>┄┄┄┄  FPR (dashed)</x:v>
      </x:c>
      <x:c r="H219" s="321" t="str">
        <x:v>┄┄┄┄  FPR (dashed)</x:v>
      </x:c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</x:row>
    <x:row r="238" ht="18" customHeight="1">
      <x:c r="A238" s="250" t="str">
        <x:v>●  L2</x:v>
      </x:c>
      <x:c r="B238" s="250" t="str">
        <x:v>●  L2</x:v>
      </x:c>
      <x:c r="C238" s="253" t="str">
        <x:v>●  L∞</x:v>
      </x:c>
      <x:c r="D238" s="253" t="str">
        <x:v>●  L∞</x:v>
      </x:c>
      <x:c r="E238" s="256" t="str">
        <x:v>●  Density</x:v>
      </x:c>
      <x:c r="F238" s="256" t="str">
        <x:v>●  Density</x:v>
      </x:c>
      <x:c r="G238" s="256" t="str">
        <x:v>●  Density</x:v>
      </x:c>
      <x:c r="H238" s="259" t="str">
        <x:v>●  MMD</x:v>
      </x:c>
      <x:c r="I238" s="259" t="str">
        <x:v>●  MMD</x:v>
      </x:c>
      <x:c r="J238" s="259" t="str">
        <x:v>●  MMD</x:v>
      </x:c>
      <x:c r="K238"/>
      <x:c r="L238" s="250" t="str">
        <x:v>●  L2</x:v>
      </x:c>
      <x:c r="M238" s="250" t="str">
        <x:v>●  L2</x:v>
      </x:c>
      <x:c r="N238" s="253" t="str">
        <x:v>●  L∞</x:v>
      </x:c>
      <x:c r="O238" s="253" t="str">
        <x:v>●  L∞</x:v>
      </x:c>
      <x:c r="P238" s="256" t="str">
        <x:v>●  Density</x:v>
      </x:c>
      <x:c r="Q238" s="256" t="str">
        <x:v>●  Density</x:v>
      </x:c>
      <x:c r="R238" s="256" t="str">
        <x:v>●  Density</x:v>
      </x:c>
      <x:c r="S238" s="259" t="str">
        <x:v>●  MMD</x:v>
      </x:c>
      <x:c r="T238" s="259" t="str">
        <x:v>●  MMD</x:v>
      </x:c>
      <x:c r="U238" s="259" t="str">
        <x:v>●  MMD</x:v>
      </x:c>
    </x:row>
    <x:row r="239" ht="18" customHeight="1">
      <x:c r="A239"/>
      <x:c r="B239"/>
      <x:c r="C239" s="262" t="str">
        <x:v>━━━━  FNR (solid)</x:v>
      </x:c>
      <x:c r="D239" s="262" t="str">
        <x:v>━━━━  FNR (solid)</x:v>
      </x:c>
      <x:c r="E239" s="262" t="str">
        <x:v>━━━━  FNR (solid)</x:v>
      </x:c>
      <x:c r="F239" s="321" t="str">
        <x:v>┄┄┄┄  FPR (dashed)</x:v>
      </x:c>
      <x:c r="G239" s="321" t="str">
        <x:v>┄┄┄┄  FPR (dashed)</x:v>
      </x:c>
      <x:c r="H239" s="321" t="str">
        <x:v>┄┄┄┄  FPR (dashed)</x:v>
      </x:c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</x:row>
  </x:sheetData>
  <x:mergeCells>
    <x:mergeCell ref="A1:V1"/>
    <x:mergeCell ref="A18:B18"/>
    <x:mergeCell ref="C18:D18"/>
    <x:mergeCell ref="E18:G18"/>
    <x:mergeCell ref="H18:J18"/>
    <x:mergeCell ref="C19:E19"/>
    <x:mergeCell ref="F19:H19"/>
    <x:mergeCell ref="A38:B38"/>
    <x:mergeCell ref="C38:D38"/>
    <x:mergeCell ref="E38:G38"/>
    <x:mergeCell ref="H38:J38"/>
    <x:mergeCell ref="C39:E39"/>
    <x:mergeCell ref="F39:H39"/>
    <x:mergeCell ref="A58:B58"/>
    <x:mergeCell ref="C58:D58"/>
    <x:mergeCell ref="E58:G58"/>
    <x:mergeCell ref="H58:J58"/>
    <x:mergeCell ref="C59:E59"/>
    <x:mergeCell ref="F59:H59"/>
    <x:mergeCell ref="A78:B78"/>
    <x:mergeCell ref="C78:D78"/>
    <x:mergeCell ref="E78:G78"/>
    <x:mergeCell ref="H78:J78"/>
    <x:mergeCell ref="C79:E79"/>
    <x:mergeCell ref="F79:H79"/>
    <x:mergeCell ref="A98:B98"/>
    <x:mergeCell ref="C98:D98"/>
    <x:mergeCell ref="E98:G98"/>
    <x:mergeCell ref="H98:J98"/>
    <x:mergeCell ref="C99:E99"/>
    <x:mergeCell ref="F99:H99"/>
    <x:mergeCell ref="A118:B118"/>
    <x:mergeCell ref="C118:D118"/>
    <x:mergeCell ref="E118:G118"/>
    <x:mergeCell ref="H118:J118"/>
    <x:mergeCell ref="C119:E119"/>
    <x:mergeCell ref="F119:H119"/>
    <x:mergeCell ref="L18:M18"/>
    <x:mergeCell ref="N18:O18"/>
    <x:mergeCell ref="P18:R18"/>
    <x:mergeCell ref="S18:U18"/>
    <x:mergeCell ref="L38:M38"/>
    <x:mergeCell ref="N38:O38"/>
    <x:mergeCell ref="P38:R38"/>
    <x:mergeCell ref="S38:U38"/>
    <x:mergeCell ref="L58:M58"/>
    <x:mergeCell ref="N58:O58"/>
    <x:mergeCell ref="P58:R58"/>
    <x:mergeCell ref="S58:U58"/>
    <x:mergeCell ref="L78:M78"/>
    <x:mergeCell ref="N78:O78"/>
    <x:mergeCell ref="P78:R78"/>
    <x:mergeCell ref="S78:U78"/>
    <x:mergeCell ref="L98:M98"/>
    <x:mergeCell ref="N98:O98"/>
    <x:mergeCell ref="P98:R98"/>
    <x:mergeCell ref="S98:U98"/>
    <x:mergeCell ref="L118:M118"/>
    <x:mergeCell ref="N118:O118"/>
    <x:mergeCell ref="P118:R118"/>
    <x:mergeCell ref="S118:U118"/>
    <x:mergeCell ref="A138:B138"/>
    <x:mergeCell ref="C138:D138"/>
    <x:mergeCell ref="E138:G138"/>
    <x:mergeCell ref="H138:J138"/>
    <x:mergeCell ref="L138:M138"/>
    <x:mergeCell ref="N138:O138"/>
    <x:mergeCell ref="P138:R138"/>
    <x:mergeCell ref="S138:U138"/>
    <x:mergeCell ref="C139:E139"/>
    <x:mergeCell ref="F139:H139"/>
    <x:mergeCell ref="A158:B158"/>
    <x:mergeCell ref="C158:D158"/>
    <x:mergeCell ref="E158:G158"/>
    <x:mergeCell ref="H158:J158"/>
    <x:mergeCell ref="L158:M158"/>
    <x:mergeCell ref="N158:O158"/>
    <x:mergeCell ref="P158:R158"/>
    <x:mergeCell ref="S158:U158"/>
    <x:mergeCell ref="C159:E159"/>
    <x:mergeCell ref="F159:H159"/>
    <x:mergeCell ref="A178:B178"/>
    <x:mergeCell ref="C178:D178"/>
    <x:mergeCell ref="E178:G178"/>
    <x:mergeCell ref="H178:J178"/>
    <x:mergeCell ref="L178:M178"/>
    <x:mergeCell ref="N178:O178"/>
    <x:mergeCell ref="P178:R178"/>
    <x:mergeCell ref="S178:U178"/>
    <x:mergeCell ref="C179:E179"/>
    <x:mergeCell ref="F179:H179"/>
    <x:mergeCell ref="A198:B198"/>
    <x:mergeCell ref="C198:D198"/>
    <x:mergeCell ref="E198:G198"/>
    <x:mergeCell ref="H198:J198"/>
    <x:mergeCell ref="L198:M198"/>
    <x:mergeCell ref="N198:O198"/>
    <x:mergeCell ref="P198:R198"/>
    <x:mergeCell ref="S198:U198"/>
    <x:mergeCell ref="C199:E199"/>
    <x:mergeCell ref="F199:H199"/>
    <x:mergeCell ref="A218:B218"/>
    <x:mergeCell ref="C218:D218"/>
    <x:mergeCell ref="E218:G218"/>
    <x:mergeCell ref="H218:J218"/>
    <x:mergeCell ref="L218:M218"/>
    <x:mergeCell ref="N218:O218"/>
    <x:mergeCell ref="P218:R218"/>
    <x:mergeCell ref="S218:U218"/>
    <x:mergeCell ref="C219:E219"/>
    <x:mergeCell ref="F219:H219"/>
    <x:mergeCell ref="A238:B238"/>
    <x:mergeCell ref="C238:D238"/>
    <x:mergeCell ref="E238:G238"/>
    <x:mergeCell ref="H238:J238"/>
    <x:mergeCell ref="L238:M238"/>
    <x:mergeCell ref="N238:O238"/>
    <x:mergeCell ref="P238:R238"/>
    <x:mergeCell ref="S238:U238"/>
    <x:mergeCell ref="C239:E239"/>
    <x:mergeCell ref="F239:H239"/>
  </x:mergeCells>
  <x:pageMargins left="0.7" right="0.7" top="0.75" bottom="0.75" header="0.3" footer="0.3"/>
  <x:drawing xmlns:r="http://schemas.openxmlformats.org/officeDocument/2006/relationships" r:id="Re9c51db842a344ad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</x:cols>
  <x:sheetData>
    <x:row r="1" ht="28" customHeight="1">
      <x:c r="A1" s="227" t="str">
        <x:v>Gaussian data — FNR/FPR and AUC trends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  <x:c r="O1" s="227"/>
      <x:c r="P1" s="227"/>
      <x:c r="Q1" s="227"/>
      <x:c r="R1" s="227"/>
      <x:c r="S1" s="227"/>
      <x:c r="T1" s="227"/>
      <x:c r="U1" s="227"/>
      <x:c r="V1" s="227"/>
    </x:row>
    <x:row r="18" ht="18" customHeight="1">
      <x:c r="A18" s="251" t="str">
        <x:v>●  L2</x:v>
      </x:c>
      <x:c r="B18" s="251" t="str">
        <x:v>●  L2</x:v>
      </x:c>
      <x:c r="C18" s="254" t="str">
        <x:v>●  L∞</x:v>
      </x:c>
      <x:c r="D18" s="254" t="str">
        <x:v>●  L∞</x:v>
      </x:c>
      <x:c r="E18" s="257" t="str">
        <x:v>●  Density</x:v>
      </x:c>
      <x:c r="F18" s="257" t="str">
        <x:v>●  Density</x:v>
      </x:c>
      <x:c r="G18" s="257" t="str">
        <x:v>●  Density</x:v>
      </x:c>
      <x:c r="H18" s="260" t="str">
        <x:v>●  MMD</x:v>
      </x:c>
      <x:c r="I18" s="260" t="str">
        <x:v>●  MMD</x:v>
      </x:c>
      <x:c r="J18" s="260" t="str">
        <x:v>●  MMD</x:v>
      </x:c>
      <x:c r="L18" s="251" t="str">
        <x:v>●  L2</x:v>
      </x:c>
      <x:c r="M18" s="251" t="str">
        <x:v>●  L2</x:v>
      </x:c>
      <x:c r="N18" s="254" t="str">
        <x:v>●  L∞</x:v>
      </x:c>
      <x:c r="O18" s="254" t="str">
        <x:v>●  L∞</x:v>
      </x:c>
      <x:c r="P18" s="257" t="str">
        <x:v>●  Density</x:v>
      </x:c>
      <x:c r="Q18" s="257" t="str">
        <x:v>●  Density</x:v>
      </x:c>
      <x:c r="R18" s="257" t="str">
        <x:v>●  Density</x:v>
      </x:c>
      <x:c r="S18" s="260" t="str">
        <x:v>●  MMD</x:v>
      </x:c>
      <x:c r="T18" s="260" t="str">
        <x:v>●  MMD</x:v>
      </x:c>
      <x:c r="U18" s="260" t="str">
        <x:v>●  MMD</x:v>
      </x:c>
    </x:row>
    <x:row r="19" ht="18" customHeight="1">
      <x:c r="C19" s="263" t="str">
        <x:v>━━━━  FNR (solid)</x:v>
      </x:c>
      <x:c r="D19" s="263" t="str">
        <x:v>━━━━  FNR (solid)</x:v>
      </x:c>
      <x:c r="E19" s="263" t="str">
        <x:v>━━━━  FNR (solid)</x:v>
      </x:c>
      <x:c r="F19" s="266" t="str">
        <x:v>┄┄┄┄  FPR (dashed)</x:v>
      </x:c>
      <x:c r="G19" s="266" t="str">
        <x:v>┄┄┄┄  FPR (dashed)</x:v>
      </x:c>
      <x:c r="H19" s="266" t="str">
        <x:v>┄┄┄┄  FPR (dashed)</x:v>
      </x:c>
    </x:row>
    <x:row r="38" ht="18" customHeight="1">
      <x:c r="A38" s="251" t="str">
        <x:v>●  L2</x:v>
      </x:c>
      <x:c r="B38" s="251" t="str">
        <x:v>●  L2</x:v>
      </x:c>
      <x:c r="C38" s="254" t="str">
        <x:v>●  L∞</x:v>
      </x:c>
      <x:c r="D38" s="254" t="str">
        <x:v>●  L∞</x:v>
      </x:c>
      <x:c r="E38" s="257" t="str">
        <x:v>●  Density</x:v>
      </x:c>
      <x:c r="F38" s="257" t="str">
        <x:v>●  Density</x:v>
      </x:c>
      <x:c r="G38" s="257" t="str">
        <x:v>●  Density</x:v>
      </x:c>
      <x:c r="H38" s="260" t="str">
        <x:v>●  MMD</x:v>
      </x:c>
      <x:c r="I38" s="260" t="str">
        <x:v>●  MMD</x:v>
      </x:c>
      <x:c r="J38" s="260" t="str">
        <x:v>●  MMD</x:v>
      </x:c>
      <x:c r="L38" s="251" t="str">
        <x:v>●  L2</x:v>
      </x:c>
      <x:c r="M38" s="251" t="str">
        <x:v>●  L2</x:v>
      </x:c>
      <x:c r="N38" s="254" t="str">
        <x:v>●  L∞</x:v>
      </x:c>
      <x:c r="O38" s="254" t="str">
        <x:v>●  L∞</x:v>
      </x:c>
      <x:c r="P38" s="257" t="str">
        <x:v>●  Density</x:v>
      </x:c>
      <x:c r="Q38" s="257" t="str">
        <x:v>●  Density</x:v>
      </x:c>
      <x:c r="R38" s="257" t="str">
        <x:v>●  Density</x:v>
      </x:c>
      <x:c r="S38" s="260" t="str">
        <x:v>●  MMD</x:v>
      </x:c>
      <x:c r="T38" s="260" t="str">
        <x:v>●  MMD</x:v>
      </x:c>
      <x:c r="U38" s="260" t="str">
        <x:v>●  MMD</x:v>
      </x:c>
    </x:row>
    <x:row r="39" ht="18" customHeight="1">
      <x:c r="C39" s="263" t="str">
        <x:v>━━━━  FNR (solid)</x:v>
      </x:c>
      <x:c r="D39" s="263" t="str">
        <x:v>━━━━  FNR (solid)</x:v>
      </x:c>
      <x:c r="E39" s="263" t="str">
        <x:v>━━━━  FNR (solid)</x:v>
      </x:c>
      <x:c r="F39" s="266" t="str">
        <x:v>┄┄┄┄  FPR (dashed)</x:v>
      </x:c>
      <x:c r="G39" s="266" t="str">
        <x:v>┄┄┄┄  FPR (dashed)</x:v>
      </x:c>
      <x:c r="H39" s="266" t="str">
        <x:v>┄┄┄┄  FPR (dashed)</x:v>
      </x:c>
    </x:row>
    <x:row r="58" ht="18" customHeight="1">
      <x:c r="A58" s="251" t="str">
        <x:v>●  L2</x:v>
      </x:c>
      <x:c r="B58" s="251" t="str">
        <x:v>●  L2</x:v>
      </x:c>
      <x:c r="C58" s="254" t="str">
        <x:v>●  L∞</x:v>
      </x:c>
      <x:c r="D58" s="254" t="str">
        <x:v>●  L∞</x:v>
      </x:c>
      <x:c r="E58" s="257" t="str">
        <x:v>●  Density</x:v>
      </x:c>
      <x:c r="F58" s="257" t="str">
        <x:v>●  Density</x:v>
      </x:c>
      <x:c r="G58" s="257" t="str">
        <x:v>●  Density</x:v>
      </x:c>
      <x:c r="H58" s="260" t="str">
        <x:v>●  MMD</x:v>
      </x:c>
      <x:c r="I58" s="260" t="str">
        <x:v>●  MMD</x:v>
      </x:c>
      <x:c r="J58" s="260" t="str">
        <x:v>●  MMD</x:v>
      </x:c>
      <x:c r="L58" s="251" t="str">
        <x:v>●  L2</x:v>
      </x:c>
      <x:c r="M58" s="251" t="str">
        <x:v>●  L2</x:v>
      </x:c>
      <x:c r="N58" s="254" t="str">
        <x:v>●  L∞</x:v>
      </x:c>
      <x:c r="O58" s="254" t="str">
        <x:v>●  L∞</x:v>
      </x:c>
      <x:c r="P58" s="257" t="str">
        <x:v>●  Density</x:v>
      </x:c>
      <x:c r="Q58" s="257" t="str">
        <x:v>●  Density</x:v>
      </x:c>
      <x:c r="R58" s="257" t="str">
        <x:v>●  Density</x:v>
      </x:c>
      <x:c r="S58" s="260" t="str">
        <x:v>●  MMD</x:v>
      </x:c>
      <x:c r="T58" s="260" t="str">
        <x:v>●  MMD</x:v>
      </x:c>
      <x:c r="U58" s="260" t="str">
        <x:v>●  MMD</x:v>
      </x:c>
    </x:row>
    <x:row r="59" ht="18" customHeight="1">
      <x:c r="C59" s="263" t="str">
        <x:v>━━━━  FNR (solid)</x:v>
      </x:c>
      <x:c r="D59" s="263" t="str">
        <x:v>━━━━  FNR (solid)</x:v>
      </x:c>
      <x:c r="E59" s="263" t="str">
        <x:v>━━━━  FNR (solid)</x:v>
      </x:c>
      <x:c r="F59" s="266" t="str">
        <x:v>┄┄┄┄  FPR (dashed)</x:v>
      </x:c>
      <x:c r="G59" s="266" t="str">
        <x:v>┄┄┄┄  FPR (dashed)</x:v>
      </x:c>
      <x:c r="H59" s="266" t="str">
        <x:v>┄┄┄┄  FPR (dashed)</x:v>
      </x:c>
    </x:row>
    <x:row r="78" ht="18" customHeight="1">
      <x:c r="A78" s="251" t="str">
        <x:v>●  L2</x:v>
      </x:c>
      <x:c r="B78" s="251" t="str">
        <x:v>●  L2</x:v>
      </x:c>
      <x:c r="C78" s="254" t="str">
        <x:v>●  L∞</x:v>
      </x:c>
      <x:c r="D78" s="254" t="str">
        <x:v>●  L∞</x:v>
      </x:c>
      <x:c r="E78" s="257" t="str">
        <x:v>●  Density</x:v>
      </x:c>
      <x:c r="F78" s="257" t="str">
        <x:v>●  Density</x:v>
      </x:c>
      <x:c r="G78" s="257" t="str">
        <x:v>●  Density</x:v>
      </x:c>
      <x:c r="H78" s="260" t="str">
        <x:v>●  MMD</x:v>
      </x:c>
      <x:c r="I78" s="260" t="str">
        <x:v>●  MMD</x:v>
      </x:c>
      <x:c r="J78" s="260" t="str">
        <x:v>●  MMD</x:v>
      </x:c>
      <x:c r="L78" s="251" t="str">
        <x:v>●  L2</x:v>
      </x:c>
      <x:c r="M78" s="251" t="str">
        <x:v>●  L2</x:v>
      </x:c>
      <x:c r="N78" s="254" t="str">
        <x:v>●  L∞</x:v>
      </x:c>
      <x:c r="O78" s="254" t="str">
        <x:v>●  L∞</x:v>
      </x:c>
      <x:c r="P78" s="257" t="str">
        <x:v>●  Density</x:v>
      </x:c>
      <x:c r="Q78" s="257" t="str">
        <x:v>●  Density</x:v>
      </x:c>
      <x:c r="R78" s="257" t="str">
        <x:v>●  Density</x:v>
      </x:c>
      <x:c r="S78" s="260" t="str">
        <x:v>●  MMD</x:v>
      </x:c>
      <x:c r="T78" s="260" t="str">
        <x:v>●  MMD</x:v>
      </x:c>
      <x:c r="U78" s="260" t="str">
        <x:v>●  MMD</x:v>
      </x:c>
    </x:row>
    <x:row r="79" ht="18" customHeight="1">
      <x:c r="C79" s="263" t="str">
        <x:v>━━━━  FNR (solid)</x:v>
      </x:c>
      <x:c r="D79" s="263" t="str">
        <x:v>━━━━  FNR (solid)</x:v>
      </x:c>
      <x:c r="E79" s="263" t="str">
        <x:v>━━━━  FNR (solid)</x:v>
      </x:c>
      <x:c r="F79" s="266" t="str">
        <x:v>┄┄┄┄  FPR (dashed)</x:v>
      </x:c>
      <x:c r="G79" s="266" t="str">
        <x:v>┄┄┄┄  FPR (dashed)</x:v>
      </x:c>
      <x:c r="H79" s="266" t="str">
        <x:v>┄┄┄┄  FPR (dashed)</x:v>
      </x:c>
    </x:row>
    <x:row r="98" ht="18" customHeight="1">
      <x:c r="A98" s="251" t="str">
        <x:v>●  L2</x:v>
      </x:c>
      <x:c r="B98" s="251" t="str">
        <x:v>●  L2</x:v>
      </x:c>
      <x:c r="C98" s="254" t="str">
        <x:v>●  L∞</x:v>
      </x:c>
      <x:c r="D98" s="254" t="str">
        <x:v>●  L∞</x:v>
      </x:c>
      <x:c r="E98" s="257" t="str">
        <x:v>●  Density</x:v>
      </x:c>
      <x:c r="F98" s="257" t="str">
        <x:v>●  Density</x:v>
      </x:c>
      <x:c r="G98" s="257" t="str">
        <x:v>●  Density</x:v>
      </x:c>
      <x:c r="H98" s="260" t="str">
        <x:v>●  MMD</x:v>
      </x:c>
      <x:c r="I98" s="260" t="str">
        <x:v>●  MMD</x:v>
      </x:c>
      <x:c r="J98" s="260" t="str">
        <x:v>●  MMD</x:v>
      </x:c>
      <x:c r="L98" s="251" t="str">
        <x:v>●  L2</x:v>
      </x:c>
      <x:c r="M98" s="251" t="str">
        <x:v>●  L2</x:v>
      </x:c>
      <x:c r="N98" s="254" t="str">
        <x:v>●  L∞</x:v>
      </x:c>
      <x:c r="O98" s="254" t="str">
        <x:v>●  L∞</x:v>
      </x:c>
      <x:c r="P98" s="257" t="str">
        <x:v>●  Density</x:v>
      </x:c>
      <x:c r="Q98" s="257" t="str">
        <x:v>●  Density</x:v>
      </x:c>
      <x:c r="R98" s="257" t="str">
        <x:v>●  Density</x:v>
      </x:c>
      <x:c r="S98" s="260" t="str">
        <x:v>●  MMD</x:v>
      </x:c>
      <x:c r="T98" s="260" t="str">
        <x:v>●  MMD</x:v>
      </x:c>
      <x:c r="U98" s="260" t="str">
        <x:v>●  MMD</x:v>
      </x:c>
    </x:row>
    <x:row r="99" ht="18" customHeight="1">
      <x:c r="C99" s="263" t="str">
        <x:v>━━━━  FNR (solid)</x:v>
      </x:c>
      <x:c r="D99" s="263" t="str">
        <x:v>━━━━  FNR (solid)</x:v>
      </x:c>
      <x:c r="E99" s="263" t="str">
        <x:v>━━━━  FNR (solid)</x:v>
      </x:c>
      <x:c r="F99" s="266" t="str">
        <x:v>┄┄┄┄  FPR (dashed)</x:v>
      </x:c>
      <x:c r="G99" s="266" t="str">
        <x:v>┄┄┄┄  FPR (dashed)</x:v>
      </x:c>
      <x:c r="H99" s="266" t="str">
        <x:v>┄┄┄┄  FPR (dashed)</x:v>
      </x:c>
    </x:row>
    <x:row r="118" ht="18" customHeight="1">
      <x:c r="A118" s="251" t="str">
        <x:v>●  L2</x:v>
      </x:c>
      <x:c r="B118" s="251" t="str">
        <x:v>●  L2</x:v>
      </x:c>
      <x:c r="C118" s="254" t="str">
        <x:v>●  L∞</x:v>
      </x:c>
      <x:c r="D118" s="254" t="str">
        <x:v>●  L∞</x:v>
      </x:c>
      <x:c r="E118" s="257" t="str">
        <x:v>●  Density</x:v>
      </x:c>
      <x:c r="F118" s="257" t="str">
        <x:v>●  Density</x:v>
      </x:c>
      <x:c r="G118" s="257" t="str">
        <x:v>●  Density</x:v>
      </x:c>
      <x:c r="H118" s="260" t="str">
        <x:v>●  MMD</x:v>
      </x:c>
      <x:c r="I118" s="260" t="str">
        <x:v>●  MMD</x:v>
      </x:c>
      <x:c r="J118" s="260" t="str">
        <x:v>●  MMD</x:v>
      </x:c>
      <x:c r="L118" s="251" t="str">
        <x:v>●  L2</x:v>
      </x:c>
      <x:c r="M118" s="251" t="str">
        <x:v>●  L2</x:v>
      </x:c>
      <x:c r="N118" s="254" t="str">
        <x:v>●  L∞</x:v>
      </x:c>
      <x:c r="O118" s="254" t="str">
        <x:v>●  L∞</x:v>
      </x:c>
      <x:c r="P118" s="257" t="str">
        <x:v>●  Density</x:v>
      </x:c>
      <x:c r="Q118" s="257" t="str">
        <x:v>●  Density</x:v>
      </x:c>
      <x:c r="R118" s="257" t="str">
        <x:v>●  Density</x:v>
      </x:c>
      <x:c r="S118" s="260" t="str">
        <x:v>●  MMD</x:v>
      </x:c>
      <x:c r="T118" s="260" t="str">
        <x:v>●  MMD</x:v>
      </x:c>
      <x:c r="U118" s="260" t="str">
        <x:v>●  MMD</x:v>
      </x:c>
    </x:row>
    <x:row r="119" ht="18" customHeight="1">
      <x:c r="C119" s="263" t="str">
        <x:v>━━━━  FNR (solid)</x:v>
      </x:c>
      <x:c r="D119" s="263" t="str">
        <x:v>━━━━  FNR (solid)</x:v>
      </x:c>
      <x:c r="E119" s="263" t="str">
        <x:v>━━━━  FNR (solid)</x:v>
      </x:c>
      <x:c r="F119" s="266" t="str">
        <x:v>┄┄┄┄  FPR (dashed)</x:v>
      </x:c>
      <x:c r="G119" s="266" t="str">
        <x:v>┄┄┄┄  FPR (dashed)</x:v>
      </x:c>
      <x:c r="H119" s="266" t="str">
        <x:v>┄┄┄┄  FPR (dashed)</x:v>
      </x:c>
    </x:row>
    <x:row r="138" ht="18" customHeight="1">
      <x:c r="A138" s="251" t="str">
        <x:v>●  L2</x:v>
      </x:c>
      <x:c r="B138" s="251" t="str">
        <x:v>●  L2</x:v>
      </x:c>
      <x:c r="C138" s="254" t="str">
        <x:v>●  L∞</x:v>
      </x:c>
      <x:c r="D138" s="254" t="str">
        <x:v>●  L∞</x:v>
      </x:c>
      <x:c r="E138" s="257" t="str">
        <x:v>●  Density</x:v>
      </x:c>
      <x:c r="F138" s="257" t="str">
        <x:v>●  Density</x:v>
      </x:c>
      <x:c r="G138" s="257" t="str">
        <x:v>●  Density</x:v>
      </x:c>
      <x:c r="H138" s="260" t="str">
        <x:v>●  MMD</x:v>
      </x:c>
      <x:c r="I138" s="260" t="str">
        <x:v>●  MMD</x:v>
      </x:c>
      <x:c r="J138" s="260" t="str">
        <x:v>●  MMD</x:v>
      </x:c>
      <x:c r="L138" s="251" t="str">
        <x:v>●  L2</x:v>
      </x:c>
      <x:c r="M138" s="251" t="str">
        <x:v>●  L2</x:v>
      </x:c>
      <x:c r="N138" s="254" t="str">
        <x:v>●  L∞</x:v>
      </x:c>
      <x:c r="O138" s="254" t="str">
        <x:v>●  L∞</x:v>
      </x:c>
      <x:c r="P138" s="257" t="str">
        <x:v>●  Density</x:v>
      </x:c>
      <x:c r="Q138" s="257" t="str">
        <x:v>●  Density</x:v>
      </x:c>
      <x:c r="R138" s="257" t="str">
        <x:v>●  Density</x:v>
      </x:c>
      <x:c r="S138" s="260" t="str">
        <x:v>●  MMD</x:v>
      </x:c>
      <x:c r="T138" s="260" t="str">
        <x:v>●  MMD</x:v>
      </x:c>
      <x:c r="U138" s="260" t="str">
        <x:v>●  MMD</x:v>
      </x:c>
    </x:row>
    <x:row r="139" ht="18" customHeight="1">
      <x:c r="C139" s="263" t="str">
        <x:v>━━━━  FNR (solid)</x:v>
      </x:c>
      <x:c r="D139" s="263" t="str">
        <x:v>━━━━  FNR (solid)</x:v>
      </x:c>
      <x:c r="E139" s="263" t="str">
        <x:v>━━━━  FNR (solid)</x:v>
      </x:c>
      <x:c r="F139" s="266" t="str">
        <x:v>┄┄┄┄  FPR (dashed)</x:v>
      </x:c>
      <x:c r="G139" s="266" t="str">
        <x:v>┄┄┄┄  FPR (dashed)</x:v>
      </x:c>
      <x:c r="H139" s="266" t="str">
        <x:v>┄┄┄┄  FPR (dashed)</x:v>
      </x:c>
    </x:row>
    <x:row r="158" ht="18" customHeight="1">
      <x:c r="A158" s="251" t="str">
        <x:v>●  L2</x:v>
      </x:c>
      <x:c r="B158" s="251" t="str">
        <x:v>●  L2</x:v>
      </x:c>
      <x:c r="C158" s="254" t="str">
        <x:v>●  L∞</x:v>
      </x:c>
      <x:c r="D158" s="254" t="str">
        <x:v>●  L∞</x:v>
      </x:c>
      <x:c r="E158" s="257" t="str">
        <x:v>●  Density</x:v>
      </x:c>
      <x:c r="F158" s="257" t="str">
        <x:v>●  Density</x:v>
      </x:c>
      <x:c r="G158" s="257" t="str">
        <x:v>●  Density</x:v>
      </x:c>
      <x:c r="H158" s="260" t="str">
        <x:v>●  MMD</x:v>
      </x:c>
      <x:c r="I158" s="260" t="str">
        <x:v>●  MMD</x:v>
      </x:c>
      <x:c r="J158" s="260" t="str">
        <x:v>●  MMD</x:v>
      </x:c>
      <x:c r="L158" s="251" t="str">
        <x:v>●  L2</x:v>
      </x:c>
      <x:c r="M158" s="251" t="str">
        <x:v>●  L2</x:v>
      </x:c>
      <x:c r="N158" s="254" t="str">
        <x:v>●  L∞</x:v>
      </x:c>
      <x:c r="O158" s="254" t="str">
        <x:v>●  L∞</x:v>
      </x:c>
      <x:c r="P158" s="257" t="str">
        <x:v>●  Density</x:v>
      </x:c>
      <x:c r="Q158" s="257" t="str">
        <x:v>●  Density</x:v>
      </x:c>
      <x:c r="R158" s="257" t="str">
        <x:v>●  Density</x:v>
      </x:c>
      <x:c r="S158" s="260" t="str">
        <x:v>●  MMD</x:v>
      </x:c>
      <x:c r="T158" s="260" t="str">
        <x:v>●  MMD</x:v>
      </x:c>
      <x:c r="U158" s="260" t="str">
        <x:v>●  MMD</x:v>
      </x:c>
    </x:row>
    <x:row r="159" ht="18" customHeight="1">
      <x:c r="C159" s="263" t="str">
        <x:v>━━━━  FNR (solid)</x:v>
      </x:c>
      <x:c r="D159" s="263" t="str">
        <x:v>━━━━  FNR (solid)</x:v>
      </x:c>
      <x:c r="E159" s="263" t="str">
        <x:v>━━━━  FNR (solid)</x:v>
      </x:c>
      <x:c r="F159" s="266" t="str">
        <x:v>┄┄┄┄  FPR (dashed)</x:v>
      </x:c>
      <x:c r="G159" s="266" t="str">
        <x:v>┄┄┄┄  FPR (dashed)</x:v>
      </x:c>
      <x:c r="H159" s="266" t="str">
        <x:v>┄┄┄┄  FPR (dashed)</x:v>
      </x:c>
    </x:row>
    <x:row r="178" ht="18" customHeight="1">
      <x:c r="A178" s="251" t="str">
        <x:v>●  L2</x:v>
      </x:c>
      <x:c r="B178" s="251" t="str">
        <x:v>●  L2</x:v>
      </x:c>
      <x:c r="C178" s="254" t="str">
        <x:v>●  L∞</x:v>
      </x:c>
      <x:c r="D178" s="254" t="str">
        <x:v>●  L∞</x:v>
      </x:c>
      <x:c r="E178" s="257" t="str">
        <x:v>●  Density</x:v>
      </x:c>
      <x:c r="F178" s="257" t="str">
        <x:v>●  Density</x:v>
      </x:c>
      <x:c r="G178" s="257" t="str">
        <x:v>●  Density</x:v>
      </x:c>
      <x:c r="H178" s="260" t="str">
        <x:v>●  MMD</x:v>
      </x:c>
      <x:c r="I178" s="260" t="str">
        <x:v>●  MMD</x:v>
      </x:c>
      <x:c r="J178" s="260" t="str">
        <x:v>●  MMD</x:v>
      </x:c>
      <x:c r="L178" s="251" t="str">
        <x:v>●  L2</x:v>
      </x:c>
      <x:c r="M178" s="251" t="str">
        <x:v>●  L2</x:v>
      </x:c>
      <x:c r="N178" s="254" t="str">
        <x:v>●  L∞</x:v>
      </x:c>
      <x:c r="O178" s="254" t="str">
        <x:v>●  L∞</x:v>
      </x:c>
      <x:c r="P178" s="257" t="str">
        <x:v>●  Density</x:v>
      </x:c>
      <x:c r="Q178" s="257" t="str">
        <x:v>●  Density</x:v>
      </x:c>
      <x:c r="R178" s="257" t="str">
        <x:v>●  Density</x:v>
      </x:c>
      <x:c r="S178" s="260" t="str">
        <x:v>●  MMD</x:v>
      </x:c>
      <x:c r="T178" s="260" t="str">
        <x:v>●  MMD</x:v>
      </x:c>
      <x:c r="U178" s="260" t="str">
        <x:v>●  MMD</x:v>
      </x:c>
    </x:row>
    <x:row r="179" ht="18" customHeight="1">
      <x:c r="C179" s="263" t="str">
        <x:v>━━━━  FNR (solid)</x:v>
      </x:c>
      <x:c r="D179" s="263" t="str">
        <x:v>━━━━  FNR (solid)</x:v>
      </x:c>
      <x:c r="E179" s="263" t="str">
        <x:v>━━━━  FNR (solid)</x:v>
      </x:c>
      <x:c r="F179" s="266" t="str">
        <x:v>┄┄┄┄  FPR (dashed)</x:v>
      </x:c>
      <x:c r="G179" s="266" t="str">
        <x:v>┄┄┄┄  FPR (dashed)</x:v>
      </x:c>
      <x:c r="H179" s="266" t="str">
        <x:v>┄┄┄┄  FPR (dashed)</x:v>
      </x:c>
    </x:row>
    <x:row r="198" ht="18" customHeight="1">
      <x:c r="A198" s="251" t="str">
        <x:v>●  L2</x:v>
      </x:c>
      <x:c r="B198" s="251" t="str">
        <x:v>●  L2</x:v>
      </x:c>
      <x:c r="C198" s="254" t="str">
        <x:v>●  L∞</x:v>
      </x:c>
      <x:c r="D198" s="254" t="str">
        <x:v>●  L∞</x:v>
      </x:c>
      <x:c r="E198" s="257" t="str">
        <x:v>●  Density</x:v>
      </x:c>
      <x:c r="F198" s="257" t="str">
        <x:v>●  Density</x:v>
      </x:c>
      <x:c r="G198" s="257" t="str">
        <x:v>●  Density</x:v>
      </x:c>
      <x:c r="H198" s="260" t="str">
        <x:v>●  MMD</x:v>
      </x:c>
      <x:c r="I198" s="260" t="str">
        <x:v>●  MMD</x:v>
      </x:c>
      <x:c r="J198" s="260" t="str">
        <x:v>●  MMD</x:v>
      </x:c>
      <x:c r="L198" s="251" t="str">
        <x:v>●  L2</x:v>
      </x:c>
      <x:c r="M198" s="251" t="str">
        <x:v>●  L2</x:v>
      </x:c>
      <x:c r="N198" s="254" t="str">
        <x:v>●  L∞</x:v>
      </x:c>
      <x:c r="O198" s="254" t="str">
        <x:v>●  L∞</x:v>
      </x:c>
      <x:c r="P198" s="257" t="str">
        <x:v>●  Density</x:v>
      </x:c>
      <x:c r="Q198" s="257" t="str">
        <x:v>●  Density</x:v>
      </x:c>
      <x:c r="R198" s="257" t="str">
        <x:v>●  Density</x:v>
      </x:c>
      <x:c r="S198" s="260" t="str">
        <x:v>●  MMD</x:v>
      </x:c>
      <x:c r="T198" s="260" t="str">
        <x:v>●  MMD</x:v>
      </x:c>
      <x:c r="U198" s="260" t="str">
        <x:v>●  MMD</x:v>
      </x:c>
    </x:row>
    <x:row r="199" ht="18" customHeight="1">
      <x:c r="C199" s="263" t="str">
        <x:v>━━━━  FNR (solid)</x:v>
      </x:c>
      <x:c r="D199" s="263" t="str">
        <x:v>━━━━  FNR (solid)</x:v>
      </x:c>
      <x:c r="E199" s="263" t="str">
        <x:v>━━━━  FNR (solid)</x:v>
      </x:c>
      <x:c r="F199" s="266" t="str">
        <x:v>┄┄┄┄  FPR (dashed)</x:v>
      </x:c>
      <x:c r="G199" s="266" t="str">
        <x:v>┄┄┄┄  FPR (dashed)</x:v>
      </x:c>
      <x:c r="H199" s="266" t="str">
        <x:v>┄┄┄┄  FPR (dashed)</x:v>
      </x:c>
    </x:row>
    <x:row r="218" ht="18" customHeight="1">
      <x:c r="A218" s="251" t="str">
        <x:v>●  L2</x:v>
      </x:c>
      <x:c r="B218" s="251" t="str">
        <x:v>●  L2</x:v>
      </x:c>
      <x:c r="C218" s="254" t="str">
        <x:v>●  L∞</x:v>
      </x:c>
      <x:c r="D218" s="254" t="str">
        <x:v>●  L∞</x:v>
      </x:c>
      <x:c r="E218" s="257" t="str">
        <x:v>●  Density</x:v>
      </x:c>
      <x:c r="F218" s="257" t="str">
        <x:v>●  Density</x:v>
      </x:c>
      <x:c r="G218" s="257" t="str">
        <x:v>●  Density</x:v>
      </x:c>
      <x:c r="H218" s="260" t="str">
        <x:v>●  MMD</x:v>
      </x:c>
      <x:c r="I218" s="260" t="str">
        <x:v>●  MMD</x:v>
      </x:c>
      <x:c r="J218" s="260" t="str">
        <x:v>●  MMD</x:v>
      </x:c>
      <x:c r="L218" s="251" t="str">
        <x:v>●  L2</x:v>
      </x:c>
      <x:c r="M218" s="251" t="str">
        <x:v>●  L2</x:v>
      </x:c>
      <x:c r="N218" s="254" t="str">
        <x:v>●  L∞</x:v>
      </x:c>
      <x:c r="O218" s="254" t="str">
        <x:v>●  L∞</x:v>
      </x:c>
      <x:c r="P218" s="257" t="str">
        <x:v>●  Density</x:v>
      </x:c>
      <x:c r="Q218" s="257" t="str">
        <x:v>●  Density</x:v>
      </x:c>
      <x:c r="R218" s="257" t="str">
        <x:v>●  Density</x:v>
      </x:c>
      <x:c r="S218" s="260" t="str">
        <x:v>●  MMD</x:v>
      </x:c>
      <x:c r="T218" s="260" t="str">
        <x:v>●  MMD</x:v>
      </x:c>
      <x:c r="U218" s="260" t="str">
        <x:v>●  MMD</x:v>
      </x:c>
    </x:row>
    <x:row r="219" ht="18" customHeight="1">
      <x:c r="C219" s="263" t="str">
        <x:v>━━━━  FNR (solid)</x:v>
      </x:c>
      <x:c r="D219" s="263" t="str">
        <x:v>━━━━  FNR (solid)</x:v>
      </x:c>
      <x:c r="E219" s="263" t="str">
        <x:v>━━━━  FNR (solid)</x:v>
      </x:c>
      <x:c r="F219" s="266" t="str">
        <x:v>┄┄┄┄  FPR (dashed)</x:v>
      </x:c>
      <x:c r="G219" s="266" t="str">
        <x:v>┄┄┄┄  FPR (dashed)</x:v>
      </x:c>
      <x:c r="H219" s="266" t="str">
        <x:v>┄┄┄┄  FPR (dashed)</x:v>
      </x:c>
    </x:row>
    <x:row r="238" ht="18" customHeight="1">
      <x:c r="A238" s="251" t="str">
        <x:v>●  L2</x:v>
      </x:c>
      <x:c r="B238" s="251" t="str">
        <x:v>●  L2</x:v>
      </x:c>
      <x:c r="C238" s="254" t="str">
        <x:v>●  L∞</x:v>
      </x:c>
      <x:c r="D238" s="254" t="str">
        <x:v>●  L∞</x:v>
      </x:c>
      <x:c r="E238" s="257" t="str">
        <x:v>●  Density</x:v>
      </x:c>
      <x:c r="F238" s="257" t="str">
        <x:v>●  Density</x:v>
      </x:c>
      <x:c r="G238" s="257" t="str">
        <x:v>●  Density</x:v>
      </x:c>
      <x:c r="H238" s="260" t="str">
        <x:v>●  MMD</x:v>
      </x:c>
      <x:c r="I238" s="260" t="str">
        <x:v>●  MMD</x:v>
      </x:c>
      <x:c r="J238" s="260" t="str">
        <x:v>●  MMD</x:v>
      </x:c>
      <x:c r="L238" s="251" t="str">
        <x:v>●  L2</x:v>
      </x:c>
      <x:c r="M238" s="251" t="str">
        <x:v>●  L2</x:v>
      </x:c>
      <x:c r="N238" s="254" t="str">
        <x:v>●  L∞</x:v>
      </x:c>
      <x:c r="O238" s="254" t="str">
        <x:v>●  L∞</x:v>
      </x:c>
      <x:c r="P238" s="257" t="str">
        <x:v>●  Density</x:v>
      </x:c>
      <x:c r="Q238" s="257" t="str">
        <x:v>●  Density</x:v>
      </x:c>
      <x:c r="R238" s="257" t="str">
        <x:v>●  Density</x:v>
      </x:c>
      <x:c r="S238" s="260" t="str">
        <x:v>●  MMD</x:v>
      </x:c>
      <x:c r="T238" s="260" t="str">
        <x:v>●  MMD</x:v>
      </x:c>
      <x:c r="U238" s="260" t="str">
        <x:v>●  MMD</x:v>
      </x:c>
    </x:row>
    <x:row r="239" ht="18" customHeight="1">
      <x:c r="C239" s="263" t="str">
        <x:v>━━━━  FNR (solid)</x:v>
      </x:c>
      <x:c r="D239" s="263" t="str">
        <x:v>━━━━  FNR (solid)</x:v>
      </x:c>
      <x:c r="E239" s="263" t="str">
        <x:v>━━━━  FNR (solid)</x:v>
      </x:c>
      <x:c r="F239" s="266" t="str">
        <x:v>┄┄┄┄  FPR (dashed)</x:v>
      </x:c>
      <x:c r="G239" s="266" t="str">
        <x:v>┄┄┄┄  FPR (dashed)</x:v>
      </x:c>
      <x:c r="H239" s="266" t="str">
        <x:v>┄┄┄┄  FPR (dashed)</x:v>
      </x:c>
    </x:row>
  </x:sheetData>
  <x:mergeCells>
    <x:mergeCell ref="A1:V1"/>
    <x:mergeCell ref="A18:B18"/>
    <x:mergeCell ref="C18:D18"/>
    <x:mergeCell ref="E18:G18"/>
    <x:mergeCell ref="H18:J18"/>
    <x:mergeCell ref="C19:E19"/>
    <x:mergeCell ref="F19:H19"/>
    <x:mergeCell ref="A38:B38"/>
    <x:mergeCell ref="C38:D38"/>
    <x:mergeCell ref="E38:G38"/>
    <x:mergeCell ref="H38:J38"/>
    <x:mergeCell ref="C39:E39"/>
    <x:mergeCell ref="F39:H39"/>
    <x:mergeCell ref="A58:B58"/>
    <x:mergeCell ref="C58:D58"/>
    <x:mergeCell ref="E58:G58"/>
    <x:mergeCell ref="H58:J58"/>
    <x:mergeCell ref="C59:E59"/>
    <x:mergeCell ref="F59:H59"/>
    <x:mergeCell ref="A78:B78"/>
    <x:mergeCell ref="C78:D78"/>
    <x:mergeCell ref="E78:G78"/>
    <x:mergeCell ref="H78:J78"/>
    <x:mergeCell ref="C79:E79"/>
    <x:mergeCell ref="F79:H79"/>
    <x:mergeCell ref="A98:B98"/>
    <x:mergeCell ref="C98:D98"/>
    <x:mergeCell ref="E98:G98"/>
    <x:mergeCell ref="H98:J98"/>
    <x:mergeCell ref="C99:E99"/>
    <x:mergeCell ref="F99:H99"/>
    <x:mergeCell ref="A118:B118"/>
    <x:mergeCell ref="C118:D118"/>
    <x:mergeCell ref="E118:G118"/>
    <x:mergeCell ref="H118:J118"/>
    <x:mergeCell ref="C119:E119"/>
    <x:mergeCell ref="F119:H119"/>
    <x:mergeCell ref="A138:B138"/>
    <x:mergeCell ref="C138:D138"/>
    <x:mergeCell ref="E138:G138"/>
    <x:mergeCell ref="H138:J138"/>
    <x:mergeCell ref="C139:E139"/>
    <x:mergeCell ref="F139:H139"/>
    <x:mergeCell ref="A158:B158"/>
    <x:mergeCell ref="C158:D158"/>
    <x:mergeCell ref="E158:G158"/>
    <x:mergeCell ref="H158:J158"/>
    <x:mergeCell ref="C159:E159"/>
    <x:mergeCell ref="F159:H159"/>
    <x:mergeCell ref="A178:B178"/>
    <x:mergeCell ref="C178:D178"/>
    <x:mergeCell ref="E178:G178"/>
    <x:mergeCell ref="H178:J178"/>
    <x:mergeCell ref="C179:E179"/>
    <x:mergeCell ref="F179:H179"/>
    <x:mergeCell ref="A198:B198"/>
    <x:mergeCell ref="C198:D198"/>
    <x:mergeCell ref="E198:G198"/>
    <x:mergeCell ref="H198:J198"/>
    <x:mergeCell ref="C199:E199"/>
    <x:mergeCell ref="F199:H199"/>
    <x:mergeCell ref="A218:B218"/>
    <x:mergeCell ref="C218:D218"/>
    <x:mergeCell ref="E218:G218"/>
    <x:mergeCell ref="H218:J218"/>
    <x:mergeCell ref="C219:E219"/>
    <x:mergeCell ref="F219:H219"/>
    <x:mergeCell ref="A238:B238"/>
    <x:mergeCell ref="C238:D238"/>
    <x:mergeCell ref="E238:G238"/>
    <x:mergeCell ref="H238:J238"/>
    <x:mergeCell ref="C239:E239"/>
    <x:mergeCell ref="F239:H239"/>
    <x:mergeCell ref="L18:M18"/>
    <x:mergeCell ref="N18:O18"/>
    <x:mergeCell ref="P18:R18"/>
    <x:mergeCell ref="S18:U18"/>
    <x:mergeCell ref="L38:M38"/>
    <x:mergeCell ref="N38:O38"/>
    <x:mergeCell ref="P38:R38"/>
    <x:mergeCell ref="S38:U38"/>
    <x:mergeCell ref="L58:M58"/>
    <x:mergeCell ref="N58:O58"/>
    <x:mergeCell ref="P58:R58"/>
    <x:mergeCell ref="S58:U58"/>
    <x:mergeCell ref="L78:M78"/>
    <x:mergeCell ref="N78:O78"/>
    <x:mergeCell ref="P78:R78"/>
    <x:mergeCell ref="S78:U78"/>
    <x:mergeCell ref="L98:M98"/>
    <x:mergeCell ref="N98:O98"/>
    <x:mergeCell ref="P98:R98"/>
    <x:mergeCell ref="S98:U98"/>
    <x:mergeCell ref="L118:M118"/>
    <x:mergeCell ref="N118:O118"/>
    <x:mergeCell ref="P118:R118"/>
    <x:mergeCell ref="S118:U118"/>
    <x:mergeCell ref="L138:M138"/>
    <x:mergeCell ref="N138:O138"/>
    <x:mergeCell ref="P138:R138"/>
    <x:mergeCell ref="S138:U138"/>
    <x:mergeCell ref="L158:M158"/>
    <x:mergeCell ref="N158:O158"/>
    <x:mergeCell ref="P158:R158"/>
    <x:mergeCell ref="S158:U158"/>
    <x:mergeCell ref="L178:M178"/>
    <x:mergeCell ref="N178:O178"/>
    <x:mergeCell ref="P178:R178"/>
    <x:mergeCell ref="S178:U178"/>
    <x:mergeCell ref="L198:M198"/>
    <x:mergeCell ref="N198:O198"/>
    <x:mergeCell ref="P198:R198"/>
    <x:mergeCell ref="S198:U198"/>
    <x:mergeCell ref="L218:M218"/>
    <x:mergeCell ref="N218:O218"/>
    <x:mergeCell ref="P218:R218"/>
    <x:mergeCell ref="S218:U218"/>
    <x:mergeCell ref="L238:M238"/>
    <x:mergeCell ref="N238:O238"/>
    <x:mergeCell ref="P238:R238"/>
    <x:mergeCell ref="S238:U238"/>
  </x:mergeCells>
  <x:pageMargins left="0.7" right="0.7" top="0.75" bottom="0.75" header="0.3" footer="0.3"/>
  <x:drawing xmlns:r="http://schemas.openxmlformats.org/officeDocument/2006/relationships" r:id="R7261d91ec3d24379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 ht="28" customHeight="1">
      <x:c r="A1" s="274" t="str">
        <x:v>Formula-backed M0–M3 diagnostic comparison data (%) — S/D = 1, 2, 4</x:v>
      </x:c>
      <x:c r="B1" s="274"/>
      <x:c r="C1" s="274"/>
      <x:c r="D1" s="274"/>
      <x:c r="E1" s="274"/>
      <x:c r="F1" s="274"/>
      <x:c r="G1" s="274"/>
      <x:c r="H1" s="274"/>
      <x:c r="I1" s="274"/>
      <x:c r="J1" s="274"/>
      <x:c r="K1" s="274"/>
      <x:c r="L1" s="274"/>
      <x:c r="M1" s="274"/>
      <x:c r="N1" s="274"/>
      <x:c r="O1" s="274"/>
      <x:c r="P1" s="274"/>
      <x:c r="Q1" s="274"/>
      <x:c r="R1" s="274"/>
      <x:c r="S1" s="274"/>
      <x:c r="T1" s="274"/>
      <x:c r="U1" s="274"/>
      <x:c r="V1" s="274"/>
      <x:c r="W1" s="274"/>
      <x:c r="X1" s="274"/>
      <x:c r="Y1" s="274"/>
      <x:c r="Z1" s="274"/>
      <x:c r="AA1" s="274"/>
      <x:c r="AB1" s="274"/>
      <x:c r="AC1" t="str">
        <x:v>Additional formula-backed M0/M2 diagnostic comparison data (%)</x:v>
      </x:c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</x:row>
    <x:row r="2" ht="18" customHeight="1"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</x:row>
    <x:row r="3" ht="18" customHeight="1">
      <x:c r="A3" s="277" t="str">
        <x:v>Simulated data — Signed log10 ML error — M0–M3 (4/5/5/7 parameters)</x:v>
      </x:c>
      <x:c r="B3" s="277"/>
      <x:c r="C3" s="277"/>
      <x:c r="D3" s="277"/>
      <x:c r="E3" s="277"/>
      <x:c r="F3" s="277"/>
      <x:c r="G3" s="277"/>
      <x:c r="H3" s="277"/>
      <x:c r="I3" s="277"/>
      <x:c r="J3" s="277"/>
      <x:c r="K3" s="277"/>
      <x:c r="L3" s="277"/>
      <x:c r="M3" s="277"/>
      <x:c r="N3" s="277"/>
      <x:c r="O3" s="277"/>
      <x:c r="P3" s="277"/>
      <x:c r="Q3" s="277"/>
      <x:c r="R3" s="277"/>
      <x:c r="S3" s="277"/>
      <x:c r="T3" s="277"/>
      <x:c r="U3" s="277"/>
      <x:c r="V3" s="277"/>
      <x:c r="W3" s="277"/>
      <x:c r="X3" s="277"/>
      <x:c r="Y3" s="277"/>
      <x:c r="Z3" s="277"/>
      <x:c r="AA3" s="277"/>
      <x:c r="AB3" s="277"/>
      <x:c r="AC3" t="str">
        <x:v>Simulated data — Signed log10 ML error — M0–M3 (4/5/5/7 parameters)</x:v>
      </x:c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</x:row>
    <x:row r="4" ht="18" customHeight="1">
      <x:c r="A4" s="283" t="str">
        <x:v>S/D</x:v>
      </x:c>
      <x:c r="B4" s="284" t="str">
        <x:v>M1 FNR</x:v>
      </x:c>
      <x:c r="C4" s="284" t="str">
        <x:v>M1 FPR</x:v>
      </x:c>
      <x:c r="D4" s="284" t="str">
        <x:v>M3 FNR</x:v>
      </x:c>
      <x:c r="E4" s="284" t="str">
        <x:v>M3 FPR</x:v>
      </x:c>
      <x:c r="F4" s="284" t="str">
        <x:v>M1 AUC</x:v>
      </x:c>
      <x:c r="G4" s="285" t="str">
        <x:v>M3 AUC</x:v>
      </x:c>
      <x:c r="H4" s="283" t="str">
        <x:v>S/D</x:v>
      </x:c>
      <x:c r="I4" s="284" t="str">
        <x:v>M1 FNR</x:v>
      </x:c>
      <x:c r="J4" s="284" t="str">
        <x:v>M1 FPR</x:v>
      </x:c>
      <x:c r="K4" s="284" t="str">
        <x:v>M3 FNR</x:v>
      </x:c>
      <x:c r="L4" s="284" t="str">
        <x:v>M3 FPR</x:v>
      </x:c>
      <x:c r="M4" s="284" t="str">
        <x:v>M1 AUC</x:v>
      </x:c>
      <x:c r="N4" s="285" t="str">
        <x:v>M3 AUC</x:v>
      </x:c>
      <x:c r="O4" s="283" t="str">
        <x:v>S/D</x:v>
      </x:c>
      <x:c r="P4" s="284" t="str">
        <x:v>M1 FNR</x:v>
      </x:c>
      <x:c r="Q4" s="284" t="str">
        <x:v>M1 FPR</x:v>
      </x:c>
      <x:c r="R4" s="284" t="str">
        <x:v>M3 FNR</x:v>
      </x:c>
      <x:c r="S4" s="284" t="str">
        <x:v>M3 FPR</x:v>
      </x:c>
      <x:c r="T4" s="284" t="str">
        <x:v>M1 AUC</x:v>
      </x:c>
      <x:c r="U4" s="285" t="str">
        <x:v>M3 AUC</x:v>
      </x:c>
      <x:c r="V4" s="283" t="str">
        <x:v>S/D</x:v>
      </x:c>
      <x:c r="W4" s="284" t="str">
        <x:v>M1 FNR</x:v>
      </x:c>
      <x:c r="X4" s="284" t="str">
        <x:v>M1 FPR</x:v>
      </x:c>
      <x:c r="Y4" s="284" t="str">
        <x:v>M3 FNR</x:v>
      </x:c>
      <x:c r="Z4" s="284" t="str">
        <x:v>M3 FPR</x:v>
      </x:c>
      <x:c r="AA4" s="284" t="str">
        <x:v>M1 AUC</x:v>
      </x:c>
      <x:c r="AB4" s="285" t="str">
        <x:v>M3 AUC</x:v>
      </x:c>
      <x:c r="AC4" t="str">
        <x:v>S/D</x:v>
      </x:c>
      <x:c r="AD4" t="str">
        <x:v>M0 FNR</x:v>
      </x:c>
      <x:c r="AE4" t="str">
        <x:v>M0 FPR</x:v>
      </x:c>
      <x:c r="AF4" t="str">
        <x:v>M2 FNR</x:v>
      </x:c>
      <x:c r="AG4" t="str">
        <x:v>M2 FPR</x:v>
      </x:c>
      <x:c r="AH4" t="str">
        <x:v>M0 AUC</x:v>
      </x:c>
      <x:c r="AI4" t="str">
        <x:v>M2 AUC</x:v>
      </x:c>
      <x:c r="AJ4" t="str">
        <x:v>S/D</x:v>
      </x:c>
      <x:c r="AK4" t="str">
        <x:v>M0 FNR</x:v>
      </x:c>
      <x:c r="AL4" t="str">
        <x:v>M0 FPR</x:v>
      </x:c>
      <x:c r="AM4" t="str">
        <x:v>M2 FNR</x:v>
      </x:c>
      <x:c r="AN4" t="str">
        <x:v>M2 FPR</x:v>
      </x:c>
      <x:c r="AO4" t="str">
        <x:v>M0 AUC</x:v>
      </x:c>
      <x:c r="AP4" t="str">
        <x:v>M2 AUC</x:v>
      </x:c>
      <x:c r="AQ4" t="str">
        <x:v>S/D</x:v>
      </x:c>
      <x:c r="AR4" t="str">
        <x:v>M0 FNR</x:v>
      </x:c>
      <x:c r="AS4" t="str">
        <x:v>M0 FPR</x:v>
      </x:c>
      <x:c r="AT4" t="str">
        <x:v>M2 FNR</x:v>
      </x:c>
      <x:c r="AU4" t="str">
        <x:v>M2 FPR</x:v>
      </x:c>
      <x:c r="AV4" t="str">
        <x:v>M0 AUC</x:v>
      </x:c>
      <x:c r="AW4" t="str">
        <x:v>M2 AUC</x:v>
      </x:c>
      <x:c r="AX4" t="str">
        <x:v>S/D</x:v>
      </x:c>
      <x:c r="AY4" t="str">
        <x:v>M0 FNR</x:v>
      </x:c>
      <x:c r="AZ4" t="str">
        <x:v>M0 FPR</x:v>
      </x:c>
      <x:c r="BA4" t="str">
        <x:v>M2 FNR</x:v>
      </x:c>
      <x:c r="BB4" t="str">
        <x:v>M2 FPR</x:v>
      </x:c>
      <x:c r="BC4" t="str">
        <x:v>M0 AUC</x:v>
      </x:c>
      <x:c r="BD4" t="str">
        <x:v>M2 AUC</x:v>
      </x:c>
    </x:row>
    <x:row r="5" ht="18" customHeight="1">
      <x:c r="A5" s="240" t="str">
        <x:v>1</x:v>
      </x:c>
      <x:c r="B5" s="241" t="n">
        <x:f>IFERROR('Simulated data'!C8*100,NA())</x:f>
        <x:v>41.935483870967744</x:v>
      </x:c>
      <x:c r="C5" s="241" t="n">
        <x:f>IFERROR('Simulated data'!C9*100,NA())</x:f>
        <x:v>14.035087719298245</x:v>
      </x:c>
      <x:c r="D5" s="241" t="n">
        <x:f>IFERROR('Simulated data'!C28*100,NA())</x:f>
        <x:v>48.333333333333336</x:v>
      </x:c>
      <x:c r="E5" s="241" t="n">
        <x:f>IFERROR('Simulated data'!C29*100,NA())</x:f>
        <x:v>18.64406779661017</x:v>
      </x:c>
      <x:c r="F5" s="241" t="n">
        <x:f>IFERROR('Simulated data'!C11*100,NA())</x:f>
        <x:v>82.59762308998303</x:v>
      </x:c>
      <x:c r="G5" s="242" t="n">
        <x:f>IFERROR('Simulated data'!C31*100,NA())</x:f>
        <x:v>71.9774011299435</x:v>
      </x:c>
      <x:c r="H5" s="240" t="str">
        <x:v>1</x:v>
      </x:c>
      <x:c r="I5" s="241" t="n">
        <x:f>IFERROR('Simulated data'!D8*100,NA())</x:f>
        <x:v>43.54838709677419</x:v>
      </x:c>
      <x:c r="J5" s="241" t="n">
        <x:f>IFERROR('Simulated data'!D9*100,NA())</x:f>
        <x:v>14.035087719298245</x:v>
      </x:c>
      <x:c r="K5" s="241" t="n">
        <x:f>IFERROR('Simulated data'!D28*100,NA())</x:f>
        <x:v>50</x:v>
      </x:c>
      <x:c r="L5" s="241" t="n">
        <x:f>IFERROR('Simulated data'!D29*100,NA())</x:f>
        <x:v>15.254237288135593</x:v>
      </x:c>
      <x:c r="M5" s="241" t="n">
        <x:f>IFERROR('Simulated data'!D11*100,NA())</x:f>
        <x:v>80.8715336728919</x:v>
      </x:c>
      <x:c r="N5" s="242" t="n">
        <x:f>IFERROR('Simulated data'!D31*100,NA())</x:f>
        <x:v>72.03389830508473</x:v>
      </x:c>
      <x:c r="O5" s="240" t="str">
        <x:v>1</x:v>
      </x:c>
      <x:c r="P5" s="241" t="n">
        <x:f>IFERROR('Simulated data'!E8*100,NA())</x:f>
        <x:v>24.193548387096776</x:v>
      </x:c>
      <x:c r="Q5" s="241" t="n">
        <x:f>IFERROR('Simulated data'!E9*100,NA())</x:f>
        <x:v>21.052631578947366</x:v>
      </x:c>
      <x:c r="R5" s="241" t="n">
        <x:f>IFERROR('Simulated data'!E28*100,NA())</x:f>
        <x:v>53.333333333333336</x:v>
      </x:c>
      <x:c r="S5" s="241" t="n">
        <x:f>IFERROR('Simulated data'!E29*100,NA())</x:f>
        <x:v>18.64406779661017</x:v>
      </x:c>
      <x:c r="T5" s="241" t="n">
        <x:f>IFERROR('Simulated data'!E11*100,NA())</x:f>
        <x:v>81.80531975099038</x:v>
      </x:c>
      <x:c r="U5" s="242" t="n">
        <x:f>IFERROR('Simulated data'!E31*100,NA())</x:f>
        <x:v>70.22598870056497</x:v>
      </x:c>
      <x:c r="V5" s="240" t="str">
        <x:v>1</x:v>
      </x:c>
      <x:c r="W5" s="241" t="n">
        <x:f>IFERROR('Simulated data'!F8*100,NA())</x:f>
        <x:v>69.35483870967742</x:v>
      </x:c>
      <x:c r="X5" s="241" t="n">
        <x:f>IFERROR('Simulated data'!F9*100,NA())</x:f>
        <x:v>5.263157894736842</x:v>
      </x:c>
      <x:c r="Y5" s="241" t="n">
        <x:f>IFERROR('Simulated data'!F28*100,NA())</x:f>
        <x:v>56.666666666666664</x:v>
      </x:c>
      <x:c r="Z5" s="241" t="n">
        <x:f>IFERROR('Simulated data'!F29*100,NA())</x:f>
        <x:v>10.16949152542373</x:v>
      </x:c>
      <x:c r="AA5" s="241" t="n">
        <x:f>IFERROR('Simulated data'!F11*100,NA())</x:f>
        <x:v>78.83418222976798</x:v>
      </x:c>
      <x:c r="AB5" s="242" t="n">
        <x:f>IFERROR('Simulated data'!F31*100,NA())</x:f>
        <x:v>71.89265536723164</x:v>
      </x:c>
      <x:c r="AC5" t="str">
        <x:v>1</x:v>
      </x:c>
      <x:c r="AD5" t="n">
        <x:f>IFERROR('Simulated data'!C128*100,NA())</x:f>
        <x:v>21.428571428571427</x:v>
      </x:c>
      <x:c r="AE5" t="n">
        <x:f>IFERROR('Simulated data'!C129*100,NA())</x:f>
        <x:v>14.285714285714285</x:v>
      </x:c>
      <x:c r="AF5" t="n">
        <x:f>IFERROR('Simulated data'!C148*100,NA())</x:f>
        <x:v>31.428571428571427</x:v>
      </x:c>
      <x:c r="AG5" t="n">
        <x:f>IFERROR('Simulated data'!C149*100,NA())</x:f>
        <x:v>20.238095238095237</x:v>
      </x:c>
      <x:c r="AH5" t="n">
        <x:f>IFERROR('Simulated data'!C131*100,NA())</x:f>
        <x:v>88.600583090379</x:v>
      </x:c>
      <x:c r="AI5" t="n">
        <x:f>IFERROR('Simulated data'!C151*100,NA())</x:f>
        <x:v>83.63945578231292</x:v>
      </x:c>
      <x:c r="AJ5" t="str">
        <x:v>1</x:v>
      </x:c>
      <x:c r="AK5" t="n">
        <x:f>IFERROR('Simulated data'!D128*100,NA())</x:f>
        <x:v>31.428571428571427</x:v>
      </x:c>
      <x:c r="AL5" t="n">
        <x:f>IFERROR('Simulated data'!D129*100,NA())</x:f>
        <x:v>8.16326530612245</x:v>
      </x:c>
      <x:c r="AM5" t="n">
        <x:f>IFERROR('Simulated data'!D148*100,NA())</x:f>
        <x:v>31.428571428571427</x:v>
      </x:c>
      <x:c r="AN5" t="n">
        <x:f>IFERROR('Simulated data'!D149*100,NA())</x:f>
        <x:v>16.666666666666664</x:v>
      </x:c>
      <x:c r="AO5" t="n">
        <x:f>IFERROR('Simulated data'!D131*100,NA())</x:f>
        <x:v>86.7930029154519</x:v>
      </x:c>
      <x:c r="AP5" t="n">
        <x:f>IFERROR('Simulated data'!D151*100,NA())</x:f>
        <x:v>79.08163265306123</x:v>
      </x:c>
      <x:c r="AQ5" t="str">
        <x:v>1</x:v>
      </x:c>
      <x:c r="AR5" t="n">
        <x:f>IFERROR('Simulated data'!E128*100,NA())</x:f>
        <x:v>17.142857142857142</x:v>
      </x:c>
      <x:c r="AS5" t="n">
        <x:f>IFERROR('Simulated data'!E129*100,NA())</x:f>
        <x:v>34.69387755102041</x:v>
      </x:c>
      <x:c r="AT5" t="n">
        <x:f>IFERROR('Simulated data'!E148*100,NA())</x:f>
        <x:v>42.857142857142854</x:v>
      </x:c>
      <x:c r="AU5" t="n">
        <x:f>IFERROR('Simulated data'!E149*100,NA())</x:f>
        <x:v>34.523809523809526</x:v>
      </x:c>
      <x:c r="AV5" t="n">
        <x:f>IFERROR('Simulated data'!E131*100,NA())</x:f>
        <x:v>84.40233236151603</x:v>
      </x:c>
      <x:c r="AW5" t="n">
        <x:f>IFERROR('Simulated data'!E151*100,NA())</x:f>
        <x:v>75.03401360544217</x:v>
      </x:c>
      <x:c r="AX5" t="str">
        <x:v>1</x:v>
      </x:c>
      <x:c r="AY5" t="n">
        <x:f>IFERROR('Simulated data'!F128*100,NA())</x:f>
        <x:v>50</x:v>
      </x:c>
      <x:c r="AZ5" t="n">
        <x:f>IFERROR('Simulated data'!F129*100,NA())</x:f>
        <x:v>6.122448979591836</x:v>
      </x:c>
      <x:c r="BA5" t="n">
        <x:f>IFERROR('Simulated data'!F148*100,NA())</x:f>
        <x:v>74.28571428571429</x:v>
      </x:c>
      <x:c r="BB5" t="n">
        <x:f>IFERROR('Simulated data'!F149*100,NA())</x:f>
        <x:v>4.761904761904762</x:v>
      </x:c>
      <x:c r="BC5" t="n">
        <x:f>IFERROR('Simulated data'!F131*100,NA())</x:f>
        <x:v>84.13994169096209</x:v>
      </x:c>
      <x:c r="BD5" t="n">
        <x:f>IFERROR('Simulated data'!F151*100,NA())</x:f>
        <x:v>81.97278911564626</x:v>
      </x:c>
    </x:row>
    <x:row r="6" ht="18" customHeight="1">
      <x:c r="A6" s="243" t="str">
        <x:v>2</x:v>
      </x:c>
      <x:c r="B6" s="244" t="n">
        <x:f>IFERROR('Simulated data'!C12*100,NA())</x:f>
        <x:v>25.581395348837212</x:v>
      </x:c>
      <x:c r="C6" s="244" t="n">
        <x:f>IFERROR('Simulated data'!C13*100,NA())</x:f>
        <x:v>21.052631578947366</x:v>
      </x:c>
      <x:c r="D6" s="244" t="n">
        <x:f>IFERROR('Simulated data'!C32*100,NA())</x:f>
        <x:v>42.10526315789473</x:v>
      </x:c>
      <x:c r="E6" s="244" t="n">
        <x:f>IFERROR('Simulated data'!C33*100,NA())</x:f>
        <x:v>18.51851851851852</x:v>
      </x:c>
      <x:c r="F6" s="244" t="n">
        <x:f>IFERROR('Simulated data'!C15*100,NA())</x:f>
        <x:v>86.38310893512852</x:v>
      </x:c>
      <x:c r="G6" s="245" t="n">
        <x:f>IFERROR('Simulated data'!C35*100,NA())</x:f>
        <x:v>76.38076673164392</x:v>
      </x:c>
      <x:c r="H6" s="243" t="str">
        <x:v>2</x:v>
      </x:c>
      <x:c r="I6" s="244" t="n">
        <x:f>IFERROR('Simulated data'!D12*100,NA())</x:f>
        <x:v>25.581395348837212</x:v>
      </x:c>
      <x:c r="J6" s="244" t="n">
        <x:f>IFERROR('Simulated data'!D13*100,NA())</x:f>
        <x:v>22.36842105263158</x:v>
      </x:c>
      <x:c r="K6" s="244" t="n">
        <x:f>IFERROR('Simulated data'!D32*100,NA())</x:f>
        <x:v>47.368421052631575</x:v>
      </x:c>
      <x:c r="L6" s="244" t="n">
        <x:f>IFERROR('Simulated data'!D33*100,NA())</x:f>
        <x:v>20.98765432098765</x:v>
      </x:c>
      <x:c r="M6" s="244" t="n">
        <x:f>IFERROR('Simulated data'!D15*100,NA())</x:f>
        <x:v>86.53610771113831</x:v>
      </x:c>
      <x:c r="N6" s="245" t="n">
        <x:f>IFERROR('Simulated data'!D35*100,NA())</x:f>
        <x:v>76.83560753736191</x:v>
      </x:c>
      <x:c r="O6" s="243" t="str">
        <x:v>2</x:v>
      </x:c>
      <x:c r="P6" s="244" t="n">
        <x:f>IFERROR('Simulated data'!E12*100,NA())</x:f>
        <x:v>6.976744186046512</x:v>
      </x:c>
      <x:c r="Q6" s="244" t="n">
        <x:f>IFERROR('Simulated data'!E13*100,NA())</x:f>
        <x:v>51.31578947368421</x:v>
      </x:c>
      <x:c r="R6" s="244" t="n">
        <x:f>IFERROR('Simulated data'!E32*100,NA())</x:f>
        <x:v>28.947368421052634</x:v>
      </x:c>
      <x:c r="S6" s="244" t="n">
        <x:f>IFERROR('Simulated data'!E33*100,NA())</x:f>
        <x:v>29.629629629629626</x:v>
      </x:c>
      <x:c r="T6" s="244" t="n">
        <x:f>IFERROR('Simulated data'!E15*100,NA())</x:f>
        <x:v>84.24112607099144</x:v>
      </x:c>
      <x:c r="U6" s="245" t="n">
        <x:f>IFERROR('Simulated data'!E35*100,NA())</x:f>
        <x:v>76.18583495776478</x:v>
      </x:c>
      <x:c r="V6" s="243" t="str">
        <x:v>2</x:v>
      </x:c>
      <x:c r="W6" s="244" t="n">
        <x:f>IFERROR('Simulated data'!F12*100,NA())</x:f>
        <x:v>34.883720930232556</x:v>
      </x:c>
      <x:c r="X6" s="244" t="n">
        <x:f>IFERROR('Simulated data'!F13*100,NA())</x:f>
        <x:v>11.842105263157894</x:v>
      </x:c>
      <x:c r="Y6" s="244" t="n">
        <x:f>IFERROR('Simulated data'!F32*100,NA())</x:f>
        <x:v>52.63157894736842</x:v>
      </x:c>
      <x:c r="Z6" s="244" t="n">
        <x:f>IFERROR('Simulated data'!F33*100,NA())</x:f>
        <x:v>14.814814814814813</x:v>
      </x:c>
      <x:c r="AA6" s="244" t="n">
        <x:f>IFERROR('Simulated data'!F15*100,NA())</x:f>
        <x:v>84.24112607099144</x:v>
      </x:c>
      <x:c r="AB6" s="245" t="n">
        <x:f>IFERROR('Simulated data'!F35*100,NA())</x:f>
        <x:v>73.16439246263808</x:v>
      </x:c>
      <x:c r="AC6" t="str">
        <x:v>2</x:v>
      </x:c>
      <x:c r="AD6" t="n">
        <x:f>IFERROR('Simulated data'!C132*100,NA())</x:f>
        <x:v>24.59016393442623</x:v>
      </x:c>
      <x:c r="AE6" t="n">
        <x:f>IFERROR('Simulated data'!C133*100,NA())</x:f>
        <x:v>24.137931034482758</x:v>
      </x:c>
      <x:c r="AF6" t="n">
        <x:f>IFERROR('Simulated data'!C152*100,NA())</x:f>
        <x:v>50</x:v>
      </x:c>
      <x:c r="AG6" t="n">
        <x:f>IFERROR('Simulated data'!C153*100,NA())</x:f>
        <x:v>30.136986301369863</x:v>
      </x:c>
      <x:c r="AH6" t="n">
        <x:f>IFERROR('Simulated data'!C135*100,NA())</x:f>
        <x:v>83.3239118145845</x:v>
      </x:c>
      <x:c r="AI6" t="n">
        <x:f>IFERROR('Simulated data'!C155*100,NA())</x:f>
        <x:v>61.16736152471709</x:v>
      </x:c>
      <x:c r="AJ6" t="str">
        <x:v>2</x:v>
      </x:c>
      <x:c r="AK6" t="n">
        <x:f>IFERROR('Simulated data'!D132*100,NA())</x:f>
        <x:v>27.86885245901639</x:v>
      </x:c>
      <x:c r="AL6" t="n">
        <x:f>IFERROR('Simulated data'!D133*100,NA())</x:f>
        <x:v>24.137931034482758</x:v>
      </x:c>
      <x:c r="AM6" t="n">
        <x:f>IFERROR('Simulated data'!D152*100,NA())</x:f>
        <x:v>54.347826086956516</x:v>
      </x:c>
      <x:c r="AN6" t="n">
        <x:f>IFERROR('Simulated data'!D153*100,NA())</x:f>
        <x:v>21.91780821917808</x:v>
      </x:c>
      <x:c r="AO6" t="n">
        <x:f>IFERROR('Simulated data'!D135*100,NA())</x:f>
        <x:v>81.7976257772753</x:v>
      </x:c>
      <x:c r="AP6" t="n">
        <x:f>IFERROR('Simulated data'!D155*100,NA())</x:f>
        <x:v>64.05598570577725</x:v>
      </x:c>
      <x:c r="AQ6" t="str">
        <x:v>2</x:v>
      </x:c>
      <x:c r="AR6" t="n">
        <x:f>IFERROR('Simulated data'!E132*100,NA())</x:f>
        <x:v>14.754098360655737</x:v>
      </x:c>
      <x:c r="AS6" t="n">
        <x:f>IFERROR('Simulated data'!E133*100,NA())</x:f>
        <x:v>56.896551724137936</x:v>
      </x:c>
      <x:c r="AT6" t="n">
        <x:f>IFERROR('Simulated data'!E152*100,NA())</x:f>
        <x:v>21.73913043478261</x:v>
      </x:c>
      <x:c r="AU6" t="n">
        <x:f>IFERROR('Simulated data'!E153*100,NA())</x:f>
        <x:v>61.64383561643836</x:v>
      </x:c>
      <x:c r="AV6" t="n">
        <x:f>IFERROR('Simulated data'!E135*100,NA())</x:f>
        <x:v>81.4584511023177</x:v>
      </x:c>
      <x:c r="AW6" t="n">
        <x:f>IFERROR('Simulated data'!E155*100,NA())</x:f>
        <x:v>68.91006551518761</x:v>
      </x:c>
      <x:c r="AX6" t="str">
        <x:v>2</x:v>
      </x:c>
      <x:c r="AY6" t="n">
        <x:f>IFERROR('Simulated data'!F132*100,NA())</x:f>
        <x:v>42.62295081967213</x:v>
      </x:c>
      <x:c r="AZ6" t="n">
        <x:f>IFERROR('Simulated data'!F133*100,NA())</x:f>
        <x:v>10.344827586206897</x:v>
      </x:c>
      <x:c r="BA6" t="n">
        <x:f>IFERROR('Simulated data'!F152*100,NA())</x:f>
        <x:v>65.21739130434783</x:v>
      </x:c>
      <x:c r="BB6" t="n">
        <x:f>IFERROR('Simulated data'!F153*100,NA())</x:f>
        <x:v>20.54794520547945</x:v>
      </x:c>
      <x:c r="BC6" t="n">
        <x:f>IFERROR('Simulated data'!F135*100,NA())</x:f>
        <x:v>82.5607687959299</x:v>
      </x:c>
      <x:c r="BD6" t="n">
        <x:f>IFERROR('Simulated data'!F155*100,NA())</x:f>
        <x:v>55.56879094699225</x:v>
      </x:c>
    </x:row>
    <x:row r="7" ht="18" customHeight="1">
      <x:c r="A7" s="246" t="str">
        <x:v>4</x:v>
      </x:c>
      <x:c r="B7" s="247" t="n">
        <x:f>IFERROR('Simulated data'!C16*100,NA())</x:f>
        <x:v>15.09433962264151</x:v>
      </x:c>
      <x:c r="C7" s="247" t="n">
        <x:f>IFERROR('Simulated data'!C17*100,NA())</x:f>
        <x:v>30.303030303030305</x:v>
      </x:c>
      <x:c r="D7" s="247" t="n">
        <x:f>IFERROR('Simulated data'!C36*100,NA())</x:f>
        <x:v>39.39393939393939</x:v>
      </x:c>
      <x:c r="E7" s="247" t="n">
        <x:f>IFERROR('Simulated data'!C37*100,NA())</x:f>
        <x:v>24.418604651162788</x:v>
      </x:c>
      <x:c r="F7" s="247" t="n">
        <x:f>IFERROR('Simulated data'!C19*100,NA())</x:f>
        <x:v>85.76329331046313</x:v>
      </x:c>
      <x:c r="G7" s="248" t="n">
        <x:f>IFERROR('Simulated data'!C39*100,NA())</x:f>
        <x:v>70.71881606765328</x:v>
      </x:c>
      <x:c r="H7" s="246" t="str">
        <x:v>4</x:v>
      </x:c>
      <x:c r="I7" s="247" t="n">
        <x:f>IFERROR('Simulated data'!D16*100,NA())</x:f>
        <x:v>22.641509433962266</x:v>
      </x:c>
      <x:c r="J7" s="247" t="n">
        <x:f>IFERROR('Simulated data'!D17*100,NA())</x:f>
        <x:v>30.303030303030305</x:v>
      </x:c>
      <x:c r="K7" s="247" t="n">
        <x:f>IFERROR('Simulated data'!D36*100,NA())</x:f>
        <x:v>45.45454545454545</x:v>
      </x:c>
      <x:c r="L7" s="247" t="n">
        <x:f>IFERROR('Simulated data'!D37*100,NA())</x:f>
        <x:v>24.418604651162788</x:v>
      </x:c>
      <x:c r="M7" s="247" t="n">
        <x:f>IFERROR('Simulated data'!D19*100,NA())</x:f>
        <x:v>82.7329902801601</x:v>
      </x:c>
      <x:c r="N7" s="248" t="n">
        <x:f>IFERROR('Simulated data'!D39*100,NA())</x:f>
        <x:v>71.42353770260748</x:v>
      </x:c>
      <x:c r="O7" s="246" t="str">
        <x:v>4</x:v>
      </x:c>
      <x:c r="P7" s="247" t="n">
        <x:f>IFERROR('Simulated data'!E16*100,NA())</x:f>
        <x:v>5.660377358490567</x:v>
      </x:c>
      <x:c r="Q7" s="247" t="n">
        <x:f>IFERROR('Simulated data'!E17*100,NA())</x:f>
        <x:v>45.45454545454545</x:v>
      </x:c>
      <x:c r="R7" s="247" t="n">
        <x:f>IFERROR('Simulated data'!E36*100,NA())</x:f>
        <x:v>36.36363636363637</x:v>
      </x:c>
      <x:c r="S7" s="247" t="n">
        <x:f>IFERROR('Simulated data'!E37*100,NA())</x:f>
        <x:v>34.883720930232556</x:v>
      </x:c>
      <x:c r="T7" s="247" t="n">
        <x:f>IFERROR('Simulated data'!E19*100,NA())</x:f>
        <x:v>81.2178387650086</x:v>
      </x:c>
      <x:c r="U7" s="248" t="n">
        <x:f>IFERROR('Simulated data'!E39*100,NA())</x:f>
        <x:v>68.88653981677237</x:v>
      </x:c>
      <x:c r="V7" s="246" t="str">
        <x:v>4</x:v>
      </x:c>
      <x:c r="W7" s="247" t="n">
        <x:f>IFERROR('Simulated data'!F16*100,NA())</x:f>
        <x:v>60.37735849056604</x:v>
      </x:c>
      <x:c r="X7" s="247" t="n">
        <x:f>IFERROR('Simulated data'!F17*100,NA())</x:f>
        <x:v>7.575757575757576</x:v>
      </x:c>
      <x:c r="Y7" s="247" t="n">
        <x:f>IFERROR('Simulated data'!F36*100,NA())</x:f>
        <x:v>51.515151515151516</x:v>
      </x:c>
      <x:c r="Z7" s="247" t="n">
        <x:f>IFERROR('Simulated data'!F37*100,NA())</x:f>
        <x:v>22.093023255813954</x:v>
      </x:c>
      <x:c r="AA7" s="247" t="n">
        <x:f>IFERROR('Simulated data'!F19*100,NA())</x:f>
        <x:v>79.10234419668382</x:v>
      </x:c>
      <x:c r="AB7" s="248" t="n">
        <x:f>IFERROR('Simulated data'!F39*100,NA())</x:f>
        <x:v>71.07117688513037</x:v>
      </x:c>
      <x:c r="AC7" t="str">
        <x:v>4</x:v>
      </x:c>
      <x:c r="AD7" t="n">
        <x:f>IFERROR('Simulated data'!C136*100,NA())</x:f>
        <x:v>26.865671641791046</x:v>
      </x:c>
      <x:c r="AE7" t="n">
        <x:f>IFERROR('Simulated data'!C137*100,NA())</x:f>
        <x:v>26.923076923076923</x:v>
      </x:c>
      <x:c r="AF7" t="n">
        <x:f>IFERROR('Simulated data'!C156*100,NA())</x:f>
        <x:v>41.17647058823529</x:v>
      </x:c>
      <x:c r="AG7" t="n">
        <x:f>IFERROR('Simulated data'!C157*100,NA())</x:f>
        <x:v>29.411764705882355</x:v>
      </x:c>
      <x:c r="AH7" t="n">
        <x:f>IFERROR('Simulated data'!C139*100,NA())</x:f>
        <x:v>80.45350172215844</x:v>
      </x:c>
      <x:c r="AI7" t="n">
        <x:f>IFERROR('Simulated data'!C159*100,NA())</x:f>
        <x:v>69.51557093425606</x:v>
      </x:c>
      <x:c r="AJ7" t="str">
        <x:v>4</x:v>
      </x:c>
      <x:c r="AK7" t="n">
        <x:f>IFERROR('Simulated data'!D136*100,NA())</x:f>
        <x:v>29.850746268656714</x:v>
      </x:c>
      <x:c r="AL7" t="n">
        <x:f>IFERROR('Simulated data'!D137*100,NA())</x:f>
        <x:v>21.153846153846153</x:v>
      </x:c>
      <x:c r="AM7" t="n">
        <x:f>IFERROR('Simulated data'!D156*100,NA())</x:f>
        <x:v>41.17647058823529</x:v>
      </x:c>
      <x:c r="AN7" t="n">
        <x:f>IFERROR('Simulated data'!D157*100,NA())</x:f>
        <x:v>30.58823529411765</x:v>
      </x:c>
      <x:c r="AO7" t="n">
        <x:f>IFERROR('Simulated data'!D139*100,NA())</x:f>
        <x:v>80.0516647531573</x:v>
      </x:c>
      <x:c r="AP7" t="n">
        <x:f>IFERROR('Simulated data'!D159*100,NA())</x:f>
        <x:v>67.95847750865052</x:v>
      </x:c>
      <x:c r="AQ7" t="str">
        <x:v>4</x:v>
      </x:c>
      <x:c r="AR7" t="n">
        <x:f>IFERROR('Simulated data'!E136*100,NA())</x:f>
        <x:v>14.925373134328357</x:v>
      </x:c>
      <x:c r="AS7" t="n">
        <x:f>IFERROR('Simulated data'!E137*100,NA())</x:f>
        <x:v>61.53846153846154</x:v>
      </x:c>
      <x:c r="AT7" t="n">
        <x:f>IFERROR('Simulated data'!E156*100,NA())</x:f>
        <x:v>14.705882352941178</x:v>
      </x:c>
      <x:c r="AU7" t="n">
        <x:f>IFERROR('Simulated data'!E157*100,NA())</x:f>
        <x:v>54.11764705882353</x:v>
      </x:c>
      <x:c r="AV7" t="n">
        <x:f>IFERROR('Simulated data'!E139*100,NA())</x:f>
        <x:v>76.23421354764638</x:v>
      </x:c>
      <x:c r="AW7" t="n">
        <x:f>IFERROR('Simulated data'!E159*100,NA())</x:f>
        <x:v>69.55017301038062</x:v>
      </x:c>
      <x:c r="AX7" t="str">
        <x:v>4</x:v>
      </x:c>
      <x:c r="AY7" t="n">
        <x:f>IFERROR('Simulated data'!F136*100,NA())</x:f>
        <x:v>43.28358208955223</x:v>
      </x:c>
      <x:c r="AZ7" t="n">
        <x:f>IFERROR('Simulated data'!F137*100,NA())</x:f>
        <x:v>15.384615384615385</x:v>
      </x:c>
      <x:c r="BA7" t="n">
        <x:f>IFERROR('Simulated data'!F156*100,NA())</x:f>
        <x:v>58.82352941176471</x:v>
      </x:c>
      <x:c r="BB7" t="n">
        <x:f>IFERROR('Simulated data'!F157*100,NA())</x:f>
        <x:v>23.52941176470588</x:v>
      </x:c>
      <x:c r="BC7" t="n">
        <x:f>IFERROR('Simulated data'!F139*100,NA())</x:f>
        <x:v>79.8507462686567</x:v>
      </x:c>
      <x:c r="BD7" t="n">
        <x:f>IFERROR('Simulated data'!F159*100,NA())</x:f>
        <x:v>62.59515570934256</x:v>
      </x:c>
    </x:row>
    <x:row r="8" ht="18" customHeight="1"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</x:row>
    <x:row r="9" ht="18" customHeight="1">
      <x:c r="A9" s="277" t="str">
        <x:v>Simulated data — Signed PMP error — M0–M3 (4/5/5/7 parameters)</x:v>
      </x:c>
      <x:c r="B9" s="277"/>
      <x:c r="C9" s="277"/>
      <x:c r="D9" s="277"/>
      <x:c r="E9" s="277"/>
      <x:c r="F9" s="277"/>
      <x:c r="G9" s="277"/>
      <x:c r="H9" s="277"/>
      <x:c r="I9" s="277"/>
      <x:c r="J9" s="277"/>
      <x:c r="K9" s="277"/>
      <x:c r="L9" s="277"/>
      <x:c r="M9" s="277"/>
      <x:c r="N9" s="277"/>
      <x:c r="O9" s="277"/>
      <x:c r="P9" s="277"/>
      <x:c r="Q9" s="277"/>
      <x:c r="R9" s="277"/>
      <x:c r="S9" s="277"/>
      <x:c r="T9" s="277"/>
      <x:c r="U9" s="277"/>
      <x:c r="V9" s="277"/>
      <x:c r="W9" s="277"/>
      <x:c r="X9" s="277"/>
      <x:c r="Y9" s="277"/>
      <x:c r="Z9" s="277"/>
      <x:c r="AA9" s="277"/>
      <x:c r="AB9" s="277"/>
      <x:c r="AC9" t="str">
        <x:v>Simulated data — Signed PMP error — M0–M3 (4/5/5/7 parameters)</x:v>
      </x:c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</x:row>
    <x:row r="10" ht="18" customHeight="1">
      <x:c r="A10" s="283" t="str">
        <x:v>S/D</x:v>
      </x:c>
      <x:c r="B10" s="284" t="str">
        <x:v>M1 FNR</x:v>
      </x:c>
      <x:c r="C10" s="284" t="str">
        <x:v>M1 FPR</x:v>
      </x:c>
      <x:c r="D10" s="284" t="str">
        <x:v>M3 FNR</x:v>
      </x:c>
      <x:c r="E10" s="284" t="str">
        <x:v>M3 FPR</x:v>
      </x:c>
      <x:c r="F10" s="284" t="str">
        <x:v>M1 AUC</x:v>
      </x:c>
      <x:c r="G10" s="285" t="str">
        <x:v>M3 AUC</x:v>
      </x:c>
      <x:c r="H10" s="283" t="str">
        <x:v>S/D</x:v>
      </x:c>
      <x:c r="I10" s="284" t="str">
        <x:v>M1 FNR</x:v>
      </x:c>
      <x:c r="J10" s="284" t="str">
        <x:v>M1 FPR</x:v>
      </x:c>
      <x:c r="K10" s="284" t="str">
        <x:v>M3 FNR</x:v>
      </x:c>
      <x:c r="L10" s="284" t="str">
        <x:v>M3 FPR</x:v>
      </x:c>
      <x:c r="M10" s="284" t="str">
        <x:v>M1 AUC</x:v>
      </x:c>
      <x:c r="N10" s="285" t="str">
        <x:v>M3 AUC</x:v>
      </x:c>
      <x:c r="O10" s="283" t="str">
        <x:v>S/D</x:v>
      </x:c>
      <x:c r="P10" s="284" t="str">
        <x:v>M1 FNR</x:v>
      </x:c>
      <x:c r="Q10" s="284" t="str">
        <x:v>M1 FPR</x:v>
      </x:c>
      <x:c r="R10" s="284" t="str">
        <x:v>M3 FNR</x:v>
      </x:c>
      <x:c r="S10" s="284" t="str">
        <x:v>M3 FPR</x:v>
      </x:c>
      <x:c r="T10" s="284" t="str">
        <x:v>M1 AUC</x:v>
      </x:c>
      <x:c r="U10" s="285" t="str">
        <x:v>M3 AUC</x:v>
      </x:c>
      <x:c r="V10" s="283" t="str">
        <x:v>S/D</x:v>
      </x:c>
      <x:c r="W10" s="284" t="str">
        <x:v>M1 FNR</x:v>
      </x:c>
      <x:c r="X10" s="284" t="str">
        <x:v>M1 FPR</x:v>
      </x:c>
      <x:c r="Y10" s="284" t="str">
        <x:v>M3 FNR</x:v>
      </x:c>
      <x:c r="Z10" s="284" t="str">
        <x:v>M3 FPR</x:v>
      </x:c>
      <x:c r="AA10" s="284" t="str">
        <x:v>M1 AUC</x:v>
      </x:c>
      <x:c r="AB10" s="285" t="str">
        <x:v>M3 AUC</x:v>
      </x:c>
      <x:c r="AC10" t="str">
        <x:v>S/D</x:v>
      </x:c>
      <x:c r="AD10" t="str">
        <x:v>M0 FNR</x:v>
      </x:c>
      <x:c r="AE10" t="str">
        <x:v>M0 FPR</x:v>
      </x:c>
      <x:c r="AF10" t="str">
        <x:v>M2 FNR</x:v>
      </x:c>
      <x:c r="AG10" t="str">
        <x:v>M2 FPR</x:v>
      </x:c>
      <x:c r="AH10" t="str">
        <x:v>M0 AUC</x:v>
      </x:c>
      <x:c r="AI10" t="str">
        <x:v>M2 AUC</x:v>
      </x:c>
      <x:c r="AJ10" t="str">
        <x:v>S/D</x:v>
      </x:c>
      <x:c r="AK10" t="str">
        <x:v>M0 FNR</x:v>
      </x:c>
      <x:c r="AL10" t="str">
        <x:v>M0 FPR</x:v>
      </x:c>
      <x:c r="AM10" t="str">
        <x:v>M2 FNR</x:v>
      </x:c>
      <x:c r="AN10" t="str">
        <x:v>M2 FPR</x:v>
      </x:c>
      <x:c r="AO10" t="str">
        <x:v>M0 AUC</x:v>
      </x:c>
      <x:c r="AP10" t="str">
        <x:v>M2 AUC</x:v>
      </x:c>
      <x:c r="AQ10" t="str">
        <x:v>S/D</x:v>
      </x:c>
      <x:c r="AR10" t="str">
        <x:v>M0 FNR</x:v>
      </x:c>
      <x:c r="AS10" t="str">
        <x:v>M0 FPR</x:v>
      </x:c>
      <x:c r="AT10" t="str">
        <x:v>M2 FNR</x:v>
      </x:c>
      <x:c r="AU10" t="str">
        <x:v>M2 FPR</x:v>
      </x:c>
      <x:c r="AV10" t="str">
        <x:v>M0 AUC</x:v>
      </x:c>
      <x:c r="AW10" t="str">
        <x:v>M2 AUC</x:v>
      </x:c>
      <x:c r="AX10" t="str">
        <x:v>S/D</x:v>
      </x:c>
      <x:c r="AY10" t="str">
        <x:v>M0 FNR</x:v>
      </x:c>
      <x:c r="AZ10" t="str">
        <x:v>M0 FPR</x:v>
      </x:c>
      <x:c r="BA10" t="str">
        <x:v>M2 FNR</x:v>
      </x:c>
      <x:c r="BB10" t="str">
        <x:v>M2 FPR</x:v>
      </x:c>
      <x:c r="BC10" t="str">
        <x:v>M0 AUC</x:v>
      </x:c>
      <x:c r="BD10" t="str">
        <x:v>M2 AUC</x:v>
      </x:c>
    </x:row>
    <x:row r="11" ht="18" customHeight="1">
      <x:c r="A11" s="240" t="str">
        <x:v>1</x:v>
      </x:c>
      <x:c r="B11" s="241" t="n">
        <x:f>IFERROR('Simulated data'!C48*100,NA())</x:f>
        <x:v>71.42857142857143</x:v>
      </x:c>
      <x:c r="C11" s="241" t="n">
        <x:f>IFERROR('Simulated data'!C49*100,NA())</x:f>
        <x:v>38.095238095238095</x:v>
      </x:c>
      <x:c r="D11" s="241" t="n">
        <x:f>IFERROR('Simulated data'!C68*100,NA())</x:f>
        <x:v>47.368421052631575</x:v>
      </x:c>
      <x:c r="E11" s="241" t="n">
        <x:f>IFERROR('Simulated data'!C69*100,NA())</x:f>
        <x:v>32</x:v>
      </x:c>
      <x:c r="F11" s="241" t="n">
        <x:f>IFERROR('Simulated data'!C51*100,NA())</x:f>
        <x:v>39.72789115646258</x:v>
      </x:c>
      <x:c r="G11" s="242" t="n">
        <x:f>IFERROR('Simulated data'!C71*100,NA())</x:f>
        <x:v>57.8421052631579</x:v>
      </x:c>
      <x:c r="H11" s="240" t="str">
        <x:v>1</x:v>
      </x:c>
      <x:c r="I11" s="241" t="n">
        <x:f>IFERROR('Simulated data'!D48*100,NA())</x:f>
        <x:v>64.28571428571429</x:v>
      </x:c>
      <x:c r="J11" s="241" t="n">
        <x:f>IFERROR('Simulated data'!D49*100,NA())</x:f>
        <x:v>36.19047619047619</x:v>
      </x:c>
      <x:c r="K11" s="241" t="n">
        <x:f>IFERROR('Simulated data'!D68*100,NA())</x:f>
        <x:v>52.63157894736842</x:v>
      </x:c>
      <x:c r="L11" s="241" t="n">
        <x:f>IFERROR('Simulated data'!D69*100,NA())</x:f>
        <x:v>30</x:v>
      </x:c>
      <x:c r="M11" s="241" t="n">
        <x:f>IFERROR('Simulated data'!D51*100,NA())</x:f>
        <x:v>35.71428571428572</x:v>
      </x:c>
      <x:c r="N11" s="242" t="n">
        <x:f>IFERROR('Simulated data'!D71*100,NA())</x:f>
        <x:v>62.052631578947356</x:v>
      </x:c>
      <x:c r="O11" s="240" t="str">
        <x:v>1</x:v>
      </x:c>
      <x:c r="P11" s="241" t="n">
        <x:f>IFERROR('Simulated data'!E48*100,NA())</x:f>
        <x:v>85.71428571428571</x:v>
      </x:c>
      <x:c r="Q11" s="241" t="n">
        <x:f>IFERROR('Simulated data'!E49*100,NA())</x:f>
        <x:v>54.285714285714285</x:v>
      </x:c>
      <x:c r="R11" s="241" t="n">
        <x:f>IFERROR('Simulated data'!E68*100,NA())</x:f>
        <x:v>52.63157894736842</x:v>
      </x:c>
      <x:c r="S11" s="241" t="n">
        <x:f>IFERROR('Simulated data'!E69*100,NA())</x:f>
        <x:v>30</x:v>
      </x:c>
      <x:c r="T11" s="241" t="n">
        <x:f>IFERROR('Simulated data'!E51*100,NA())</x:f>
        <x:v>34.14965986394558</x:v>
      </x:c>
      <x:c r="U11" s="242" t="n">
        <x:f>IFERROR('Simulated data'!E71*100,NA())</x:f>
        <x:v>61.73684210526316</x:v>
      </x:c>
      <x:c r="V11" s="240" t="str">
        <x:v>1</x:v>
      </x:c>
      <x:c r="W11" s="241" t="n">
        <x:f>IFERROR('Simulated data'!F48*100,NA())</x:f>
        <x:v>85.71428571428571</x:v>
      </x:c>
      <x:c r="X11" s="241" t="n">
        <x:f>IFERROR('Simulated data'!F49*100,NA())</x:f>
        <x:v>19.047619047619047</x:v>
      </x:c>
      <x:c r="Y11" s="241" t="n">
        <x:f>IFERROR('Simulated data'!F68*100,NA())</x:f>
        <x:v>73.68421052631578</x:v>
      </x:c>
      <x:c r="Z11" s="241" t="n">
        <x:f>IFERROR('Simulated data'!F69*100,NA())</x:f>
        <x:v>27</x:v>
      </x:c>
      <x:c r="AA11" s="241" t="n">
        <x:f>IFERROR('Simulated data'!F51*100,NA())</x:f>
        <x:v>40.06802721088435</x:v>
      </x:c>
      <x:c r="AB11" s="242" t="n">
        <x:f>IFERROR('Simulated data'!F71*100,NA())</x:f>
        <x:v>54.63157894736842</x:v>
      </x:c>
      <x:c r="AC11" t="str">
        <x:v>1</x:v>
      </x:c>
      <x:c r="AD11" t="n">
        <x:f>IFERROR('Simulated data'!C168*100,NA())</x:f>
        <x:v>83.33333333333334</x:v>
      </x:c>
      <x:c r="AE11" t="n">
        <x:f>IFERROR('Simulated data'!C169*100,NA())</x:f>
        <x:v>53.98230088495575</x:v>
      </x:c>
      <x:c r="AF11" t="n">
        <x:f>IFERROR('Simulated data'!C188*100,NA())</x:f>
        <x:v>73.33333333333333</x:v>
      </x:c>
      <x:c r="AG11" t="n">
        <x:f>IFERROR('Simulated data'!C189*100,NA())</x:f>
        <x:v>35.57692307692308</x:v>
      </x:c>
      <x:c r="AH11" t="n">
        <x:f>IFERROR('Simulated data'!C171*100,NA())</x:f>
        <x:v>31.710914454277283</x:v>
      </x:c>
      <x:c r="AI11" t="n">
        <x:f>IFERROR('Simulated data'!C191*100,NA())</x:f>
        <x:v>47.69230769230769</x:v>
      </x:c>
      <x:c r="AJ11" t="str">
        <x:v>1</x:v>
      </x:c>
      <x:c r="AK11" t="n">
        <x:f>IFERROR('Simulated data'!D168*100,NA())</x:f>
        <x:v>83.33333333333334</x:v>
      </x:c>
      <x:c r="AL11" t="n">
        <x:f>IFERROR('Simulated data'!D169*100,NA())</x:f>
        <x:v>45.13274336283185</x:v>
      </x:c>
      <x:c r="AM11" t="n">
        <x:f>IFERROR('Simulated data'!D188*100,NA())</x:f>
        <x:v>66.66666666666666</x:v>
      </x:c>
      <x:c r="AN11" t="n">
        <x:f>IFERROR('Simulated data'!D189*100,NA())</x:f>
        <x:v>31.73076923076923</x:v>
      </x:c>
      <x:c r="AO11" t="n">
        <x:f>IFERROR('Simulated data'!D171*100,NA())</x:f>
        <x:v>27.43362831858407</x:v>
      </x:c>
      <x:c r="AP11" t="n">
        <x:f>IFERROR('Simulated data'!D191*100,NA())</x:f>
        <x:v>47.11538461538461</x:v>
      </x:c>
      <x:c r="AQ11" t="str">
        <x:v>1</x:v>
      </x:c>
      <x:c r="AR11" t="n">
        <x:f>IFERROR('Simulated data'!E168*100,NA())</x:f>
        <x:v>83.33333333333334</x:v>
      </x:c>
      <x:c r="AS11" t="n">
        <x:f>IFERROR('Simulated data'!E169*100,NA())</x:f>
        <x:v>65.48672566371681</x:v>
      </x:c>
      <x:c r="AT11" t="n">
        <x:f>IFERROR('Simulated data'!E188*100,NA())</x:f>
        <x:v>60</x:v>
      </x:c>
      <x:c r="AU11" t="n">
        <x:f>IFERROR('Simulated data'!E189*100,NA())</x:f>
        <x:v>41.34615384615385</x:v>
      </x:c>
      <x:c r="AV11" t="n">
        <x:f>IFERROR('Simulated data'!E171*100,NA())</x:f>
        <x:v>26.10619469026549</x:v>
      </x:c>
      <x:c r="AW11" t="n">
        <x:f>IFERROR('Simulated data'!E191*100,NA())</x:f>
        <x:v>48.97435897435897</x:v>
      </x:c>
      <x:c r="AX11" t="str">
        <x:v>1</x:v>
      </x:c>
      <x:c r="AY11" t="n">
        <x:f>IFERROR('Simulated data'!F168*100,NA())</x:f>
        <x:v>100</x:v>
      </x:c>
      <x:c r="AZ11" t="n">
        <x:f>IFERROR('Simulated data'!F169*100,NA())</x:f>
        <x:v>33.6283185840708</x:v>
      </x:c>
      <x:c r="BA11" t="n">
        <x:f>IFERROR('Simulated data'!F188*100,NA())</x:f>
        <x:v>100</x:v>
      </x:c>
      <x:c r="BB11" t="n">
        <x:f>IFERROR('Simulated data'!F189*100,NA())</x:f>
        <x:v>12.5</x:v>
      </x:c>
      <x:c r="BC11" t="n">
        <x:f>IFERROR('Simulated data'!F171*100,NA())</x:f>
        <x:v>42.47787610619469</x:v>
      </x:c>
      <x:c r="BD11" t="n">
        <x:f>IFERROR('Simulated data'!F191*100,NA())</x:f>
        <x:v>50.641025641025635</x:v>
      </x:c>
    </x:row>
    <x:row r="12" ht="18" customHeight="1">
      <x:c r="A12" s="243" t="str">
        <x:v>2</x:v>
      </x:c>
      <x:c r="B12" s="244" t="n">
        <x:f>IFERROR('Simulated data'!C52*100,NA())</x:f>
        <x:v>50</x:v>
      </x:c>
      <x:c r="C12" s="244" t="n">
        <x:f>IFERROR('Simulated data'!C53*100,NA())</x:f>
        <x:v>39.44954128440367</x:v>
      </x:c>
      <x:c r="D12" s="244" t="n">
        <x:f>IFERROR('Simulated data'!C72*100,NA())</x:f>
        <x:v>55.55555555555556</x:v>
      </x:c>
      <x:c r="E12" s="244" t="n">
        <x:f>IFERROR('Simulated data'!C73*100,NA())</x:f>
        <x:v>28.71287128712871</x:v>
      </x:c>
      <x:c r="F12" s="244" t="n">
        <x:f>IFERROR('Simulated data'!C55*100,NA())</x:f>
        <x:v>54.77064220183486</x:v>
      </x:c>
      <x:c r="G12" s="245" t="n">
        <x:f>IFERROR('Simulated data'!C75*100,NA())</x:f>
        <x:v>61.716171617161706</x:v>
      </x:c>
      <x:c r="H12" s="243" t="str">
        <x:v>2</x:v>
      </x:c>
      <x:c r="I12" s="244" t="n">
        <x:f>IFERROR('Simulated data'!D52*100,NA())</x:f>
        <x:v>60</x:v>
      </x:c>
      <x:c r="J12" s="244" t="n">
        <x:f>IFERROR('Simulated data'!D53*100,NA())</x:f>
        <x:v>41.284403669724774</x:v>
      </x:c>
      <x:c r="K12" s="244" t="n">
        <x:f>IFERROR('Simulated data'!D72*100,NA())</x:f>
        <x:v>50</x:v>
      </x:c>
      <x:c r="L12" s="244" t="n">
        <x:f>IFERROR('Simulated data'!D73*100,NA())</x:f>
        <x:v>27.722772277227726</x:v>
      </x:c>
      <x:c r="M12" s="244" t="n">
        <x:f>IFERROR('Simulated data'!D55*100,NA())</x:f>
        <x:v>54.86238532110092</x:v>
      </x:c>
      <x:c r="N12" s="245" t="n">
        <x:f>IFERROR('Simulated data'!D75*100,NA())</x:f>
        <x:v>64.02640264026402</x:v>
      </x:c>
      <x:c r="O12" s="243" t="str">
        <x:v>2</x:v>
      </x:c>
      <x:c r="P12" s="244" t="n">
        <x:f>IFERROR('Simulated data'!E52*100,NA())</x:f>
        <x:v>50</x:v>
      </x:c>
      <x:c r="Q12" s="244" t="n">
        <x:f>IFERROR('Simulated data'!E53*100,NA())</x:f>
        <x:v>67.88990825688074</x:v>
      </x:c>
      <x:c r="R12" s="244" t="n">
        <x:f>IFERROR('Simulated data'!E72*100,NA())</x:f>
        <x:v>44.44444444444444</x:v>
      </x:c>
      <x:c r="S12" s="244" t="n">
        <x:f>IFERROR('Simulated data'!E73*100,NA())</x:f>
        <x:v>40.5940594059406</x:v>
      </x:c>
      <x:c r="T12" s="244" t="n">
        <x:f>IFERROR('Simulated data'!E55*100,NA())</x:f>
        <x:v>39.449541284403665</x:v>
      </x:c>
      <x:c r="U12" s="245" t="n">
        <x:f>IFERROR('Simulated data'!E75*100,NA())</x:f>
        <x:v>59.02090209020901</x:v>
      </x:c>
      <x:c r="V12" s="243" t="str">
        <x:v>2</x:v>
      </x:c>
      <x:c r="W12" s="244" t="n">
        <x:f>IFERROR('Simulated data'!F52*100,NA())</x:f>
        <x:v>50</x:v>
      </x:c>
      <x:c r="X12" s="244" t="n">
        <x:f>IFERROR('Simulated data'!F53*100,NA())</x:f>
        <x:v>29.357798165137616</x:v>
      </x:c>
      <x:c r="Y12" s="244" t="n">
        <x:f>IFERROR('Simulated data'!F72*100,NA())</x:f>
        <x:v>77.77777777777779</x:v>
      </x:c>
      <x:c r="Z12" s="244" t="n">
        <x:f>IFERROR('Simulated data'!F73*100,NA())</x:f>
        <x:v>25.742574257425744</x:v>
      </x:c>
      <x:c r="AA12" s="244" t="n">
        <x:f>IFERROR('Simulated data'!F55*100,NA())</x:f>
        <x:v>64.03669724770641</x:v>
      </x:c>
      <x:c r="AB12" s="245" t="n">
        <x:f>IFERROR('Simulated data'!F75*100,NA())</x:f>
        <x:v>57.15071507150715</x:v>
      </x:c>
      <x:c r="AC12" t="str">
        <x:v>2</x:v>
      </x:c>
      <x:c r="AD12" t="n">
        <x:f>IFERROR('Simulated data'!C172*100,NA())</x:f>
        <x:v>75</x:v>
      </x:c>
      <x:c r="AE12" t="n">
        <x:f>IFERROR('Simulated data'!C173*100,NA())</x:f>
        <x:v>51.30434782608696</x:v>
      </x:c>
      <x:c r="AF12" t="n">
        <x:f>IFERROR('Simulated data'!C192*100,NA())</x:f>
        <x:v>63.1578947368421</x:v>
      </x:c>
      <x:c r="AG12" t="n">
        <x:f>IFERROR('Simulated data'!C193*100,NA())</x:f>
        <x:v>38</x:v>
      </x:c>
      <x:c r="AH12" t="n">
        <x:f>IFERROR('Simulated data'!C175*100,NA())</x:f>
        <x:v>40.21739130434783</x:v>
      </x:c>
      <x:c r="AI12" t="n">
        <x:f>IFERROR('Simulated data'!C195*100,NA())</x:f>
        <x:v>43.84210526315789</x:v>
      </x:c>
      <x:c r="AJ12" t="str">
        <x:v>2</x:v>
      </x:c>
      <x:c r="AK12" t="n">
        <x:f>IFERROR('Simulated data'!D172*100,NA())</x:f>
        <x:v>100</x:v>
      </x:c>
      <x:c r="AL12" t="n">
        <x:f>IFERROR('Simulated data'!D173*100,NA())</x:f>
        <x:v>50.43478260869565</x:v>
      </x:c>
      <x:c r="AM12" t="n">
        <x:f>IFERROR('Simulated data'!D192*100,NA())</x:f>
        <x:v>73.68421052631578</x:v>
      </x:c>
      <x:c r="AN12" t="n">
        <x:f>IFERROR('Simulated data'!D193*100,NA())</x:f>
        <x:v>32</x:v>
      </x:c>
      <x:c r="AO12" t="n">
        <x:f>IFERROR('Simulated data'!D175*100,NA())</x:f>
        <x:v>41.30434782608695</x:v>
      </x:c>
      <x:c r="AP12" t="n">
        <x:f>IFERROR('Simulated data'!D195*100,NA())</x:f>
        <x:v>43.89473684210527</x:v>
      </x:c>
      <x:c r="AQ12" t="str">
        <x:v>2</x:v>
      </x:c>
      <x:c r="AR12" t="n">
        <x:f>IFERROR('Simulated data'!E172*100,NA())</x:f>
        <x:v>75</x:v>
      </x:c>
      <x:c r="AS12" t="n">
        <x:f>IFERROR('Simulated data'!E173*100,NA())</x:f>
        <x:v>73.04347826086956</x:v>
      </x:c>
      <x:c r="AT12" t="n">
        <x:f>IFERROR('Simulated data'!E192*100,NA())</x:f>
        <x:v>63.1578947368421</x:v>
      </x:c>
      <x:c r="AU12" t="n">
        <x:f>IFERROR('Simulated data'!E193*100,NA())</x:f>
        <x:v>74</x:v>
      </x:c>
      <x:c r="AV12" t="n">
        <x:f>IFERROR('Simulated data'!E175*100,NA())</x:f>
        <x:v>30.434782608695656</x:v>
      </x:c>
      <x:c r="AW12" t="n">
        <x:f>IFERROR('Simulated data'!E195*100,NA())</x:f>
        <x:v>27.684210526315788</x:v>
      </x:c>
      <x:c r="AX12" t="str">
        <x:v>2</x:v>
      </x:c>
      <x:c r="AY12" t="n">
        <x:f>IFERROR('Simulated data'!F172*100,NA())</x:f>
        <x:v>100</x:v>
      </x:c>
      <x:c r="AZ12" t="n">
        <x:f>IFERROR('Simulated data'!F173*100,NA())</x:f>
        <x:v>35.65217391304348</x:v>
      </x:c>
      <x:c r="BA12" t="n">
        <x:f>IFERROR('Simulated data'!F192*100,NA())</x:f>
        <x:v>84.21052631578947</x:v>
      </x:c>
      <x:c r="BB12" t="n">
        <x:f>IFERROR('Simulated data'!F193*100,NA())</x:f>
        <x:v>28.000000000000004</x:v>
      </x:c>
      <x:c r="BC12" t="n">
        <x:f>IFERROR('Simulated data'!F175*100,NA())</x:f>
        <x:v>50.65217391304348</x:v>
      </x:c>
      <x:c r="BD12" t="n">
        <x:f>IFERROR('Simulated data'!F195*100,NA())</x:f>
        <x:v>47.68421052631579</x:v>
      </x:c>
    </x:row>
    <x:row r="13" ht="18" customHeight="1">
      <x:c r="A13" s="246" t="str">
        <x:v>4</x:v>
      </x:c>
      <x:c r="B13" s="247" t="n">
        <x:f>IFERROR('Simulated data'!C56*100,NA())</x:f>
        <x:v>68.75</x:v>
      </x:c>
      <x:c r="C13" s="247" t="n">
        <x:f>IFERROR('Simulated data'!C57*100,NA())</x:f>
        <x:v>58.252427184466015</x:v>
      </x:c>
      <x:c r="D13" s="247" t="n">
        <x:f>IFERROR('Simulated data'!C76*100,NA())</x:f>
        <x:v>61.29032258064516</x:v>
      </x:c>
      <x:c r="E13" s="247" t="n">
        <x:f>IFERROR('Simulated data'!C77*100,NA())</x:f>
        <x:v>32.95454545454545</x:v>
      </x:c>
      <x:c r="F13" s="247" t="n">
        <x:f>IFERROR('Simulated data'!C59*100,NA())</x:f>
        <x:v>33.55582524271845</x:v>
      </x:c>
      <x:c r="G13" s="248" t="n">
        <x:f>IFERROR('Simulated data'!C79*100,NA())</x:f>
        <x:v>51.31964809384164</x:v>
      </x:c>
      <x:c r="H13" s="246" t="str">
        <x:v>4</x:v>
      </x:c>
      <x:c r="I13" s="247" t="n">
        <x:f>IFERROR('Simulated data'!D56*100,NA())</x:f>
        <x:v>68.75</x:v>
      </x:c>
      <x:c r="J13" s="247" t="n">
        <x:f>IFERROR('Simulated data'!D57*100,NA())</x:f>
        <x:v>54.36893203883495</x:v>
      </x:c>
      <x:c r="K13" s="247" t="n">
        <x:f>IFERROR('Simulated data'!D76*100,NA())</x:f>
        <x:v>61.29032258064516</x:v>
      </x:c>
      <x:c r="L13" s="247" t="n">
        <x:f>IFERROR('Simulated data'!D77*100,NA())</x:f>
        <x:v>30.681818181818183</x:v>
      </x:c>
      <x:c r="M13" s="247" t="n">
        <x:f>IFERROR('Simulated data'!D59*100,NA())</x:f>
        <x:v>32.28155339805826</x:v>
      </x:c>
      <x:c r="N13" s="248" t="n">
        <x:f>IFERROR('Simulated data'!D79*100,NA())</x:f>
        <x:v>53.115835777126094</x:v>
      </x:c>
      <x:c r="O13" s="246" t="str">
        <x:v>4</x:v>
      </x:c>
      <x:c r="P13" s="247" t="n">
        <x:f>IFERROR('Simulated data'!E56*100,NA())</x:f>
        <x:v>68.75</x:v>
      </x:c>
      <x:c r="Q13" s="247" t="n">
        <x:f>IFERROR('Simulated data'!E57*100,NA())</x:f>
        <x:v>72.81553398058253</x:v>
      </x:c>
      <x:c r="R13" s="247" t="n">
        <x:f>IFERROR('Simulated data'!E76*100,NA())</x:f>
        <x:v>54.83870967741935</x:v>
      </x:c>
      <x:c r="S13" s="247" t="n">
        <x:f>IFERROR('Simulated data'!E77*100,NA())</x:f>
        <x:v>42.04545454545455</x:v>
      </x:c>
      <x:c r="T13" s="247" t="n">
        <x:f>IFERROR('Simulated data'!E59*100,NA())</x:f>
        <x:v>22.936893203883496</x:v>
      </x:c>
      <x:c r="U13" s="248" t="n">
        <x:f>IFERROR('Simulated data'!E79*100,NA())</x:f>
        <x:v>48.79032258064516</x:v>
      </x:c>
      <x:c r="V13" s="246" t="str">
        <x:v>4</x:v>
      </x:c>
      <x:c r="W13" s="247" t="n">
        <x:f>IFERROR('Simulated data'!F56*100,NA())</x:f>
        <x:v>75</x:v>
      </x:c>
      <x:c r="X13" s="247" t="n">
        <x:f>IFERROR('Simulated data'!F57*100,NA())</x:f>
        <x:v>21.35922330097087</x:v>
      </x:c>
      <x:c r="Y13" s="247" t="n">
        <x:f>IFERROR('Simulated data'!F76*100,NA())</x:f>
        <x:v>70.96774193548387</x:v>
      </x:c>
      <x:c r="Z13" s="247" t="n">
        <x:f>IFERROR('Simulated data'!F77*100,NA())</x:f>
        <x:v>29.545454545454547</x:v>
      </x:c>
      <x:c r="AA13" s="247" t="n">
        <x:f>IFERROR('Simulated data'!F59*100,NA())</x:f>
        <x:v>46.35922330097087</x:v>
      </x:c>
      <x:c r="AB13" s="248" t="n">
        <x:f>IFERROR('Simulated data'!F79*100,NA())</x:f>
        <x:v>50.76979472140762</x:v>
      </x:c>
      <x:c r="AC13" t="str">
        <x:v>4</x:v>
      </x:c>
      <x:c r="AD13" t="n">
        <x:f>IFERROR('Simulated data'!C176*100,NA())</x:f>
        <x:v>100</x:v>
      </x:c>
      <x:c r="AE13" t="n">
        <x:f>IFERROR('Simulated data'!C177*100,NA())</x:f>
        <x:v>54.78260869565217</x:v>
      </x:c>
      <x:c r="AF13" t="n">
        <x:f>IFERROR('Simulated data'!C196*100,NA())</x:f>
        <x:v>70.58823529411765</x:v>
      </x:c>
      <x:c r="AG13" t="n">
        <x:f>IFERROR('Simulated data'!C197*100,NA())</x:f>
        <x:v>39.21568627450981</x:v>
      </x:c>
      <x:c r="AH13" t="n">
        <x:f>IFERROR('Simulated data'!C179*100,NA())</x:f>
        <x:v>23.47826086956522</x:v>
      </x:c>
      <x:c r="AI13" t="n">
        <x:f>IFERROR('Simulated data'!C199*100,NA())</x:f>
        <x:v>39.504036908881204</x:v>
      </x:c>
      <x:c r="AJ13" t="str">
        <x:v>4</x:v>
      </x:c>
      <x:c r="AK13" t="n">
        <x:f>IFERROR('Simulated data'!D176*100,NA())</x:f>
        <x:v>100</x:v>
      </x:c>
      <x:c r="AL13" t="n">
        <x:f>IFERROR('Simulated data'!D177*100,NA())</x:f>
        <x:v>50.43478260869565</x:v>
      </x:c>
      <x:c r="AM13" t="n">
        <x:f>IFERROR('Simulated data'!D196*100,NA())</x:f>
        <x:v>76.47058823529412</x:v>
      </x:c>
      <x:c r="AN13" t="n">
        <x:f>IFERROR('Simulated data'!D197*100,NA())</x:f>
        <x:v>41.17647058823529</x:v>
      </x:c>
      <x:c r="AO13" t="n">
        <x:f>IFERROR('Simulated data'!D179*100,NA())</x:f>
        <x:v>21.956521739130437</x:v>
      </x:c>
      <x:c r="AP13" t="n">
        <x:f>IFERROR('Simulated data'!D199*100,NA())</x:f>
        <x:v>38.63898500576701</x:v>
      </x:c>
      <x:c r="AQ13" t="str">
        <x:v>4</x:v>
      </x:c>
      <x:c r="AR13" t="n">
        <x:f>IFERROR('Simulated data'!E176*100,NA())</x:f>
        <x:v>100</x:v>
      </x:c>
      <x:c r="AS13" t="n">
        <x:f>IFERROR('Simulated data'!E177*100,NA())</x:f>
        <x:v>77.39130434782608</x:v>
      </x:c>
      <x:c r="AT13" t="n">
        <x:f>IFERROR('Simulated data'!E196*100,NA())</x:f>
        <x:v>70.58823529411765</x:v>
      </x:c>
      <x:c r="AU13" t="n">
        <x:f>IFERROR('Simulated data'!E197*100,NA())</x:f>
        <x:v>68.62745098039215</x:v>
      </x:c>
      <x:c r="AV13" t="n">
        <x:f>IFERROR('Simulated data'!E179*100,NA())</x:f>
        <x:v>12.82608695652174</x:v>
      </x:c>
      <x:c r="AW13" t="n">
        <x:f>IFERROR('Simulated data'!E199*100,NA())</x:f>
        <x:v>33.73702422145329</x:v>
      </x:c>
      <x:c r="AX13" t="str">
        <x:v>4</x:v>
      </x:c>
      <x:c r="AY13" t="n">
        <x:f>IFERROR('Simulated data'!F176*100,NA())</x:f>
        <x:v>100</x:v>
      </x:c>
      <x:c r="AZ13" t="n">
        <x:f>IFERROR('Simulated data'!F177*100,NA())</x:f>
        <x:v>40</x:v>
      </x:c>
      <x:c r="BA13" t="n">
        <x:f>IFERROR('Simulated data'!F196*100,NA())</x:f>
        <x:v>82.35294117647058</x:v>
      </x:c>
      <x:c r="BB13" t="n">
        <x:f>IFERROR('Simulated data'!F197*100,NA())</x:f>
        <x:v>30.392156862745097</x:v>
      </x:c>
      <x:c r="BC13" t="n">
        <x:f>IFERROR('Simulated data'!F179*100,NA())</x:f>
        <x:v>34.78260869565217</x:v>
      </x:c>
      <x:c r="BD13" t="n">
        <x:f>IFERROR('Simulated data'!F199*100,NA())</x:f>
        <x:v>46.88581314878893</x:v>
      </x:c>
    </x:row>
    <x:row r="14" ht="18" customHeight="1"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  <x:c r="BA14"/>
      <x:c r="BB14"/>
      <x:c r="BC14"/>
      <x:c r="BD14"/>
    </x:row>
    <x:row r="15" ht="18" customHeight="1">
      <x:c r="A15" s="277" t="str">
        <x:v>Simulated data — Posterior MMD — M0–M3 (4/5/5/7 parameters)</x:v>
      </x:c>
      <x:c r="B15" s="277"/>
      <x:c r="C15" s="277"/>
      <x:c r="D15" s="277"/>
      <x:c r="E15" s="277"/>
      <x:c r="F15" s="277"/>
      <x:c r="G15" s="277"/>
      <x:c r="H15" s="277"/>
      <x:c r="I15" s="277"/>
      <x:c r="J15" s="277"/>
      <x:c r="K15" s="277"/>
      <x:c r="L15" s="277"/>
      <x:c r="M15" s="277"/>
      <x:c r="N15" s="277"/>
      <x:c r="O15" s="277"/>
      <x:c r="P15" s="277"/>
      <x:c r="Q15" s="277"/>
      <x:c r="R15" s="277"/>
      <x:c r="S15" s="277"/>
      <x:c r="T15" s="277"/>
      <x:c r="U15" s="277"/>
      <x:c r="V15" s="277"/>
      <x:c r="W15" s="277"/>
      <x:c r="X15" s="277"/>
      <x:c r="Y15" s="277"/>
      <x:c r="Z15" s="277"/>
      <x:c r="AA15" s="277"/>
      <x:c r="AB15" s="277"/>
      <x:c r="AC15" t="str">
        <x:v>Simulated data — Posterior MMD — M0–M3 (4/5/5/7 parameters)</x:v>
      </x:c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</x:row>
    <x:row r="16" ht="18" customHeight="1">
      <x:c r="A16" s="283" t="str">
        <x:v>S/D</x:v>
      </x:c>
      <x:c r="B16" s="284" t="str">
        <x:v>M1 FNR</x:v>
      </x:c>
      <x:c r="C16" s="284" t="str">
        <x:v>M1 FPR</x:v>
      </x:c>
      <x:c r="D16" s="284" t="str">
        <x:v>M3 FNR</x:v>
      </x:c>
      <x:c r="E16" s="284" t="str">
        <x:v>M3 FPR</x:v>
      </x:c>
      <x:c r="F16" s="284" t="str">
        <x:v>M1 AUC</x:v>
      </x:c>
      <x:c r="G16" s="285" t="str">
        <x:v>M3 AUC</x:v>
      </x:c>
      <x:c r="H16" s="283" t="str">
        <x:v>S/D</x:v>
      </x:c>
      <x:c r="I16" s="284" t="str">
        <x:v>M1 FNR</x:v>
      </x:c>
      <x:c r="J16" s="284" t="str">
        <x:v>M1 FPR</x:v>
      </x:c>
      <x:c r="K16" s="284" t="str">
        <x:v>M3 FNR</x:v>
      </x:c>
      <x:c r="L16" s="284" t="str">
        <x:v>M3 FPR</x:v>
      </x:c>
      <x:c r="M16" s="284" t="str">
        <x:v>M1 AUC</x:v>
      </x:c>
      <x:c r="N16" s="285" t="str">
        <x:v>M3 AUC</x:v>
      </x:c>
      <x:c r="O16" s="283" t="str">
        <x:v>S/D</x:v>
      </x:c>
      <x:c r="P16" s="284" t="str">
        <x:v>M1 FNR</x:v>
      </x:c>
      <x:c r="Q16" s="284" t="str">
        <x:v>M1 FPR</x:v>
      </x:c>
      <x:c r="R16" s="284" t="str">
        <x:v>M3 FNR</x:v>
      </x:c>
      <x:c r="S16" s="284" t="str">
        <x:v>M3 FPR</x:v>
      </x:c>
      <x:c r="T16" s="284" t="str">
        <x:v>M1 AUC</x:v>
      </x:c>
      <x:c r="U16" s="285" t="str">
        <x:v>M3 AUC</x:v>
      </x:c>
      <x:c r="V16" s="283" t="str">
        <x:v>S/D</x:v>
      </x:c>
      <x:c r="W16" s="284" t="str">
        <x:v>M1 FNR</x:v>
      </x:c>
      <x:c r="X16" s="284" t="str">
        <x:v>M1 FPR</x:v>
      </x:c>
      <x:c r="Y16" s="284" t="str">
        <x:v>M3 FNR</x:v>
      </x:c>
      <x:c r="Z16" s="284" t="str">
        <x:v>M3 FPR</x:v>
      </x:c>
      <x:c r="AA16" s="284" t="str">
        <x:v>M1 AUC</x:v>
      </x:c>
      <x:c r="AB16" s="285" t="str">
        <x:v>M3 AUC</x:v>
      </x:c>
      <x:c r="AC16" t="str">
        <x:v>S/D</x:v>
      </x:c>
      <x:c r="AD16" t="str">
        <x:v>M0 FNR</x:v>
      </x:c>
      <x:c r="AE16" t="str">
        <x:v>M0 FPR</x:v>
      </x:c>
      <x:c r="AF16" t="str">
        <x:v>M2 FNR</x:v>
      </x:c>
      <x:c r="AG16" t="str">
        <x:v>M2 FPR</x:v>
      </x:c>
      <x:c r="AH16" t="str">
        <x:v>M0 AUC</x:v>
      </x:c>
      <x:c r="AI16" t="str">
        <x:v>M2 AUC</x:v>
      </x:c>
      <x:c r="AJ16" t="str">
        <x:v>S/D</x:v>
      </x:c>
      <x:c r="AK16" t="str">
        <x:v>M0 FNR</x:v>
      </x:c>
      <x:c r="AL16" t="str">
        <x:v>M0 FPR</x:v>
      </x:c>
      <x:c r="AM16" t="str">
        <x:v>M2 FNR</x:v>
      </x:c>
      <x:c r="AN16" t="str">
        <x:v>M2 FPR</x:v>
      </x:c>
      <x:c r="AO16" t="str">
        <x:v>M0 AUC</x:v>
      </x:c>
      <x:c r="AP16" t="str">
        <x:v>M2 AUC</x:v>
      </x:c>
      <x:c r="AQ16" t="str">
        <x:v>S/D</x:v>
      </x:c>
      <x:c r="AR16" t="str">
        <x:v>M0 FNR</x:v>
      </x:c>
      <x:c r="AS16" t="str">
        <x:v>M0 FPR</x:v>
      </x:c>
      <x:c r="AT16" t="str">
        <x:v>M2 FNR</x:v>
      </x:c>
      <x:c r="AU16" t="str">
        <x:v>M2 FPR</x:v>
      </x:c>
      <x:c r="AV16" t="str">
        <x:v>M0 AUC</x:v>
      </x:c>
      <x:c r="AW16" t="str">
        <x:v>M2 AUC</x:v>
      </x:c>
      <x:c r="AX16" t="str">
        <x:v>S/D</x:v>
      </x:c>
      <x:c r="AY16" t="str">
        <x:v>M0 FNR</x:v>
      </x:c>
      <x:c r="AZ16" t="str">
        <x:v>M0 FPR</x:v>
      </x:c>
      <x:c r="BA16" t="str">
        <x:v>M2 FNR</x:v>
      </x:c>
      <x:c r="BB16" t="str">
        <x:v>M2 FPR</x:v>
      </x:c>
      <x:c r="BC16" t="str">
        <x:v>M0 AUC</x:v>
      </x:c>
      <x:c r="BD16" t="str">
        <x:v>M2 AUC</x:v>
      </x:c>
    </x:row>
    <x:row r="17" ht="18" customHeight="1">
      <x:c r="A17" s="240" t="str">
        <x:v>1</x:v>
      </x:c>
      <x:c r="B17" s="241" t="n">
        <x:f>IFERROR('Simulated data'!C88*100,NA())</x:f>
        <x:v>34.48275862068966</x:v>
      </x:c>
      <x:c r="C17" s="241" t="n">
        <x:f>IFERROR('Simulated data'!C89*100,NA())</x:f>
        <x:v>9.836065573770492</x:v>
      </x:c>
      <x:c r="D17" s="241" t="n">
        <x:f>IFERROR('Simulated data'!C108*100,NA())</x:f>
        <x:v>57.74647887323944</x:v>
      </x:c>
      <x:c r="E17" s="241" t="n">
        <x:f>IFERROR('Simulated data'!C109*100,NA())</x:f>
        <x:v>25</x:v>
      </x:c>
      <x:c r="F17" s="241" t="n">
        <x:f>IFERROR('Simulated data'!C91*100,NA())</x:f>
        <x:v>82.73035613340872</x:v>
      </x:c>
      <x:c r="G17" s="242" t="n">
        <x:f>IFERROR('Simulated data'!C111*100,NA())</x:f>
        <x:v>58.94953051643193</x:v>
      </x:c>
      <x:c r="H17" s="240" t="str">
        <x:v>1</x:v>
      </x:c>
      <x:c r="I17" s="241" t="n">
        <x:f>IFERROR('Simulated data'!D88*100,NA())</x:f>
        <x:v>39.6551724137931</x:v>
      </x:c>
      <x:c r="J17" s="241" t="n">
        <x:f>IFERROR('Simulated data'!D89*100,NA())</x:f>
        <x:v>13.114754098360656</x:v>
      </x:c>
      <x:c r="K17" s="241" t="n">
        <x:f>IFERROR('Simulated data'!D108*100,NA())</x:f>
        <x:v>59.154929577464785</x:v>
      </x:c>
      <x:c r="L17" s="241" t="n">
        <x:f>IFERROR('Simulated data'!D109*100,NA())</x:f>
        <x:v>20.833333333333336</x:v>
      </x:c>
      <x:c r="M17" s="241" t="n">
        <x:f>IFERROR('Simulated data'!D91*100,NA())</x:f>
        <x:v>83.09779536461276</x:v>
      </x:c>
      <x:c r="N17" s="242" t="n">
        <x:f>IFERROR('Simulated data'!D111*100,NA())</x:f>
        <x:v>58.18661971830984</x:v>
      </x:c>
      <x:c r="O17" s="240" t="str">
        <x:v>1</x:v>
      </x:c>
      <x:c r="P17" s="241" t="n">
        <x:f>IFERROR('Simulated data'!E88*100,NA())</x:f>
        <x:v>20.689655172413794</x:v>
      </x:c>
      <x:c r="Q17" s="241" t="n">
        <x:f>IFERROR('Simulated data'!E89*100,NA())</x:f>
        <x:v>21.311475409836063</x:v>
      </x:c>
      <x:c r="R17" s="241" t="n">
        <x:f>IFERROR('Simulated data'!E108*100,NA())</x:f>
        <x:v>59.154929577464785</x:v>
      </x:c>
      <x:c r="S17" s="241" t="n">
        <x:f>IFERROR('Simulated data'!E109*100,NA())</x:f>
        <x:v>20.833333333333336</x:v>
      </x:c>
      <x:c r="T17" s="241" t="n">
        <x:f>IFERROR('Simulated data'!E91*100,NA())</x:f>
        <x:v>85.58507631430186</x:v>
      </x:c>
      <x:c r="U17" s="242" t="n">
        <x:f>IFERROR('Simulated data'!E111*100,NA())</x:f>
        <x:v>63.35093896713614</x:v>
      </x:c>
      <x:c r="V17" s="240" t="str">
        <x:v>1</x:v>
      </x:c>
      <x:c r="W17" s="241" t="n">
        <x:f>IFERROR('Simulated data'!F88*100,NA())</x:f>
        <x:v>67.24137931034483</x:v>
      </x:c>
      <x:c r="X17" s="241" t="n">
        <x:f>IFERROR('Simulated data'!F89*100,NA())</x:f>
        <x:v>4.918032786885246</x:v>
      </x:c>
      <x:c r="Y17" s="241" t="n">
        <x:f>IFERROR('Simulated data'!F108*100,NA())</x:f>
        <x:v>67.6056338028169</x:v>
      </x:c>
      <x:c r="Z17" s="241" t="n">
        <x:f>IFERROR('Simulated data'!F109*100,NA())</x:f>
        <x:v>18.75</x:v>
      </x:c>
      <x:c r="AA17" s="241" t="n">
        <x:f>IFERROR('Simulated data'!F91*100,NA())</x:f>
        <x:v>75.89033352176371</x:v>
      </x:c>
      <x:c r="AB17" s="242" t="n">
        <x:f>IFERROR('Simulated data'!F111*100,NA())</x:f>
        <x:v>57.423708920187785</x:v>
      </x:c>
      <x:c r="AC17" t="str">
        <x:v>1</x:v>
      </x:c>
      <x:c r="AD17" t="n">
        <x:f>IFERROR('Simulated data'!C208*100,NA())</x:f>
        <x:v>23.684210526315788</x:v>
      </x:c>
      <x:c r="AE17" t="n">
        <x:f>IFERROR('Simulated data'!C209*100,NA())</x:f>
        <x:v>9.30232558139535</x:v>
      </x:c>
      <x:c r="AF17" t="n">
        <x:f>IFERROR('Simulated data'!C228*100,NA())</x:f>
        <x:v>34.54545454545455</x:v>
      </x:c>
      <x:c r="AG17" t="n">
        <x:f>IFERROR('Simulated data'!C229*100,NA())</x:f>
        <x:v>7.8125</x:v>
      </x:c>
      <x:c r="AH17" t="n">
        <x:f>IFERROR('Simulated data'!C211*100,NA())</x:f>
        <x:v>90.82007343941248</x:v>
      </x:c>
      <x:c r="AI17" t="n">
        <x:f>IFERROR('Simulated data'!C231*100,NA())</x:f>
        <x:v>85.48295454545455</x:v>
      </x:c>
      <x:c r="AJ17" t="str">
        <x:v>1</x:v>
      </x:c>
      <x:c r="AK17" t="n">
        <x:f>IFERROR('Simulated data'!D208*100,NA())</x:f>
        <x:v>36.84210526315789</x:v>
      </x:c>
      <x:c r="AL17" t="n">
        <x:f>IFERROR('Simulated data'!D209*100,NA())</x:f>
        <x:v>9.30232558139535</x:v>
      </x:c>
      <x:c r="AM17" t="n">
        <x:f>IFERROR('Simulated data'!D228*100,NA())</x:f>
        <x:v>40</x:v>
      </x:c>
      <x:c r="AN17" t="n">
        <x:f>IFERROR('Simulated data'!D229*100,NA())</x:f>
        <x:v>7.8125</x:v>
      </x:c>
      <x:c r="AO17" t="n">
        <x:f>IFERROR('Simulated data'!D211*100,NA())</x:f>
        <x:v>87.82129742962056</x:v>
      </x:c>
      <x:c r="AP17" t="n">
        <x:f>IFERROR('Simulated data'!D231*100,NA())</x:f>
        <x:v>82.69886363636364</x:v>
      </x:c>
      <x:c r="AQ17" t="str">
        <x:v>1</x:v>
      </x:c>
      <x:c r="AR17" t="n">
        <x:f>IFERROR('Simulated data'!E208*100,NA())</x:f>
        <x:v>18.421052631578945</x:v>
      </x:c>
      <x:c r="AS17" t="n">
        <x:f>IFERROR('Simulated data'!E209*100,NA())</x:f>
        <x:v>30.23255813953488</x:v>
      </x:c>
      <x:c r="AT17" t="n">
        <x:f>IFERROR('Simulated data'!E228*100,NA())</x:f>
        <x:v>32.72727272727273</x:v>
      </x:c>
      <x:c r="AU17" t="n">
        <x:f>IFERROR('Simulated data'!E229*100,NA())</x:f>
        <x:v>18.75</x:v>
      </x:c>
      <x:c r="AV17" t="n">
        <x:f>IFERROR('Simulated data'!E211*100,NA())</x:f>
        <x:v>86.47490820073439</x:v>
      </x:c>
      <x:c r="AW17" t="n">
        <x:f>IFERROR('Simulated data'!E231*100,NA())</x:f>
        <x:v>83.94886363636364</x:v>
      </x:c>
      <x:c r="AX17" t="str">
        <x:v>1</x:v>
      </x:c>
      <x:c r="AY17" t="n">
        <x:f>IFERROR('Simulated data'!F208*100,NA())</x:f>
        <x:v>51.31578947368421</x:v>
      </x:c>
      <x:c r="AZ17" t="n">
        <x:f>IFERROR('Simulated data'!F209*100,NA())</x:f>
        <x:v>2.3255813953488373</x:v>
      </x:c>
      <x:c r="BA17" t="n">
        <x:f>IFERROR('Simulated data'!F228*100,NA())</x:f>
        <x:v>78.18181818181819</x:v>
      </x:c>
      <x:c r="BB17" t="n">
        <x:f>IFERROR('Simulated data'!F229*100,NA())</x:f>
        <x:v>1.5625</x:v>
      </x:c>
      <x:c r="BC17" t="n">
        <x:f>IFERROR('Simulated data'!F211*100,NA())</x:f>
        <x:v>85.09791921664626</x:v>
      </x:c>
      <x:c r="BD17" t="n">
        <x:f>IFERROR('Simulated data'!F231*100,NA())</x:f>
        <x:v>80.14204545454545</x:v>
      </x:c>
    </x:row>
    <x:row r="18" ht="18" customHeight="1">
      <x:c r="A18" s="243" t="str">
        <x:v>2</x:v>
      </x:c>
      <x:c r="B18" s="244" t="n">
        <x:f>IFERROR('Simulated data'!C92*100,NA())</x:f>
        <x:v>26.41509433962264</x:v>
      </x:c>
      <x:c r="C18" s="244" t="n">
        <x:f>IFERROR('Simulated data'!C93*100,NA())</x:f>
        <x:v>13.636363636363635</x:v>
      </x:c>
      <x:c r="D18" s="244" t="n">
        <x:f>IFERROR('Simulated data'!C112*100,NA())</x:f>
        <x:v>43.39622641509434</x:v>
      </x:c>
      <x:c r="E18" s="244" t="n">
        <x:f>IFERROR('Simulated data'!C113*100,NA())</x:f>
        <x:v>10.606060606060606</x:v>
      </x:c>
      <x:c r="F18" s="244" t="n">
        <x:f>IFERROR('Simulated data'!C95*100,NA())</x:f>
        <x:v>87.67867352773013</x:v>
      </x:c>
      <x:c r="G18" s="245" t="n">
        <x:f>IFERROR('Simulated data'!C115*100,NA())</x:f>
        <x:v>84.13379073756433</x:v>
      </x:c>
      <x:c r="H18" s="243" t="str">
        <x:v>2</x:v>
      </x:c>
      <x:c r="I18" s="244" t="n">
        <x:f>IFERROR('Simulated data'!D92*100,NA())</x:f>
        <x:v>24.528301886792452</x:v>
      </x:c>
      <x:c r="J18" s="244" t="n">
        <x:f>IFERROR('Simulated data'!D93*100,NA())</x:f>
        <x:v>13.636363636363635</x:v>
      </x:c>
      <x:c r="K18" s="244" t="n">
        <x:f>IFERROR('Simulated data'!D112*100,NA())</x:f>
        <x:v>43.39622641509434</x:v>
      </x:c>
      <x:c r="L18" s="244" t="n">
        <x:f>IFERROR('Simulated data'!D113*100,NA())</x:f>
        <x:v>10.606060606060606</x:v>
      </x:c>
      <x:c r="M18" s="244" t="n">
        <x:f>IFERROR('Simulated data'!D95*100,NA())</x:f>
        <x:v>87.85020011435105</x:v>
      </x:c>
      <x:c r="N18" s="245" t="n">
        <x:f>IFERROR('Simulated data'!D115*100,NA())</x:f>
        <x:v>83.53344768439108</x:v>
      </x:c>
      <x:c r="O18" s="243" t="str">
        <x:v>2</x:v>
      </x:c>
      <x:c r="P18" s="244" t="n">
        <x:f>IFERROR('Simulated data'!E92*100,NA())</x:f>
        <x:v>9.433962264150944</x:v>
      </x:c>
      <x:c r="Q18" s="244" t="n">
        <x:f>IFERROR('Simulated data'!E93*100,NA())</x:f>
        <x:v>46.96969696969697</x:v>
      </x:c>
      <x:c r="R18" s="244" t="n">
        <x:f>IFERROR('Simulated data'!E112*100,NA())</x:f>
        <x:v>24.528301886792452</x:v>
      </x:c>
      <x:c r="S18" s="244" t="n">
        <x:f>IFERROR('Simulated data'!E113*100,NA())</x:f>
        <x:v>16.666666666666664</x:v>
      </x:c>
      <x:c r="T18" s="244" t="n">
        <x:f>IFERROR('Simulated data'!E95*100,NA())</x:f>
        <x:v>84.53401943967982</x:v>
      </x:c>
      <x:c r="U18" s="245" t="n">
        <x:f>IFERROR('Simulated data'!E115*100,NA())</x:f>
        <x:v>85.0485991995426</x:v>
      </x:c>
      <x:c r="V18" s="243" t="str">
        <x:v>2</x:v>
      </x:c>
      <x:c r="W18" s="244" t="n">
        <x:f>IFERROR('Simulated data'!F92*100,NA())</x:f>
        <x:v>37.735849056603776</x:v>
      </x:c>
      <x:c r="X18" s="244" t="n">
        <x:f>IFERROR('Simulated data'!F93*100,NA())</x:f>
        <x:v>6.0606060606060606</x:v>
      </x:c>
      <x:c r="Y18" s="244" t="n">
        <x:f>IFERROR('Simulated data'!F112*100,NA())</x:f>
        <x:v>52.83018867924528</x:v>
      </x:c>
      <x:c r="Z18" s="244" t="n">
        <x:f>IFERROR('Simulated data'!F113*100,NA())</x:f>
        <x:v>7.575757575757576</x:v>
      </x:c>
      <x:c r="AA18" s="244" t="n">
        <x:f>IFERROR('Simulated data'!F95*100,NA())</x:f>
        <x:v>86.99256718124643</x:v>
      </x:c>
      <x:c r="AB18" s="245" t="n">
        <x:f>IFERROR('Simulated data'!F115*100,NA())</x:f>
        <x:v>78.61635220125785</x:v>
      </x:c>
      <x:c r="AC18" t="str">
        <x:v>2</x:v>
      </x:c>
      <x:c r="AD18" t="n">
        <x:f>IFERROR('Simulated data'!C212*100,NA())</x:f>
        <x:v>17.647058823529413</x:v>
      </x:c>
      <x:c r="AE18" t="n">
        <x:f>IFERROR('Simulated data'!C213*100,NA())</x:f>
        <x:v>7.8431372549019605</x:v>
      </x:c>
      <x:c r="AF18" t="n">
        <x:f>IFERROR('Simulated data'!C232*100,NA())</x:f>
        <x:v>26.41509433962264</x:v>
      </x:c>
      <x:c r="AG18" t="n">
        <x:f>IFERROR('Simulated data'!C233*100,NA())</x:f>
        <x:v>9.090909090909092</x:v>
      </x:c>
      <x:c r="AH18" t="n">
        <x:f>IFERROR('Simulated data'!C215*100,NA())</x:f>
        <x:v>94.52133794694349</x:v>
      </x:c>
      <x:c r="AI18" t="n">
        <x:f>IFERROR('Simulated data'!C235*100,NA())</x:f>
        <x:v>89.79416809605489</x:v>
      </x:c>
      <x:c r="AJ18" t="str">
        <x:v>2</x:v>
      </x:c>
      <x:c r="AK18" t="n">
        <x:f>IFERROR('Simulated data'!D212*100,NA())</x:f>
        <x:v>19.11764705882353</x:v>
      </x:c>
      <x:c r="AL18" t="n">
        <x:f>IFERROR('Simulated data'!D213*100,NA())</x:f>
        <x:v>5.88235294117647</x:v>
      </x:c>
      <x:c r="AM18" t="n">
        <x:f>IFERROR('Simulated data'!D232*100,NA())</x:f>
        <x:v>41.509433962264154</x:v>
      </x:c>
      <x:c r="AN18" t="n">
        <x:f>IFERROR('Simulated data'!D233*100,NA())</x:f>
        <x:v>9.090909090909092</x:v>
      </x:c>
      <x:c r="AO18" t="n">
        <x:f>IFERROR('Simulated data'!D215*100,NA())</x:f>
        <x:v>94.92502883506344</x:v>
      </x:c>
      <x:c r="AP18" t="n">
        <x:f>IFERROR('Simulated data'!D235*100,NA())</x:f>
        <x:v>86.53516295025729</x:v>
      </x:c>
      <x:c r="AQ18" t="str">
        <x:v>2</x:v>
      </x:c>
      <x:c r="AR18" t="n">
        <x:f>IFERROR('Simulated data'!E212*100,NA())</x:f>
        <x:v>5.88235294117647</x:v>
      </x:c>
      <x:c r="AS18" t="n">
        <x:f>IFERROR('Simulated data'!E213*100,NA())</x:f>
        <x:v>41.17647058823529</x:v>
      </x:c>
      <x:c r="AT18" t="n">
        <x:f>IFERROR('Simulated data'!E232*100,NA())</x:f>
        <x:v>11.320754716981133</x:v>
      </x:c>
      <x:c r="AU18" t="n">
        <x:f>IFERROR('Simulated data'!E233*100,NA())</x:f>
        <x:v>51.515151515151516</x:v>
      </x:c>
      <x:c r="AV18" t="n">
        <x:f>IFERROR('Simulated data'!E215*100,NA())</x:f>
        <x:v>94.49250288350635</x:v>
      </x:c>
      <x:c r="AW18" t="n">
        <x:f>IFERROR('Simulated data'!E235*100,NA())</x:f>
        <x:v>77.93024585477416</x:v>
      </x:c>
      <x:c r="AX18" t="str">
        <x:v>2</x:v>
      </x:c>
      <x:c r="AY18" t="n">
        <x:f>IFERROR('Simulated data'!F212*100,NA())</x:f>
        <x:v>42.64705882352941</x:v>
      </x:c>
      <x:c r="AZ18" t="n">
        <x:f>IFERROR('Simulated data'!F213*100,NA())</x:f>
        <x:v>3.9215686274509802</x:v>
      </x:c>
      <x:c r="BA18" t="n">
        <x:f>IFERROR('Simulated data'!F232*100,NA())</x:f>
        <x:v>47.16981132075472</x:v>
      </x:c>
      <x:c r="BB18" t="n">
        <x:f>IFERROR('Simulated data'!F233*100,NA())</x:f>
        <x:v>4.545454545454546</x:v>
      </x:c>
      <x:c r="BC18" t="n">
        <x:f>IFERROR('Simulated data'!F215*100,NA())</x:f>
        <x:v>90.8881199538639</x:v>
      </x:c>
      <x:c r="BD18" t="n">
        <x:f>IFERROR('Simulated data'!F235*100,NA())</x:f>
        <x:v>85.22012578616352</x:v>
      </x:c>
    </x:row>
    <x:row r="19" ht="18" customHeight="1">
      <x:c r="A19" s="246" t="str">
        <x:v>4</x:v>
      </x:c>
      <x:c r="B19" s="247" t="n">
        <x:f>IFERROR('Simulated data'!C96*100,NA())</x:f>
        <x:v>12.903225806451612</x:v>
      </x:c>
      <x:c r="C19" s="247" t="n">
        <x:f>IFERROR('Simulated data'!C97*100,NA())</x:f>
        <x:v>19.298245614035086</x:v>
      </x:c>
      <x:c r="D19" s="247" t="n">
        <x:f>IFERROR('Simulated data'!C116*100,NA())</x:f>
        <x:v>33.33333333333333</x:v>
      </x:c>
      <x:c r="E19" s="247" t="n">
        <x:f>IFERROR('Simulated data'!C117*100,NA())</x:f>
        <x:v>12.676056338028168</x:v>
      </x:c>
      <x:c r="F19" s="247" t="n">
        <x:f>IFERROR('Simulated data'!C99*100,NA())</x:f>
        <x:v>92.19015280135822</x:v>
      </x:c>
      <x:c r="G19" s="248" t="n">
        <x:f>IFERROR('Simulated data'!C119*100,NA())</x:f>
        <x:v>85.12323943661973</x:v>
      </x:c>
      <x:c r="H19" s="246" t="str">
        <x:v>4</x:v>
      </x:c>
      <x:c r="I19" s="247" t="n">
        <x:f>IFERROR('Simulated data'!D96*100,NA())</x:f>
        <x:v>20.967741935483872</x:v>
      </x:c>
      <x:c r="J19" s="247" t="n">
        <x:f>IFERROR('Simulated data'!D97*100,NA())</x:f>
        <x:v>21.052631578947366</x:v>
      </x:c>
      <x:c r="K19" s="247" t="n">
        <x:f>IFERROR('Simulated data'!D116*100,NA())</x:f>
        <x:v>35.41666666666667</x:v>
      </x:c>
      <x:c r="L19" s="247" t="n">
        <x:f>IFERROR('Simulated data'!D117*100,NA())</x:f>
        <x:v>11.267605633802818</x:v>
      </x:c>
      <x:c r="M19" s="247" t="n">
        <x:f>IFERROR('Simulated data'!D99*100,NA())</x:f>
        <x:v>89.67176004527447</x:v>
      </x:c>
      <x:c r="N19" s="248" t="n">
        <x:f>IFERROR('Simulated data'!D119*100,NA())</x:f>
        <x:v>83.18661971830986</x:v>
      </x:c>
      <x:c r="O19" s="246" t="str">
        <x:v>4</x:v>
      </x:c>
      <x:c r="P19" s="247" t="n">
        <x:f>IFERROR('Simulated data'!E96*100,NA())</x:f>
        <x:v>3.225806451612903</x:v>
      </x:c>
      <x:c r="Q19" s="247" t="n">
        <x:f>IFERROR('Simulated data'!E97*100,NA())</x:f>
        <x:v>35.08771929824561</x:v>
      </x:c>
      <x:c r="R19" s="247" t="n">
        <x:f>IFERROR('Simulated data'!E116*100,NA())</x:f>
        <x:v>22.916666666666664</x:v>
      </x:c>
      <x:c r="S19" s="247" t="n">
        <x:f>IFERROR('Simulated data'!E117*100,NA())</x:f>
        <x:v>19.718309859154928</x:v>
      </x:c>
      <x:c r="T19" s="247" t="n">
        <x:f>IFERROR('Simulated data'!E99*100,NA())</x:f>
        <x:v>88.907753254103</x:v>
      </x:c>
      <x:c r="U19" s="248" t="n">
        <x:f>IFERROR('Simulated data'!E119*100,NA())</x:f>
        <x:v>86.85446009389672</x:v>
      </x:c>
      <x:c r="V19" s="246" t="str">
        <x:v>4</x:v>
      </x:c>
      <x:c r="W19" s="247" t="n">
        <x:f>IFERROR('Simulated data'!F96*100,NA())</x:f>
        <x:v>61.29032258064516</x:v>
      </x:c>
      <x:c r="X19" s="247" t="n">
        <x:f>IFERROR('Simulated data'!F97*100,NA())</x:f>
        <x:v>3.508771929824561</x:v>
      </x:c>
      <x:c r="Y19" s="247" t="n">
        <x:f>IFERROR('Simulated data'!F116*100,NA())</x:f>
        <x:v>41.66666666666667</x:v>
      </x:c>
      <x:c r="Z19" s="247" t="n">
        <x:f>IFERROR('Simulated data'!F117*100,NA())</x:f>
        <x:v>9.859154929577464</x:v>
      </x:c>
      <x:c r="AA19" s="247" t="n">
        <x:f>IFERROR('Simulated data'!F99*100,NA())</x:f>
        <x:v>84.55008488964346</x:v>
      </x:c>
      <x:c r="AB19" s="248" t="n">
        <x:f>IFERROR('Simulated data'!F119*100,NA())</x:f>
        <x:v>81.36737089201878</x:v>
      </x:c>
      <x:c r="AC19" t="str">
        <x:v>4</x:v>
      </x:c>
      <x:c r="AD19" t="n">
        <x:f>IFERROR('Simulated data'!C216*100,NA())</x:f>
        <x:v>15.384615384615385</x:v>
      </x:c>
      <x:c r="AE19" t="n">
        <x:f>IFERROR('Simulated data'!C217*100,NA())</x:f>
        <x:v>14.814814814814813</x:v>
      </x:c>
      <x:c r="AF19" t="n">
        <x:f>IFERROR('Simulated data'!C236*100,NA())</x:f>
        <x:v>13.636363636363635</x:v>
      </x:c>
      <x:c r="AG19" t="n">
        <x:f>IFERROR('Simulated data'!C237*100,NA())</x:f>
        <x:v>9.333333333333334</x:v>
      </x:c>
      <x:c r="AH19" t="n">
        <x:f>IFERROR('Simulated data'!C219*100,NA())</x:f>
        <x:v>94.27350427350427</x:v>
      </x:c>
      <x:c r="AI19" t="n">
        <x:f>IFERROR('Simulated data'!C239*100,NA())</x:f>
        <x:v>95.9090909090909</x:v>
      </x:c>
      <x:c r="AJ19" t="str">
        <x:v>4</x:v>
      </x:c>
      <x:c r="AK19" t="n">
        <x:f>IFERROR('Simulated data'!D216*100,NA())</x:f>
        <x:v>20</x:v>
      </x:c>
      <x:c r="AL19" t="n">
        <x:f>IFERROR('Simulated data'!D217*100,NA())</x:f>
        <x:v>11.11111111111111</x:v>
      </x:c>
      <x:c r="AM19" t="n">
        <x:f>IFERROR('Simulated data'!D236*100,NA())</x:f>
        <x:v>13.636363636363635</x:v>
      </x:c>
      <x:c r="AN19" t="n">
        <x:f>IFERROR('Simulated data'!D237*100,NA())</x:f>
        <x:v>10.666666666666668</x:v>
      </x:c>
      <x:c r="AO19" t="n">
        <x:f>IFERROR('Simulated data'!D219*100,NA())</x:f>
        <x:v>93.36182336182335</x:v>
      </x:c>
      <x:c r="AP19" t="n">
        <x:f>IFERROR('Simulated data'!D239*100,NA())</x:f>
        <x:v>94.78787878787878</x:v>
      </x:c>
      <x:c r="AQ19" t="str">
        <x:v>4</x:v>
      </x:c>
      <x:c r="AR19" t="n">
        <x:f>IFERROR('Simulated data'!E216*100,NA())</x:f>
        <x:v>6.153846153846154</x:v>
      </x:c>
      <x:c r="AS19" t="n">
        <x:f>IFERROR('Simulated data'!E217*100,NA())</x:f>
        <x:v>51.85185185185185</x:v>
      </x:c>
      <x:c r="AT19" t="n">
        <x:f>IFERROR('Simulated data'!E236*100,NA())</x:f>
        <x:v>6.8181818181818175</x:v>
      </x:c>
      <x:c r="AU19" t="n">
        <x:f>IFERROR('Simulated data'!E237*100,NA())</x:f>
        <x:v>45.33333333333333</x:v>
      </x:c>
      <x:c r="AV19" t="n">
        <x:f>IFERROR('Simulated data'!E219*100,NA())</x:f>
        <x:v>89.03133903133903</x:v>
      </x:c>
      <x:c r="AW19" t="n">
        <x:f>IFERROR('Simulated data'!E239*100,NA())</x:f>
        <x:v>86.54545454545455</x:v>
      </x:c>
      <x:c r="AX19" t="str">
        <x:v>4</x:v>
      </x:c>
      <x:c r="AY19" t="n">
        <x:f>IFERROR('Simulated data'!F216*100,NA())</x:f>
        <x:v>30.76923076923077</x:v>
      </x:c>
      <x:c r="AZ19" t="n">
        <x:f>IFERROR('Simulated data'!F217*100,NA())</x:f>
        <x:v>1.8518518518518516</x:v>
      </x:c>
      <x:c r="BA19" t="n">
        <x:f>IFERROR('Simulated data'!F236*100,NA())</x:f>
        <x:v>27.27272727272727</x:v>
      </x:c>
      <x:c r="BB19" t="n">
        <x:f>IFERROR('Simulated data'!F237*100,NA())</x:f>
        <x:v>2.666666666666667</x:v>
      </x:c>
      <x:c r="BC19" t="n">
        <x:f>IFERROR('Simulated data'!F219*100,NA())</x:f>
        <x:v>91.28205128205128</x:v>
      </x:c>
      <x:c r="BD19" t="n">
        <x:f>IFERROR('Simulated data'!F239*100,NA())</x:f>
        <x:v>94.03030303030303</x:v>
      </x:c>
    </x:row>
    <x:row r="20" ht="18" customHeight="1"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</x:row>
    <x:row r="21" ht="18" customHeight="1">
      <x:c r="A21" s="277" t="str">
        <x:v>Empirical data — Signed log10 ML error — M0–M3 (4/5/5/7 parameters)</x:v>
      </x:c>
      <x:c r="B21" s="277"/>
      <x:c r="C21" s="277"/>
      <x:c r="D21" s="277"/>
      <x:c r="E21" s="277"/>
      <x:c r="F21" s="277"/>
      <x:c r="G21" s="277"/>
      <x:c r="H21" s="277"/>
      <x:c r="I21" s="277"/>
      <x:c r="J21" s="277"/>
      <x:c r="K21" s="277"/>
      <x:c r="L21" s="277"/>
      <x:c r="M21" s="277"/>
      <x:c r="N21" s="277"/>
      <x:c r="O21" s="277"/>
      <x:c r="P21" s="277"/>
      <x:c r="Q21" s="277"/>
      <x:c r="R21" s="277"/>
      <x:c r="S21" s="277"/>
      <x:c r="T21" s="277"/>
      <x:c r="U21" s="277"/>
      <x:c r="V21" s="277"/>
      <x:c r="W21" s="277"/>
      <x:c r="X21" s="277"/>
      <x:c r="Y21" s="277"/>
      <x:c r="Z21" s="277"/>
      <x:c r="AA21" s="277"/>
      <x:c r="AB21" s="277"/>
      <x:c r="AC21" t="str">
        <x:v>Empirical data — Signed log10 ML error — M0–M3 (4/5/5/7 parameters)</x:v>
      </x:c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  <x:c r="BA21"/>
      <x:c r="BB21"/>
      <x:c r="BC21"/>
      <x:c r="BD21"/>
    </x:row>
    <x:row r="22" ht="18" customHeight="1">
      <x:c r="A22" s="283" t="str">
        <x:v>S/D</x:v>
      </x:c>
      <x:c r="B22" s="284" t="str">
        <x:v>M1 FNR</x:v>
      </x:c>
      <x:c r="C22" s="284" t="str">
        <x:v>M1 FPR</x:v>
      </x:c>
      <x:c r="D22" s="284" t="str">
        <x:v>M3 FNR</x:v>
      </x:c>
      <x:c r="E22" s="284" t="str">
        <x:v>M3 FPR</x:v>
      </x:c>
      <x:c r="F22" s="284" t="str">
        <x:v>M1 AUC</x:v>
      </x:c>
      <x:c r="G22" s="285" t="str">
        <x:v>M3 AUC</x:v>
      </x:c>
      <x:c r="H22" s="283" t="str">
        <x:v>S/D</x:v>
      </x:c>
      <x:c r="I22" s="284" t="str">
        <x:v>M1 FNR</x:v>
      </x:c>
      <x:c r="J22" s="284" t="str">
        <x:v>M1 FPR</x:v>
      </x:c>
      <x:c r="K22" s="284" t="str">
        <x:v>M3 FNR</x:v>
      </x:c>
      <x:c r="L22" s="284" t="str">
        <x:v>M3 FPR</x:v>
      </x:c>
      <x:c r="M22" s="284" t="str">
        <x:v>M1 AUC</x:v>
      </x:c>
      <x:c r="N22" s="285" t="str">
        <x:v>M3 AUC</x:v>
      </x:c>
      <x:c r="O22" s="283" t="str">
        <x:v>S/D</x:v>
      </x:c>
      <x:c r="P22" s="284" t="str">
        <x:v>M1 FNR</x:v>
      </x:c>
      <x:c r="Q22" s="284" t="str">
        <x:v>M1 FPR</x:v>
      </x:c>
      <x:c r="R22" s="284" t="str">
        <x:v>M3 FNR</x:v>
      </x:c>
      <x:c r="S22" s="284" t="str">
        <x:v>M3 FPR</x:v>
      </x:c>
      <x:c r="T22" s="284" t="str">
        <x:v>M1 AUC</x:v>
      </x:c>
      <x:c r="U22" s="285" t="str">
        <x:v>M3 AUC</x:v>
      </x:c>
      <x:c r="V22" s="283" t="str">
        <x:v>S/D</x:v>
      </x:c>
      <x:c r="W22" s="284" t="str">
        <x:v>M1 FNR</x:v>
      </x:c>
      <x:c r="X22" s="284" t="str">
        <x:v>M1 FPR</x:v>
      </x:c>
      <x:c r="Y22" s="284" t="str">
        <x:v>M3 FNR</x:v>
      </x:c>
      <x:c r="Z22" s="284" t="str">
        <x:v>M3 FPR</x:v>
      </x:c>
      <x:c r="AA22" s="284" t="str">
        <x:v>M1 AUC</x:v>
      </x:c>
      <x:c r="AB22" s="285" t="str">
        <x:v>M3 AUC</x:v>
      </x:c>
      <x:c r="AC22" t="str">
        <x:v>S/D</x:v>
      </x:c>
      <x:c r="AD22" t="str">
        <x:v>M0 FNR</x:v>
      </x:c>
      <x:c r="AE22" t="str">
        <x:v>M0 FPR</x:v>
      </x:c>
      <x:c r="AF22" t="str">
        <x:v>M2 FNR</x:v>
      </x:c>
      <x:c r="AG22" t="str">
        <x:v>M2 FPR</x:v>
      </x:c>
      <x:c r="AH22" t="str">
        <x:v>M0 AUC</x:v>
      </x:c>
      <x:c r="AI22" t="str">
        <x:v>M2 AUC</x:v>
      </x:c>
      <x:c r="AJ22" t="str">
        <x:v>S/D</x:v>
      </x:c>
      <x:c r="AK22" t="str">
        <x:v>M0 FNR</x:v>
      </x:c>
      <x:c r="AL22" t="str">
        <x:v>M0 FPR</x:v>
      </x:c>
      <x:c r="AM22" t="str">
        <x:v>M2 FNR</x:v>
      </x:c>
      <x:c r="AN22" t="str">
        <x:v>M2 FPR</x:v>
      </x:c>
      <x:c r="AO22" t="str">
        <x:v>M0 AUC</x:v>
      </x:c>
      <x:c r="AP22" t="str">
        <x:v>M2 AUC</x:v>
      </x:c>
      <x:c r="AQ22" t="str">
        <x:v>S/D</x:v>
      </x:c>
      <x:c r="AR22" t="str">
        <x:v>M0 FNR</x:v>
      </x:c>
      <x:c r="AS22" t="str">
        <x:v>M0 FPR</x:v>
      </x:c>
      <x:c r="AT22" t="str">
        <x:v>M2 FNR</x:v>
      </x:c>
      <x:c r="AU22" t="str">
        <x:v>M2 FPR</x:v>
      </x:c>
      <x:c r="AV22" t="str">
        <x:v>M0 AUC</x:v>
      </x:c>
      <x:c r="AW22" t="str">
        <x:v>M2 AUC</x:v>
      </x:c>
      <x:c r="AX22" t="str">
        <x:v>S/D</x:v>
      </x:c>
      <x:c r="AY22" t="str">
        <x:v>M0 FNR</x:v>
      </x:c>
      <x:c r="AZ22" t="str">
        <x:v>M0 FPR</x:v>
      </x:c>
      <x:c r="BA22" t="str">
        <x:v>M2 FNR</x:v>
      </x:c>
      <x:c r="BB22" t="str">
        <x:v>M2 FPR</x:v>
      </x:c>
      <x:c r="BC22" t="str">
        <x:v>M0 AUC</x:v>
      </x:c>
      <x:c r="BD22" t="str">
        <x:v>M2 AUC</x:v>
      </x:c>
    </x:row>
    <x:row r="23" ht="18" customHeight="1">
      <x:c r="A23" s="240" t="str">
        <x:v>1</x:v>
      </x:c>
      <x:c r="B23" s="241" t="n">
        <x:f>IFERROR('Empirical data'!C8*100,NA())</x:f>
        <x:v>12.5</x:v>
      </x:c>
      <x:c r="C23" s="241" t="n">
        <x:f>IFERROR('Empirical data'!C9*100,NA())</x:f>
        <x:v>100</x:v>
      </x:c>
      <x:c r="D23" s="241" t="n">
        <x:f>IFERROR('Empirical data'!C28*100,NA())</x:f>
        <x:v>60</x:v>
      </x:c>
      <x:c r="E23" s="241" t="n">
        <x:f>IFERROR('Empirical data'!C29*100,NA())</x:f>
        <x:v>0</x:v>
      </x:c>
      <x:c r="F23" s="241" t="n">
        <x:f>IFERROR('Empirical data'!C11*100,NA())</x:f>
        <x:v>50</x:v>
      </x:c>
      <x:c r="G23" s="242" t="n">
        <x:f>IFERROR('Empirical data'!C31*100,NA())</x:f>
        <x:v>80</x:v>
      </x:c>
      <x:c r="H23" s="240" t="str">
        <x:v>1</x:v>
      </x:c>
      <x:c r="I23" s="241" t="n">
        <x:f>IFERROR('Empirical data'!D8*100,NA())</x:f>
        <x:v>0</x:v>
      </x:c>
      <x:c r="J23" s="241" t="n">
        <x:f>IFERROR('Empirical data'!D9*100,NA())</x:f>
        <x:v>100</x:v>
      </x:c>
      <x:c r="K23" s="241" t="n">
        <x:f>IFERROR('Empirical data'!D28*100,NA())</x:f>
        <x:v>73.33333333333333</x:v>
      </x:c>
      <x:c r="L23" s="241" t="n">
        <x:f>IFERROR('Empirical data'!D29*100,NA())</x:f>
        <x:v>50</x:v>
      </x:c>
      <x:c r="M23" s="241" t="n">
        <x:f>IFERROR('Empirical data'!D11*100,NA())</x:f>
        <x:v>43.75</x:v>
      </x:c>
      <x:c r="N23" s="242" t="n">
        <x:f>IFERROR('Empirical data'!D31*100,NA())</x:f>
        <x:v>63.33333333333333</x:v>
      </x:c>
      <x:c r="O23" s="240" t="str">
        <x:v>1</x:v>
      </x:c>
      <x:c r="P23" s="241" t="n">
        <x:f>IFERROR('Empirical data'!E8*100,NA())</x:f>
        <x:v>37.5</x:v>
      </x:c>
      <x:c r="Q23" s="241" t="n">
        <x:f>IFERROR('Empirical data'!E9*100,NA())</x:f>
        <x:v>0</x:v>
      </x:c>
      <x:c r="R23" s="241" t="n">
        <x:f>IFERROR('Empirical data'!E28*100,NA())</x:f>
        <x:v>73.33333333333333</x:v>
      </x:c>
      <x:c r="S23" s="241" t="n">
        <x:f>IFERROR('Empirical data'!E29*100,NA())</x:f>
        <x:v>0</x:v>
      </x:c>
      <x:c r="T23" s="241" t="n">
        <x:f>IFERROR('Empirical data'!E11*100,NA())</x:f>
        <x:v>81.25</x:v>
      </x:c>
      <x:c r="U23" s="242" t="n">
        <x:f>IFERROR('Empirical data'!E31*100,NA())</x:f>
        <x:v>50</x:v>
      </x:c>
      <x:c r="V23" s="240" t="str">
        <x:v>1</x:v>
      </x:c>
      <x:c r="W23" s="241" t="n">
        <x:f>IFERROR('Empirical data'!F8*100,NA())</x:f>
        <x:v>81.25</x:v>
      </x:c>
      <x:c r="X23" s="241" t="n">
        <x:f>IFERROR('Empirical data'!F9*100,NA())</x:f>
        <x:v>0</x:v>
      </x:c>
      <x:c r="Y23" s="241" t="n">
        <x:f>IFERROR('Empirical data'!F28*100,NA())</x:f>
        <x:v>100</x:v>
      </x:c>
      <x:c r="Z23" s="241" t="n">
        <x:f>IFERROR('Empirical data'!F29*100,NA())</x:f>
        <x:v>0</x:v>
      </x:c>
      <x:c r="AA23" s="241" t="n">
        <x:f>IFERROR('Empirical data'!F11*100,NA())</x:f>
        <x:v>25</x:v>
      </x:c>
      <x:c r="AB23" s="242" t="n">
        <x:f>IFERROR('Empirical data'!F31*100,NA())</x:f>
        <x:v>63.33333333333333</x:v>
      </x:c>
      <x:c r="AC23" t="str">
        <x:v>1</x:v>
      </x:c>
      <x:c r="AD23" t="n">
        <x:f>IFERROR('Empirical data'!C128*100,NA())</x:f>
        <x:v>20</x:v>
      </x:c>
      <x:c r="AE23" t="n">
        <x:f>IFERROR('Empirical data'!C129*100,NA())</x:f>
        <x:v>100</x:v>
      </x:c>
      <x:c r="AF23" t="n">
        <x:f>IFERROR('Empirical data'!C148*100,NA())</x:f>
        <x:v>15.384615384615385</x:v>
      </x:c>
      <x:c r="AG23" t="n">
        <x:f>IFERROR('Empirical data'!C149*100,NA())</x:f>
        <x:v>25</x:v>
      </x:c>
      <x:c r="AH23" t="n">
        <x:f>IFERROR('Empirical data'!C131*100,NA())</x:f>
        <x:v>50</x:v>
      </x:c>
      <x:c r="AI23" t="n">
        <x:f>IFERROR('Empirical data'!C151*100,NA())</x:f>
        <x:v>86.53846153846155</x:v>
      </x:c>
      <x:c r="AJ23" t="str">
        <x:v>1</x:v>
      </x:c>
      <x:c r="AK23" t="n">
        <x:f>IFERROR('Empirical data'!D128*100,NA())</x:f>
        <x:v>6.666666666666667</x:v>
      </x:c>
      <x:c r="AL23" t="n">
        <x:f>IFERROR('Empirical data'!D129*100,NA())</x:f>
        <x:v>100</x:v>
      </x:c>
      <x:c r="AM23" t="n">
        <x:f>IFERROR('Empirical data'!D148*100,NA())</x:f>
        <x:v>61.53846153846154</x:v>
      </x:c>
      <x:c r="AN23" t="n">
        <x:f>IFERROR('Empirical data'!D149*100,NA())</x:f>
        <x:v>0</x:v>
      </x:c>
      <x:c r="AO23" t="n">
        <x:f>IFERROR('Empirical data'!D131*100,NA())</x:f>
        <x:v>36.666666666666664</x:v>
      </x:c>
      <x:c r="AP23" t="n">
        <x:f>IFERROR('Empirical data'!D151*100,NA())</x:f>
        <x:v>82.6923076923077</x:v>
      </x:c>
      <x:c r="AQ23" t="str">
        <x:v>1</x:v>
      </x:c>
      <x:c r="AR23" t="n">
        <x:f>IFERROR('Empirical data'!E128*100,NA())</x:f>
        <x:v>40</x:v>
      </x:c>
      <x:c r="AS23" t="n">
        <x:f>IFERROR('Empirical data'!E129*100,NA())</x:f>
        <x:v>100</x:v>
      </x:c>
      <x:c r="AT23" t="n">
        <x:f>IFERROR('Empirical data'!E148*100,NA())</x:f>
        <x:v>46.15384615384615</x:v>
      </x:c>
      <x:c r="AU23" t="n">
        <x:f>IFERROR('Empirical data'!E149*100,NA())</x:f>
        <x:v>100</x:v>
      </x:c>
      <x:c r="AV23" t="n">
        <x:f>IFERROR('Empirical data'!E131*100,NA())</x:f>
        <x:v>10</x:v>
      </x:c>
      <x:c r="AW23" t="n">
        <x:f>IFERROR('Empirical data'!E151*100,NA())</x:f>
        <x:v>21.153846153846153</x:v>
      </x:c>
      <x:c r="AX23" t="str">
        <x:v>1</x:v>
      </x:c>
      <x:c r="AY23" t="n">
        <x:f>IFERROR('Empirical data'!F128*100,NA())</x:f>
        <x:v>93.33333333333333</x:v>
      </x:c>
      <x:c r="AZ23" t="n">
        <x:f>IFERROR('Empirical data'!F129*100,NA())</x:f>
        <x:v>0</x:v>
      </x:c>
      <x:c r="BA23" t="n">
        <x:f>IFERROR('Empirical data'!F148*100,NA())</x:f>
        <x:v>84.61538461538461</x:v>
      </x:c>
      <x:c r="BB23" t="n">
        <x:f>IFERROR('Empirical data'!F149*100,NA())</x:f>
        <x:v>0</x:v>
      </x:c>
      <x:c r="BC23" t="n">
        <x:f>IFERROR('Empirical data'!F131*100,NA())</x:f>
        <x:v>46.666666666666664</x:v>
      </x:c>
      <x:c r="BD23" t="n">
        <x:f>IFERROR('Empirical data'!F151*100,NA())</x:f>
        <x:v>86.53846153846155</x:v>
      </x:c>
    </x:row>
    <x:row r="24" ht="18" customHeight="1">
      <x:c r="A24" s="243" t="str">
        <x:v>2</x:v>
      </x:c>
      <x:c r="B24" s="244" t="n">
        <x:f>IFERROR('Empirical data'!C12*100,NA())</x:f>
        <x:v>64.28571428571429</x:v>
      </x:c>
      <x:c r="C24" s="244" t="n">
        <x:f>IFERROR('Empirical data'!C13*100,NA())</x:f>
        <x:v>0</x:v>
      </x:c>
      <x:c r="D24" s="244" t="n">
        <x:f>IFERROR('Empirical data'!C32*100,NA())</x:f>
        <x:v>50</x:v>
      </x:c>
      <x:c r="E24" s="244" t="n">
        <x:f>IFERROR('Empirical data'!C33*100,NA())</x:f>
        <x:v>0</x:v>
      </x:c>
      <x:c r="F24" s="244" t="n">
        <x:f>IFERROR('Empirical data'!C15*100,NA())</x:f>
        <x:v>64.28571428571428</x:v>
      </x:c>
      <x:c r="G24" s="245" t="n">
        <x:f>IFERROR('Empirical data'!C35*100,NA())</x:f>
        <x:v>73.80952380952381</x:v>
      </x:c>
      <x:c r="H24" s="243" t="str">
        <x:v>2</x:v>
      </x:c>
      <x:c r="I24" s="244" t="n">
        <x:f>IFERROR('Empirical data'!D12*100,NA())</x:f>
        <x:v>21.428571428571427</x:v>
      </x:c>
      <x:c r="J24" s="244" t="n">
        <x:f>IFERROR('Empirical data'!D13*100,NA())</x:f>
        <x:v>100</x:v>
      </x:c>
      <x:c r="K24" s="244" t="n">
        <x:f>IFERROR('Empirical data'!D32*100,NA())</x:f>
        <x:v>85.71428571428571</x:v>
      </x:c>
      <x:c r="L24" s="244" t="n">
        <x:f>IFERROR('Empirical data'!D33*100,NA())</x:f>
        <x:v>0</x:v>
      </x:c>
      <x:c r="M24" s="244" t="n">
        <x:f>IFERROR('Empirical data'!D15*100,NA())</x:f>
        <x:v>57.14285714285714</x:v>
      </x:c>
      <x:c r="N24" s="245" t="n">
        <x:f>IFERROR('Empirical data'!D35*100,NA())</x:f>
        <x:v>57.14285714285714</x:v>
      </x:c>
      <x:c r="O24" s="243" t="str">
        <x:v>2</x:v>
      </x:c>
      <x:c r="P24" s="244" t="n">
        <x:f>IFERROR('Empirical data'!E12*100,NA())</x:f>
        <x:v>21.428571428571427</x:v>
      </x:c>
      <x:c r="Q24" s="244" t="n">
        <x:f>IFERROR('Empirical data'!E13*100,NA())</x:f>
        <x:v>100</x:v>
      </x:c>
      <x:c r="R24" s="244" t="n">
        <x:f>IFERROR('Empirical data'!E32*100,NA())</x:f>
        <x:v>78.57142857142857</x:v>
      </x:c>
      <x:c r="S24" s="244" t="n">
        <x:f>IFERROR('Empirical data'!E33*100,NA())</x:f>
        <x:v>0</x:v>
      </x:c>
      <x:c r="T24" s="244" t="n">
        <x:f>IFERROR('Empirical data'!E15*100,NA())</x:f>
        <x:v>35.71428571428572</x:v>
      </x:c>
      <x:c r="U24" s="245" t="n">
        <x:f>IFERROR('Empirical data'!E35*100,NA())</x:f>
        <x:v>59.523809523809526</x:v>
      </x:c>
      <x:c r="V24" s="243" t="str">
        <x:v>2</x:v>
      </x:c>
      <x:c r="W24" s="244" t="n">
        <x:f>IFERROR('Empirical data'!F12*100,NA())</x:f>
        <x:v>100</x:v>
      </x:c>
      <x:c r="X24" s="244" t="n">
        <x:f>IFERROR('Empirical data'!F13*100,NA())</x:f>
        <x:v>0</x:v>
      </x:c>
      <x:c r="Y24" s="244" t="n">
        <x:f>IFERROR('Empirical data'!F32*100,NA())</x:f>
        <x:v>100</x:v>
      </x:c>
      <x:c r="Z24" s="244" t="n">
        <x:f>IFERROR('Empirical data'!F33*100,NA())</x:f>
        <x:v>0</x:v>
      </x:c>
      <x:c r="AA24" s="244" t="n">
        <x:f>IFERROR('Empirical data'!F15*100,NA())</x:f>
        <x:v>50</x:v>
      </x:c>
      <x:c r="AB24" s="245" t="n">
        <x:f>IFERROR('Empirical data'!F35*100,NA())</x:f>
        <x:v>69.04761904761905</x:v>
      </x:c>
      <x:c r="AC24" t="str">
        <x:v>2</x:v>
      </x:c>
      <x:c r="AD24" t="n">
        <x:f>IFERROR('Empirical data'!C132*100,NA())</x:f>
        <x:v>0</x:v>
      </x:c>
      <x:c r="AE24" t="n">
        <x:f>IFERROR('Empirical data'!C133*100,NA())</x:f>
        <x:v>100</x:v>
      </x:c>
      <x:c r="AF24" t="n">
        <x:f>IFERROR('Empirical data'!C152*100,NA())</x:f>
        <x:v>53.333333333333336</x:v>
      </x:c>
      <x:c r="AG24" t="n">
        <x:f>IFERROR('Empirical data'!C153*100,NA())</x:f>
        <x:v>50</x:v>
      </x:c>
      <x:c r="AH24" t="n">
        <x:f>IFERROR('Empirical data'!C135*100,NA())</x:f>
        <x:v>76.66666666666667</x:v>
      </x:c>
      <x:c r="AI24" t="n">
        <x:f>IFERROR('Empirical data'!C155*100,NA())</x:f>
        <x:v>36.666666666666664</x:v>
      </x:c>
      <x:c r="AJ24" t="str">
        <x:v>2</x:v>
      </x:c>
      <x:c r="AK24" t="n">
        <x:f>IFERROR('Empirical data'!D132*100,NA())</x:f>
        <x:v>0</x:v>
      </x:c>
      <x:c r="AL24" t="n">
        <x:f>IFERROR('Empirical data'!D133*100,NA())</x:f>
        <x:v>100</x:v>
      </x:c>
      <x:c r="AM24" t="n">
        <x:f>IFERROR('Empirical data'!D152*100,NA())</x:f>
        <x:v>0</x:v>
      </x:c>
      <x:c r="AN24" t="n">
        <x:f>IFERROR('Empirical data'!D153*100,NA())</x:f>
        <x:v>100</x:v>
      </x:c>
      <x:c r="AO24" t="n">
        <x:f>IFERROR('Empirical data'!D135*100,NA())</x:f>
        <x:v>65</x:v>
      </x:c>
      <x:c r="AP24" t="n">
        <x:f>IFERROR('Empirical data'!D155*100,NA())</x:f>
        <x:v>26.666666666666668</x:v>
      </x:c>
      <x:c r="AQ24" t="str">
        <x:v>2</x:v>
      </x:c>
      <x:c r="AR24" t="n">
        <x:f>IFERROR('Empirical data'!E132*100,NA())</x:f>
        <x:v>0</x:v>
      </x:c>
      <x:c r="AS24" t="n">
        <x:f>IFERROR('Empirical data'!E133*100,NA())</x:f>
        <x:v>100</x:v>
      </x:c>
      <x:c r="AT24" t="n">
        <x:f>IFERROR('Empirical data'!E152*100,NA())</x:f>
        <x:v>0</x:v>
      </x:c>
      <x:c r="AU24" t="n">
        <x:f>IFERROR('Empirical data'!E153*100,NA())</x:f>
        <x:v>100</x:v>
      </x:c>
      <x:c r="AV24" t="n">
        <x:f>IFERROR('Empirical data'!E135*100,NA())</x:f>
        <x:v>35</x:v>
      </x:c>
      <x:c r="AW24" t="n">
        <x:f>IFERROR('Empirical data'!E155*100,NA())</x:f>
        <x:v>30</x:v>
      </x:c>
      <x:c r="AX24" t="str">
        <x:v>2</x:v>
      </x:c>
      <x:c r="AY24" t="n">
        <x:f>IFERROR('Empirical data'!F132*100,NA())</x:f>
        <x:v>41.66666666666667</x:v>
      </x:c>
      <x:c r="AZ24" t="n">
        <x:f>IFERROR('Empirical data'!F133*100,NA())</x:f>
        <x:v>0</x:v>
      </x:c>
      <x:c r="BA24" t="n">
        <x:f>IFERROR('Empirical data'!F152*100,NA())</x:f>
        <x:v>93.33333333333333</x:v>
      </x:c>
      <x:c r="BB24" t="n">
        <x:f>IFERROR('Empirical data'!F153*100,NA())</x:f>
        <x:v>0</x:v>
      </x:c>
      <x:c r="BC24" t="n">
        <x:f>IFERROR('Empirical data'!F135*100,NA())</x:f>
        <x:v>78.33333333333333</x:v>
      </x:c>
      <x:c r="BD24" t="n">
        <x:f>IFERROR('Empirical data'!F155*100,NA())</x:f>
        <x:v>60</x:v>
      </x:c>
    </x:row>
    <x:row r="25" ht="18" customHeight="1">
      <x:c r="A25" s="246" t="str">
        <x:v>4</x:v>
      </x:c>
      <x:c r="B25" s="247" t="n">
        <x:f>IFERROR('Empirical data'!C16*100,NA())</x:f>
        <x:v>12.5</x:v>
      </x:c>
      <x:c r="C25" s="247" t="n">
        <x:f>IFERROR('Empirical data'!C17*100,NA())</x:f>
        <x:v>100</x:v>
      </x:c>
      <x:c r="D25" s="247" t="n">
        <x:f>IFERROR('Empirical data'!C36*100,NA())</x:f>
        <x:v>60</x:v>
      </x:c>
      <x:c r="E25" s="247" t="n">
        <x:f>IFERROR('Empirical data'!C37*100,NA())</x:f>
        <x:v>50</x:v>
      </x:c>
      <x:c r="F25" s="247" t="n">
        <x:f>IFERROR('Empirical data'!C19*100,NA())</x:f>
        <x:v>37.5</x:v>
      </x:c>
      <x:c r="G25" s="248" t="n">
        <x:f>IFERROR('Empirical data'!C39*100,NA())</x:f>
        <x:v>43.333333333333336</x:v>
      </x:c>
      <x:c r="H25" s="246" t="str">
        <x:v>4</x:v>
      </x:c>
      <x:c r="I25" s="247" t="n">
        <x:f>IFERROR('Empirical data'!D16*100,NA())</x:f>
        <x:v>31.25</x:v>
      </x:c>
      <x:c r="J25" s="247" t="n">
        <x:f>IFERROR('Empirical data'!D17*100,NA())</x:f>
        <x:v>100</x:v>
      </x:c>
      <x:c r="K25" s="247" t="n">
        <x:f>IFERROR('Empirical data'!D36*100,NA())</x:f>
        <x:v>73.33333333333333</x:v>
      </x:c>
      <x:c r="L25" s="247" t="n">
        <x:f>IFERROR('Empirical data'!D37*100,NA())</x:f>
        <x:v>0</x:v>
      </x:c>
      <x:c r="M25" s="247" t="n">
        <x:f>IFERROR('Empirical data'!D19*100,NA())</x:f>
        <x:v>68.75</x:v>
      </x:c>
      <x:c r="N25" s="248" t="n">
        <x:f>IFERROR('Empirical data'!D39*100,NA())</x:f>
        <x:v>63.33333333333333</x:v>
      </x:c>
      <x:c r="O25" s="246" t="str">
        <x:v>4</x:v>
      </x:c>
      <x:c r="P25" s="247" t="n">
        <x:f>IFERROR('Empirical data'!E16*100,NA())</x:f>
        <x:v>0</x:v>
      </x:c>
      <x:c r="Q25" s="247" t="n">
        <x:f>IFERROR('Empirical data'!E17*100,NA())</x:f>
        <x:v>100</x:v>
      </x:c>
      <x:c r="R25" s="247" t="n">
        <x:f>IFERROR('Empirical data'!E36*100,NA())</x:f>
        <x:v>46.666666666666664</x:v>
      </x:c>
      <x:c r="S25" s="247" t="n">
        <x:f>IFERROR('Empirical data'!E37*100,NA())</x:f>
        <x:v>100</x:v>
      </x:c>
      <x:c r="T25" s="247" t="n">
        <x:f>IFERROR('Empirical data'!E19*100,NA())</x:f>
        <x:v>43.75</x:v>
      </x:c>
      <x:c r="U25" s="248" t="n">
        <x:f>IFERROR('Empirical data'!E39*100,NA())</x:f>
        <x:v>16.666666666666668</x:v>
      </x:c>
      <x:c r="V25" s="246" t="str">
        <x:v>4</x:v>
      </x:c>
      <x:c r="W25" s="247" t="n">
        <x:f>IFERROR('Empirical data'!F16*100,NA())</x:f>
        <x:v>87.5</x:v>
      </x:c>
      <x:c r="X25" s="247" t="n">
        <x:f>IFERROR('Empirical data'!F17*100,NA())</x:f>
        <x:v>0</x:v>
      </x:c>
      <x:c r="Y25" s="247" t="n">
        <x:f>IFERROR('Empirical data'!F36*100,NA())</x:f>
        <x:v>100</x:v>
      </x:c>
      <x:c r="Z25" s="247" t="n">
        <x:f>IFERROR('Empirical data'!F37*100,NA())</x:f>
        <x:v>0</x:v>
      </x:c>
      <x:c r="AA25" s="247" t="n">
        <x:f>IFERROR('Empirical data'!F19*100,NA())</x:f>
        <x:v>68.75</x:v>
      </x:c>
      <x:c r="AB25" s="248" t="n">
        <x:f>IFERROR('Empirical data'!F39*100,NA())</x:f>
        <x:v>53.333333333333336</x:v>
      </x:c>
      <x:c r="AC25" t="str">
        <x:v>4</x:v>
      </x:c>
      <x:c r="AD25" t="n">
        <x:f>IFERROR('Empirical data'!C136*100,NA())</x:f>
        <x:v>8.333333333333332</x:v>
      </x:c>
      <x:c r="AE25" t="n">
        <x:f>IFERROR('Empirical data'!C137*100,NA())</x:f>
        <x:v>100</x:v>
      </x:c>
      <x:c r="AF25" t="n">
        <x:f>IFERROR('Empirical data'!C156*100,NA())</x:f>
        <x:v>0</x:v>
      </x:c>
      <x:c r="AG25" t="n">
        <x:f>IFERROR('Empirical data'!C157*100,NA())</x:f>
        <x:v>60</x:v>
      </x:c>
      <x:c r="AH25" t="n">
        <x:f>IFERROR('Empirical data'!C139*100,NA())</x:f>
        <x:v>15</x:v>
      </x:c>
      <x:c r="AI25" t="n">
        <x:f>IFERROR('Empirical data'!C159*100,NA())</x:f>
        <x:v>80</x:v>
      </x:c>
      <x:c r="AJ25" t="str">
        <x:v>4</x:v>
      </x:c>
      <x:c r="AK25" t="n">
        <x:f>IFERROR('Empirical data'!D136*100,NA())</x:f>
        <x:v>25</x:v>
      </x:c>
      <x:c r="AL25" t="n">
        <x:f>IFERROR('Empirical data'!D137*100,NA())</x:f>
        <x:v>100</x:v>
      </x:c>
      <x:c r="AM25" t="n">
        <x:f>IFERROR('Empirical data'!D156*100,NA())</x:f>
        <x:v>0</x:v>
      </x:c>
      <x:c r="AN25" t="n">
        <x:f>IFERROR('Empirical data'!D157*100,NA())</x:f>
        <x:v>60</x:v>
      </x:c>
      <x:c r="AO25" t="n">
        <x:f>IFERROR('Empirical data'!D139*100,NA())</x:f>
        <x:v>13.333333333333334</x:v>
      </x:c>
      <x:c r="AP25" t="n">
        <x:f>IFERROR('Empirical data'!D159*100,NA())</x:f>
        <x:v>75</x:v>
      </x:c>
      <x:c r="AQ25" t="str">
        <x:v>4</x:v>
      </x:c>
      <x:c r="AR25" t="n">
        <x:f>IFERROR('Empirical data'!E136*100,NA())</x:f>
        <x:v>0</x:v>
      </x:c>
      <x:c r="AS25" t="n">
        <x:f>IFERROR('Empirical data'!E137*100,NA())</x:f>
        <x:v>100</x:v>
      </x:c>
      <x:c r="AT25" t="n">
        <x:f>IFERROR('Empirical data'!E156*100,NA())</x:f>
        <x:v>0</x:v>
      </x:c>
      <x:c r="AU25" t="n">
        <x:f>IFERROR('Empirical data'!E157*100,NA())</x:f>
        <x:v>100</x:v>
      </x:c>
      <x:c r="AV25" t="n">
        <x:f>IFERROR('Empirical data'!E139*100,NA())</x:f>
        <x:v>25</x:v>
      </x:c>
      <x:c r="AW25" t="n">
        <x:f>IFERROR('Empirical data'!E159*100,NA())</x:f>
        <x:v>41.66666666666667</x:v>
      </x:c>
      <x:c r="AX25" t="str">
        <x:v>4</x:v>
      </x:c>
      <x:c r="AY25" t="n">
        <x:f>IFERROR('Empirical data'!F136*100,NA())</x:f>
        <x:v>58.333333333333336</x:v>
      </x:c>
      <x:c r="AZ25" t="n">
        <x:f>IFERROR('Empirical data'!F137*100,NA())</x:f>
        <x:v>80</x:v>
      </x:c>
      <x:c r="BA25" t="n">
        <x:f>IFERROR('Empirical data'!F156*100,NA())</x:f>
        <x:v>91.66666666666666</x:v>
      </x:c>
      <x:c r="BB25" t="n">
        <x:f>IFERROR('Empirical data'!F157*100,NA())</x:f>
        <x:v>0</x:v>
      </x:c>
      <x:c r="BC25" t="n">
        <x:f>IFERROR('Empirical data'!F139*100,NA())</x:f>
        <x:v>21.666666666666668</x:v>
      </x:c>
      <x:c r="BD25" t="n">
        <x:f>IFERROR('Empirical data'!F159*100,NA())</x:f>
        <x:v>83.33333333333334</x:v>
      </x:c>
    </x:row>
    <x:row r="26" ht="18" customHeight="1"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  <x:c r="BA26"/>
      <x:c r="BB26"/>
      <x:c r="BC26"/>
      <x:c r="BD26"/>
    </x:row>
    <x:row r="27" ht="18" customHeight="1">
      <x:c r="A27" s="277" t="str">
        <x:v>Empirical data — Signed PMP error — M0–M3 (4/5/5/7 parameters)</x:v>
      </x:c>
      <x:c r="B27" s="277"/>
      <x:c r="C27" s="277"/>
      <x:c r="D27" s="277"/>
      <x:c r="E27" s="277"/>
      <x:c r="F27" s="277"/>
      <x:c r="G27" s="277"/>
      <x:c r="H27" s="277"/>
      <x:c r="I27" s="277"/>
      <x:c r="J27" s="277"/>
      <x:c r="K27" s="277"/>
      <x:c r="L27" s="277"/>
      <x:c r="M27" s="277"/>
      <x:c r="N27" s="277"/>
      <x:c r="O27" s="277"/>
      <x:c r="P27" s="277"/>
      <x:c r="Q27" s="277"/>
      <x:c r="R27" s="277"/>
      <x:c r="S27" s="277"/>
      <x:c r="T27" s="277"/>
      <x:c r="U27" s="277"/>
      <x:c r="V27" s="277"/>
      <x:c r="W27" s="277"/>
      <x:c r="X27" s="277"/>
      <x:c r="Y27" s="277"/>
      <x:c r="Z27" s="277"/>
      <x:c r="AA27" s="277"/>
      <x:c r="AB27" s="277"/>
      <x:c r="AC27" t="str">
        <x:v>Empirical data — Signed PMP error — M0–M3 (4/5/5/7 parameters)</x:v>
      </x:c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</x:row>
    <x:row r="28" ht="18" customHeight="1">
      <x:c r="A28" s="283" t="str">
        <x:v>S/D</x:v>
      </x:c>
      <x:c r="B28" s="284" t="str">
        <x:v>M1 FNR</x:v>
      </x:c>
      <x:c r="C28" s="284" t="str">
        <x:v>M1 FPR</x:v>
      </x:c>
      <x:c r="D28" s="284" t="str">
        <x:v>M3 FNR</x:v>
      </x:c>
      <x:c r="E28" s="284" t="str">
        <x:v>M3 FPR</x:v>
      </x:c>
      <x:c r="F28" s="284" t="str">
        <x:v>M1 AUC</x:v>
      </x:c>
      <x:c r="G28" s="285" t="str">
        <x:v>M3 AUC</x:v>
      </x:c>
      <x:c r="H28" s="283" t="str">
        <x:v>S/D</x:v>
      </x:c>
      <x:c r="I28" s="284" t="str">
        <x:v>M1 FNR</x:v>
      </x:c>
      <x:c r="J28" s="284" t="str">
        <x:v>M1 FPR</x:v>
      </x:c>
      <x:c r="K28" s="284" t="str">
        <x:v>M3 FNR</x:v>
      </x:c>
      <x:c r="L28" s="284" t="str">
        <x:v>M3 FPR</x:v>
      </x:c>
      <x:c r="M28" s="284" t="str">
        <x:v>M1 AUC</x:v>
      </x:c>
      <x:c r="N28" s="285" t="str">
        <x:v>M3 AUC</x:v>
      </x:c>
      <x:c r="O28" s="283" t="str">
        <x:v>S/D</x:v>
      </x:c>
      <x:c r="P28" s="284" t="str">
        <x:v>M1 FNR</x:v>
      </x:c>
      <x:c r="Q28" s="284" t="str">
        <x:v>M1 FPR</x:v>
      </x:c>
      <x:c r="R28" s="284" t="str">
        <x:v>M3 FNR</x:v>
      </x:c>
      <x:c r="S28" s="284" t="str">
        <x:v>M3 FPR</x:v>
      </x:c>
      <x:c r="T28" s="284" t="str">
        <x:v>M1 AUC</x:v>
      </x:c>
      <x:c r="U28" s="285" t="str">
        <x:v>M3 AUC</x:v>
      </x:c>
      <x:c r="V28" s="283" t="str">
        <x:v>S/D</x:v>
      </x:c>
      <x:c r="W28" s="284" t="str">
        <x:v>M1 FNR</x:v>
      </x:c>
      <x:c r="X28" s="284" t="str">
        <x:v>M1 FPR</x:v>
      </x:c>
      <x:c r="Y28" s="284" t="str">
        <x:v>M3 FNR</x:v>
      </x:c>
      <x:c r="Z28" s="284" t="str">
        <x:v>M3 FPR</x:v>
      </x:c>
      <x:c r="AA28" s="284" t="str">
        <x:v>M1 AUC</x:v>
      </x:c>
      <x:c r="AB28" s="285" t="str">
        <x:v>M3 AUC</x:v>
      </x:c>
      <x:c r="AC28" t="str">
        <x:v>S/D</x:v>
      </x:c>
      <x:c r="AD28" t="str">
        <x:v>M0 FNR</x:v>
      </x:c>
      <x:c r="AE28" t="str">
        <x:v>M0 FPR</x:v>
      </x:c>
      <x:c r="AF28" t="str">
        <x:v>M2 FNR</x:v>
      </x:c>
      <x:c r="AG28" t="str">
        <x:v>M2 FPR</x:v>
      </x:c>
      <x:c r="AH28" t="str">
        <x:v>M0 AUC</x:v>
      </x:c>
      <x:c r="AI28" t="str">
        <x:v>M2 AUC</x:v>
      </x:c>
      <x:c r="AJ28" t="str">
        <x:v>S/D</x:v>
      </x:c>
      <x:c r="AK28" t="str">
        <x:v>M0 FNR</x:v>
      </x:c>
      <x:c r="AL28" t="str">
        <x:v>M0 FPR</x:v>
      </x:c>
      <x:c r="AM28" t="str">
        <x:v>M2 FNR</x:v>
      </x:c>
      <x:c r="AN28" t="str">
        <x:v>M2 FPR</x:v>
      </x:c>
      <x:c r="AO28" t="str">
        <x:v>M0 AUC</x:v>
      </x:c>
      <x:c r="AP28" t="str">
        <x:v>M2 AUC</x:v>
      </x:c>
      <x:c r="AQ28" t="str">
        <x:v>S/D</x:v>
      </x:c>
      <x:c r="AR28" t="str">
        <x:v>M0 FNR</x:v>
      </x:c>
      <x:c r="AS28" t="str">
        <x:v>M0 FPR</x:v>
      </x:c>
      <x:c r="AT28" t="str">
        <x:v>M2 FNR</x:v>
      </x:c>
      <x:c r="AU28" t="str">
        <x:v>M2 FPR</x:v>
      </x:c>
      <x:c r="AV28" t="str">
        <x:v>M0 AUC</x:v>
      </x:c>
      <x:c r="AW28" t="str">
        <x:v>M2 AUC</x:v>
      </x:c>
      <x:c r="AX28" t="str">
        <x:v>S/D</x:v>
      </x:c>
      <x:c r="AY28" t="str">
        <x:v>M0 FNR</x:v>
      </x:c>
      <x:c r="AZ28" t="str">
        <x:v>M0 FPR</x:v>
      </x:c>
      <x:c r="BA28" t="str">
        <x:v>M2 FNR</x:v>
      </x:c>
      <x:c r="BB28" t="str">
        <x:v>M2 FPR</x:v>
      </x:c>
      <x:c r="BC28" t="str">
        <x:v>M0 AUC</x:v>
      </x:c>
      <x:c r="BD28" t="str">
        <x:v>M2 AUC</x:v>
      </x:c>
    </x:row>
    <x:row r="29" ht="18" customHeight="1">
      <x:c r="A29" s="240" t="str">
        <x:v>1</x:v>
      </x:c>
      <x:c r="B29" s="241" t="n">
        <x:f>IFERROR('Empirical data'!C48*100,NA())</x:f>
        <x:v>15.384615384615385</x:v>
      </x:c>
      <x:c r="C29" s="241" t="n">
        <x:f>IFERROR('Empirical data'!C49*100,NA())</x:f>
        <x:v>100</x:v>
      </x:c>
      <x:c r="D29" s="241" t="n">
        <x:f>IFERROR('Empirical data'!C68*100,NA())</x:f>
        <x:v>64.28571428571429</x:v>
      </x:c>
      <x:c r="E29" s="241" t="n">
        <x:f>IFERROR('Empirical data'!C69*100,NA())</x:f>
        <x:v>33.33333333333333</x:v>
      </x:c>
      <x:c r="F29" s="241" t="n">
        <x:f>IFERROR('Empirical data'!C51*100,NA())</x:f>
        <x:v>23.076923076923077</x:v>
      </x:c>
      <x:c r="G29" s="242" t="n">
        <x:f>IFERROR('Empirical data'!C71*100,NA())</x:f>
        <x:v>42.85714285714286</x:v>
      </x:c>
      <x:c r="H29" s="240" t="str">
        <x:v>1</x:v>
      </x:c>
      <x:c r="I29" s="241" t="n">
        <x:f>IFERROR('Empirical data'!D48*100,NA())</x:f>
        <x:v>0</x:v>
      </x:c>
      <x:c r="J29" s="241" t="n">
        <x:f>IFERROR('Empirical data'!D49*100,NA())</x:f>
        <x:v>100</x:v>
      </x:c>
      <x:c r="K29" s="241" t="n">
        <x:f>IFERROR('Empirical data'!D68*100,NA())</x:f>
        <x:v>71.42857142857143</x:v>
      </x:c>
      <x:c r="L29" s="241" t="n">
        <x:f>IFERROR('Empirical data'!D69*100,NA())</x:f>
        <x:v>33.33333333333333</x:v>
      </x:c>
      <x:c r="M29" s="241" t="n">
        <x:f>IFERROR('Empirical data'!D51*100,NA())</x:f>
        <x:v>25</x:v>
      </x:c>
      <x:c r="N29" s="242" t="n">
        <x:f>IFERROR('Empirical data'!D71*100,NA())</x:f>
        <x:v>42.85714285714286</x:v>
      </x:c>
      <x:c r="O29" s="240" t="str">
        <x:v>1</x:v>
      </x:c>
      <x:c r="P29" s="241" t="n">
        <x:f>IFERROR('Empirical data'!E48*100,NA())</x:f>
        <x:v>46.15384615384615</x:v>
      </x:c>
      <x:c r="Q29" s="241" t="n">
        <x:f>IFERROR('Empirical data'!E49*100,NA())</x:f>
        <x:v>75</x:v>
      </x:c>
      <x:c r="R29" s="241" t="n">
        <x:f>IFERROR('Empirical data'!E68*100,NA())</x:f>
        <x:v>78.57142857142857</x:v>
      </x:c>
      <x:c r="S29" s="241" t="n">
        <x:f>IFERROR('Empirical data'!E69*100,NA())</x:f>
        <x:v>33.33333333333333</x:v>
      </x:c>
      <x:c r="T29" s="241" t="n">
        <x:f>IFERROR('Empirical data'!E51*100,NA())</x:f>
        <x:v>30.76923076923077</x:v>
      </x:c>
      <x:c r="U29" s="242" t="n">
        <x:f>IFERROR('Empirical data'!E71*100,NA())</x:f>
        <x:v>50</x:v>
      </x:c>
      <x:c r="V29" s="240" t="str">
        <x:v>1</x:v>
      </x:c>
      <x:c r="W29" s="241" t="n">
        <x:f>IFERROR('Empirical data'!F48*100,NA())</x:f>
        <x:v>84.61538461538461</x:v>
      </x:c>
      <x:c r="X29" s="241" t="n">
        <x:f>IFERROR('Empirical data'!F49*100,NA())</x:f>
        <x:v>25</x:v>
      </x:c>
      <x:c r="Y29" s="241" t="n">
        <x:f>IFERROR('Empirical data'!F68*100,NA())</x:f>
        <x:v>100</x:v>
      </x:c>
      <x:c r="Z29" s="241" t="n">
        <x:f>IFERROR('Empirical data'!F69*100,NA())</x:f>
        <x:v>0</x:v>
      </x:c>
      <x:c r="AA29" s="241" t="n">
        <x:f>IFERROR('Empirical data'!F51*100,NA())</x:f>
        <x:v>36.53846153846153</x:v>
      </x:c>
      <x:c r="AB29" s="242" t="n">
        <x:f>IFERROR('Empirical data'!F71*100,NA())</x:f>
        <x:v>38.0952380952381</x:v>
      </x:c>
      <x:c r="AC29" t="str">
        <x:v>1</x:v>
      </x:c>
      <x:c r="AD29" t="e">
        <x:f>IFERROR('Empirical data'!C168*100,NA())</x:f>
        <x:v>#N/A</x:v>
      </x:c>
      <x:c r="AE29" t="n">
        <x:f>IFERROR('Empirical data'!C169*100,NA())</x:f>
        <x:v>82.35294117647058</x:v>
      </x:c>
      <x:c r="AF29" t="n">
        <x:f>IFERROR('Empirical data'!C188*100,NA())</x:f>
        <x:v>0</x:v>
      </x:c>
      <x:c r="AG29" t="n">
        <x:f>IFERROR('Empirical data'!C189*100,NA())</x:f>
        <x:v>68.75</x:v>
      </x:c>
      <x:c r="AH29" t="e">
        <x:f>IFERROR('Empirical data'!C171*100,NA())</x:f>
        <x:v>#N/A</x:v>
      </x:c>
      <x:c r="AI29" t="n">
        <x:f>IFERROR('Empirical data'!C191*100,NA())</x:f>
        <x:v>100</x:v>
      </x:c>
      <x:c r="AJ29" t="str">
        <x:v>1</x:v>
      </x:c>
      <x:c r="AK29" t="e">
        <x:f>IFERROR('Empirical data'!D168*100,NA())</x:f>
        <x:v>#N/A</x:v>
      </x:c>
      <x:c r="AL29" t="n">
        <x:f>IFERROR('Empirical data'!D169*100,NA())</x:f>
        <x:v>94.11764705882352</x:v>
      </x:c>
      <x:c r="AM29" t="n">
        <x:f>IFERROR('Empirical data'!D188*100,NA())</x:f>
        <x:v>0</x:v>
      </x:c>
      <x:c r="AN29" t="n">
        <x:f>IFERROR('Empirical data'!D189*100,NA())</x:f>
        <x:v>25</x:v>
      </x:c>
      <x:c r="AO29" t="e">
        <x:f>IFERROR('Empirical data'!D171*100,NA())</x:f>
        <x:v>#N/A</x:v>
      </x:c>
      <x:c r="AP29" t="n">
        <x:f>IFERROR('Empirical data'!D191*100,NA())</x:f>
        <x:v>100</x:v>
      </x:c>
      <x:c r="AQ29" t="str">
        <x:v>1</x:v>
      </x:c>
      <x:c r="AR29" t="e">
        <x:f>IFERROR('Empirical data'!E168*100,NA())</x:f>
        <x:v>#N/A</x:v>
      </x:c>
      <x:c r="AS29" t="n">
        <x:f>IFERROR('Empirical data'!E169*100,NA())</x:f>
        <x:v>64.70588235294117</x:v>
      </x:c>
      <x:c r="AT29" t="n">
        <x:f>IFERROR('Empirical data'!E188*100,NA())</x:f>
        <x:v>0</x:v>
      </x:c>
      <x:c r="AU29" t="n">
        <x:f>IFERROR('Empirical data'!E189*100,NA())</x:f>
        <x:v>62.5</x:v>
      </x:c>
      <x:c r="AV29" t="e">
        <x:f>IFERROR('Empirical data'!E171*100,NA())</x:f>
        <x:v>#N/A</x:v>
      </x:c>
      <x:c r="AW29" t="n">
        <x:f>IFERROR('Empirical data'!E191*100,NA())</x:f>
        <x:v>100</x:v>
      </x:c>
      <x:c r="AX29" t="str">
        <x:v>1</x:v>
      </x:c>
      <x:c r="AY29" t="e">
        <x:f>IFERROR('Empirical data'!F168*100,NA())</x:f>
        <x:v>#N/A</x:v>
      </x:c>
      <x:c r="AZ29" t="n">
        <x:f>IFERROR('Empirical data'!F169*100,NA())</x:f>
        <x:v>5.88235294117647</x:v>
      </x:c>
      <x:c r="BA29" t="n">
        <x:f>IFERROR('Empirical data'!F188*100,NA())</x:f>
        <x:v>0</x:v>
      </x:c>
      <x:c r="BB29" t="n">
        <x:f>IFERROR('Empirical data'!F189*100,NA())</x:f>
        <x:v>6.25</x:v>
      </x:c>
      <x:c r="BC29" t="e">
        <x:f>IFERROR('Empirical data'!F171*100,NA())</x:f>
        <x:v>#N/A</x:v>
      </x:c>
      <x:c r="BD29" t="n">
        <x:f>IFERROR('Empirical data'!F191*100,NA())</x:f>
        <x:v>100</x:v>
      </x:c>
    </x:row>
    <x:row r="30" ht="18" customHeight="1">
      <x:c r="A30" s="243" t="str">
        <x:v>2</x:v>
      </x:c>
      <x:c r="B30" s="244" t="n">
        <x:f>IFERROR('Empirical data'!C52*100,NA())</x:f>
        <x:v>76.92307692307693</x:v>
      </x:c>
      <x:c r="C30" s="244" t="n">
        <x:f>IFERROR('Empirical data'!C53*100,NA())</x:f>
        <x:v>50</x:v>
      </x:c>
      <x:c r="D30" s="244" t="n">
        <x:f>IFERROR('Empirical data'!C72*100,NA())</x:f>
        <x:v>57.14285714285714</x:v>
      </x:c>
      <x:c r="E30" s="244" t="n">
        <x:f>IFERROR('Empirical data'!C73*100,NA())</x:f>
        <x:v>33.33333333333333</x:v>
      </x:c>
      <x:c r="F30" s="244" t="n">
        <x:f>IFERROR('Empirical data'!C55*100,NA())</x:f>
        <x:v>15.384615384615385</x:v>
      </x:c>
      <x:c r="G30" s="245" t="n">
        <x:f>IFERROR('Empirical data'!C75*100,NA())</x:f>
        <x:v>45.23809523809524</x:v>
      </x:c>
      <x:c r="H30" s="243" t="str">
        <x:v>2</x:v>
      </x:c>
      <x:c r="I30" s="244" t="n">
        <x:f>IFERROR('Empirical data'!D52*100,NA())</x:f>
        <x:v>23.076923076923077</x:v>
      </x:c>
      <x:c r="J30" s="244" t="n">
        <x:f>IFERROR('Empirical data'!D53*100,NA())</x:f>
        <x:v>100</x:v>
      </x:c>
      <x:c r="K30" s="244" t="n">
        <x:f>IFERROR('Empirical data'!D72*100,NA())</x:f>
        <x:v>92.85714285714286</x:v>
      </x:c>
      <x:c r="L30" s="244" t="n">
        <x:f>IFERROR('Empirical data'!D73*100,NA())</x:f>
        <x:v>33.33333333333333</x:v>
      </x:c>
      <x:c r="M30" s="244" t="n">
        <x:f>IFERROR('Empirical data'!D55*100,NA())</x:f>
        <x:v>17.307692307692307</x:v>
      </x:c>
      <x:c r="N30" s="245" t="n">
        <x:f>IFERROR('Empirical data'!D75*100,NA())</x:f>
        <x:v>64.28571428571429</x:v>
      </x:c>
      <x:c r="O30" s="243" t="str">
        <x:v>2</x:v>
      </x:c>
      <x:c r="P30" s="244" t="n">
        <x:f>IFERROR('Empirical data'!E52*100,NA())</x:f>
        <x:v>23.076923076923077</x:v>
      </x:c>
      <x:c r="Q30" s="244" t="n">
        <x:f>IFERROR('Empirical data'!E53*100,NA())</x:f>
        <x:v>100</x:v>
      </x:c>
      <x:c r="R30" s="244" t="n">
        <x:f>IFERROR('Empirical data'!E72*100,NA())</x:f>
        <x:v>85.71428571428571</x:v>
      </x:c>
      <x:c r="S30" s="244" t="n">
        <x:f>IFERROR('Empirical data'!E73*100,NA())</x:f>
        <x:v>33.33333333333333</x:v>
      </x:c>
      <x:c r="T30" s="244" t="n">
        <x:f>IFERROR('Empirical data'!E55*100,NA())</x:f>
        <x:v>0</x:v>
      </x:c>
      <x:c r="U30" s="245" t="n">
        <x:f>IFERROR('Empirical data'!E75*100,NA())</x:f>
        <x:v>11.904761904761905</x:v>
      </x:c>
      <x:c r="V30" s="243" t="str">
        <x:v>2</x:v>
      </x:c>
      <x:c r="W30" s="244" t="n">
        <x:f>IFERROR('Empirical data'!F52*100,NA())</x:f>
        <x:v>100</x:v>
      </x:c>
      <x:c r="X30" s="244" t="n">
        <x:f>IFERROR('Empirical data'!F53*100,NA())</x:f>
        <x:v>0</x:v>
      </x:c>
      <x:c r="Y30" s="244" t="n">
        <x:f>IFERROR('Empirical data'!F72*100,NA())</x:f>
        <x:v>100</x:v>
      </x:c>
      <x:c r="Z30" s="244" t="n">
        <x:f>IFERROR('Empirical data'!F73*100,NA())</x:f>
        <x:v>0</x:v>
      </x:c>
      <x:c r="AA30" s="244" t="n">
        <x:f>IFERROR('Empirical data'!F55*100,NA())</x:f>
        <x:v>50</x:v>
      </x:c>
      <x:c r="AB30" s="245" t="n">
        <x:f>IFERROR('Empirical data'!F75*100,NA())</x:f>
        <x:v>47.61904761904763</x:v>
      </x:c>
      <x:c r="AC30" t="str">
        <x:v>2</x:v>
      </x:c>
      <x:c r="AD30" t="e">
        <x:f>IFERROR('Empirical data'!C172*100,NA())</x:f>
        <x:v>#N/A</x:v>
      </x:c>
      <x:c r="AE30" t="n">
        <x:f>IFERROR('Empirical data'!C173*100,NA())</x:f>
        <x:v>100</x:v>
      </x:c>
      <x:c r="AF30" t="e">
        <x:f>IFERROR('Empirical data'!C192*100,NA())</x:f>
        <x:v>#N/A</x:v>
      </x:c>
      <x:c r="AG30" t="n">
        <x:f>IFERROR('Empirical data'!C193*100,NA())</x:f>
        <x:v>47.05882352941176</x:v>
      </x:c>
      <x:c r="AH30" t="e">
        <x:f>IFERROR('Empirical data'!C175*100,NA())</x:f>
        <x:v>#N/A</x:v>
      </x:c>
      <x:c r="AI30" t="e">
        <x:f>IFERROR('Empirical data'!C195*100,NA())</x:f>
        <x:v>#N/A</x:v>
      </x:c>
      <x:c r="AJ30" t="str">
        <x:v>2</x:v>
      </x:c>
      <x:c r="AK30" t="e">
        <x:f>IFERROR('Empirical data'!D172*100,NA())</x:f>
        <x:v>#N/A</x:v>
      </x:c>
      <x:c r="AL30" t="n">
        <x:f>IFERROR('Empirical data'!D173*100,NA())</x:f>
        <x:v>100</x:v>
      </x:c>
      <x:c r="AM30" t="e">
        <x:f>IFERROR('Empirical data'!D192*100,NA())</x:f>
        <x:v>#N/A</x:v>
      </x:c>
      <x:c r="AN30" t="n">
        <x:f>IFERROR('Empirical data'!D193*100,NA())</x:f>
        <x:v>100</x:v>
      </x:c>
      <x:c r="AO30" t="e">
        <x:f>IFERROR('Empirical data'!D175*100,NA())</x:f>
        <x:v>#N/A</x:v>
      </x:c>
      <x:c r="AP30" t="e">
        <x:f>IFERROR('Empirical data'!D195*100,NA())</x:f>
        <x:v>#N/A</x:v>
      </x:c>
      <x:c r="AQ30" t="str">
        <x:v>2</x:v>
      </x:c>
      <x:c r="AR30" t="e">
        <x:f>IFERROR('Empirical data'!E172*100,NA())</x:f>
        <x:v>#N/A</x:v>
      </x:c>
      <x:c r="AS30" t="n">
        <x:f>IFERROR('Empirical data'!E173*100,NA())</x:f>
        <x:v>100</x:v>
      </x:c>
      <x:c r="AT30" t="e">
        <x:f>IFERROR('Empirical data'!E192*100,NA())</x:f>
        <x:v>#N/A</x:v>
      </x:c>
      <x:c r="AU30" t="n">
        <x:f>IFERROR('Empirical data'!E193*100,NA())</x:f>
        <x:v>100</x:v>
      </x:c>
      <x:c r="AV30" t="e">
        <x:f>IFERROR('Empirical data'!E175*100,NA())</x:f>
        <x:v>#N/A</x:v>
      </x:c>
      <x:c r="AW30" t="e">
        <x:f>IFERROR('Empirical data'!E195*100,NA())</x:f>
        <x:v>#N/A</x:v>
      </x:c>
      <x:c r="AX30" t="str">
        <x:v>2</x:v>
      </x:c>
      <x:c r="AY30" t="e">
        <x:f>IFERROR('Empirical data'!F172*100,NA())</x:f>
        <x:v>#N/A</x:v>
      </x:c>
      <x:c r="AZ30" t="n">
        <x:f>IFERROR('Empirical data'!F173*100,NA())</x:f>
        <x:v>41.17647058823529</x:v>
      </x:c>
      <x:c r="BA30" t="e">
        <x:f>IFERROR('Empirical data'!F192*100,NA())</x:f>
        <x:v>#N/A</x:v>
      </x:c>
      <x:c r="BB30" t="n">
        <x:f>IFERROR('Empirical data'!F193*100,NA())</x:f>
        <x:v>5.88235294117647</x:v>
      </x:c>
      <x:c r="BC30" t="e">
        <x:f>IFERROR('Empirical data'!F175*100,NA())</x:f>
        <x:v>#N/A</x:v>
      </x:c>
      <x:c r="BD30" t="e">
        <x:f>IFERROR('Empirical data'!F195*100,NA())</x:f>
        <x:v>#N/A</x:v>
      </x:c>
    </x:row>
    <x:row r="31" ht="18" customHeight="1">
      <x:c r="A31" s="246" t="str">
        <x:v>4</x:v>
      </x:c>
      <x:c r="B31" s="247" t="n">
        <x:f>IFERROR('Empirical data'!C56*100,NA())</x:f>
        <x:v>15.384615384615385</x:v>
      </x:c>
      <x:c r="C31" s="247" t="n">
        <x:f>IFERROR('Empirical data'!C57*100,NA())</x:f>
        <x:v>100</x:v>
      </x:c>
      <x:c r="D31" s="247" t="n">
        <x:f>IFERROR('Empirical data'!C76*100,NA())</x:f>
        <x:v>64.28571428571429</x:v>
      </x:c>
      <x:c r="E31" s="247" t="n">
        <x:f>IFERROR('Empirical data'!C77*100,NA())</x:f>
        <x:v>66.66666666666666</x:v>
      </x:c>
      <x:c r="F31" s="247" t="n">
        <x:f>IFERROR('Empirical data'!C59*100,NA())</x:f>
        <x:v>9.615384615384617</x:v>
      </x:c>
      <x:c r="G31" s="248" t="n">
        <x:f>IFERROR('Empirical data'!C79*100,NA())</x:f>
        <x:v>28.57142857142857</x:v>
      </x:c>
      <x:c r="H31" s="246" t="str">
        <x:v>4</x:v>
      </x:c>
      <x:c r="I31" s="247" t="n">
        <x:f>IFERROR('Empirical data'!D56*100,NA())</x:f>
        <x:v>38.46153846153847</x:v>
      </x:c>
      <x:c r="J31" s="247" t="n">
        <x:f>IFERROR('Empirical data'!D57*100,NA())</x:f>
        <x:v>100</x:v>
      </x:c>
      <x:c r="K31" s="247" t="n">
        <x:f>IFERROR('Empirical data'!D76*100,NA())</x:f>
        <x:v>78.57142857142857</x:v>
      </x:c>
      <x:c r="L31" s="247" t="n">
        <x:f>IFERROR('Empirical data'!D77*100,NA())</x:f>
        <x:v>33.33333333333333</x:v>
      </x:c>
      <x:c r="M31" s="247" t="n">
        <x:f>IFERROR('Empirical data'!D59*100,NA())</x:f>
        <x:v>5.769230769230769</x:v>
      </x:c>
      <x:c r="N31" s="248" t="n">
        <x:f>IFERROR('Empirical data'!D79*100,NA())</x:f>
        <x:v>42.85714285714286</x:v>
      </x:c>
      <x:c r="O31" s="246" t="str">
        <x:v>4</x:v>
      </x:c>
      <x:c r="P31" s="247" t="n">
        <x:f>IFERROR('Empirical data'!E56*100,NA())</x:f>
        <x:v>0</x:v>
      </x:c>
      <x:c r="Q31" s="247" t="n">
        <x:f>IFERROR('Empirical data'!E57*100,NA())</x:f>
        <x:v>100</x:v>
      </x:c>
      <x:c r="R31" s="247" t="n">
        <x:f>IFERROR('Empirical data'!E76*100,NA())</x:f>
        <x:v>50</x:v>
      </x:c>
      <x:c r="S31" s="247" t="n">
        <x:f>IFERROR('Empirical data'!E77*100,NA())</x:f>
        <x:v>100</x:v>
      </x:c>
      <x:c r="T31" s="247" t="n">
        <x:f>IFERROR('Empirical data'!E59*100,NA())</x:f>
        <x:v>0</x:v>
      </x:c>
      <x:c r="U31" s="248" t="n">
        <x:f>IFERROR('Empirical data'!E79*100,NA())</x:f>
        <x:v>7.142857142857142</x:v>
      </x:c>
      <x:c r="V31" s="246" t="str">
        <x:v>4</x:v>
      </x:c>
      <x:c r="W31" s="247" t="n">
        <x:f>IFERROR('Empirical data'!F56*100,NA())</x:f>
        <x:v>84.61538461538461</x:v>
      </x:c>
      <x:c r="X31" s="247" t="n">
        <x:f>IFERROR('Empirical data'!F57*100,NA())</x:f>
        <x:v>0</x:v>
      </x:c>
      <x:c r="Y31" s="247" t="n">
        <x:f>IFERROR('Empirical data'!F76*100,NA())</x:f>
        <x:v>100</x:v>
      </x:c>
      <x:c r="Z31" s="247" t="n">
        <x:f>IFERROR('Empirical data'!F77*100,NA())</x:f>
        <x:v>0</x:v>
      </x:c>
      <x:c r="AA31" s="247" t="n">
        <x:f>IFERROR('Empirical data'!F59*100,NA())</x:f>
        <x:v>28.846153846153843</x:v>
      </x:c>
      <x:c r="AB31" s="248" t="n">
        <x:f>IFERROR('Empirical data'!F79*100,NA())</x:f>
        <x:v>40.476190476190474</x:v>
      </x:c>
      <x:c r="AC31" t="str">
        <x:v>4</x:v>
      </x:c>
      <x:c r="AD31" t="e">
        <x:f>IFERROR('Empirical data'!C176*100,NA())</x:f>
        <x:v>#N/A</x:v>
      </x:c>
      <x:c r="AE31" t="n">
        <x:f>IFERROR('Empirical data'!C177*100,NA())</x:f>
        <x:v>94.11764705882352</x:v>
      </x:c>
      <x:c r="AF31" t="e">
        <x:f>IFERROR('Empirical data'!C196*100,NA())</x:f>
        <x:v>#N/A</x:v>
      </x:c>
      <x:c r="AG31" t="n">
        <x:f>IFERROR('Empirical data'!C197*100,NA())</x:f>
        <x:v>88.23529411764706</x:v>
      </x:c>
      <x:c r="AH31" t="e">
        <x:f>IFERROR('Empirical data'!C179*100,NA())</x:f>
        <x:v>#N/A</x:v>
      </x:c>
      <x:c r="AI31" t="e">
        <x:f>IFERROR('Empirical data'!C199*100,NA())</x:f>
        <x:v>#N/A</x:v>
      </x:c>
      <x:c r="AJ31" t="str">
        <x:v>4</x:v>
      </x:c>
      <x:c r="AK31" t="e">
        <x:f>IFERROR('Empirical data'!D176*100,NA())</x:f>
        <x:v>#N/A</x:v>
      </x:c>
      <x:c r="AL31" t="n">
        <x:f>IFERROR('Empirical data'!D177*100,NA())</x:f>
        <x:v>82.35294117647058</x:v>
      </x:c>
      <x:c r="AM31" t="e">
        <x:f>IFERROR('Empirical data'!D196*100,NA())</x:f>
        <x:v>#N/A</x:v>
      </x:c>
      <x:c r="AN31" t="n">
        <x:f>IFERROR('Empirical data'!D197*100,NA())</x:f>
        <x:v>88.23529411764706</x:v>
      </x:c>
      <x:c r="AO31" t="e">
        <x:f>IFERROR('Empirical data'!D179*100,NA())</x:f>
        <x:v>#N/A</x:v>
      </x:c>
      <x:c r="AP31" t="e">
        <x:f>IFERROR('Empirical data'!D199*100,NA())</x:f>
        <x:v>#N/A</x:v>
      </x:c>
      <x:c r="AQ31" t="str">
        <x:v>4</x:v>
      </x:c>
      <x:c r="AR31" t="e">
        <x:f>IFERROR('Empirical data'!E176*100,NA())</x:f>
        <x:v>#N/A</x:v>
      </x:c>
      <x:c r="AS31" t="n">
        <x:f>IFERROR('Empirical data'!E177*100,NA())</x:f>
        <x:v>100</x:v>
      </x:c>
      <x:c r="AT31" t="e">
        <x:f>IFERROR('Empirical data'!E196*100,NA())</x:f>
        <x:v>#N/A</x:v>
      </x:c>
      <x:c r="AU31" t="n">
        <x:f>IFERROR('Empirical data'!E197*100,NA())</x:f>
        <x:v>100</x:v>
      </x:c>
      <x:c r="AV31" t="e">
        <x:f>IFERROR('Empirical data'!E179*100,NA())</x:f>
        <x:v>#N/A</x:v>
      </x:c>
      <x:c r="AW31" t="e">
        <x:f>IFERROR('Empirical data'!E199*100,NA())</x:f>
        <x:v>#N/A</x:v>
      </x:c>
      <x:c r="AX31" t="str">
        <x:v>4</x:v>
      </x:c>
      <x:c r="AY31" t="e">
        <x:f>IFERROR('Empirical data'!F176*100,NA())</x:f>
        <x:v>#N/A</x:v>
      </x:c>
      <x:c r="AZ31" t="n">
        <x:f>IFERROR('Empirical data'!F177*100,NA())</x:f>
        <x:v>52.94117647058824</x:v>
      </x:c>
      <x:c r="BA31" t="e">
        <x:f>IFERROR('Empirical data'!F196*100,NA())</x:f>
        <x:v>#N/A</x:v>
      </x:c>
      <x:c r="BB31" t="n">
        <x:f>IFERROR('Empirical data'!F197*100,NA())</x:f>
        <x:v>5.88235294117647</x:v>
      </x:c>
      <x:c r="BC31" t="e">
        <x:f>IFERROR('Empirical data'!F179*100,NA())</x:f>
        <x:v>#N/A</x:v>
      </x:c>
      <x:c r="BD31" t="e">
        <x:f>IFERROR('Empirical data'!F199*100,NA())</x:f>
        <x:v>#N/A</x:v>
      </x:c>
    </x:row>
    <x:row r="32" ht="18" customHeight="1"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</x:row>
    <x:row r="33" ht="18" customHeight="1">
      <x:c r="A33" s="277" t="str">
        <x:v>Empirical data — Posterior MMD — M0–M3 (4/5/5/7 parameters)</x:v>
      </x:c>
      <x:c r="B33" s="277"/>
      <x:c r="C33" s="277"/>
      <x:c r="D33" s="277"/>
      <x:c r="E33" s="277"/>
      <x:c r="F33" s="277"/>
      <x:c r="G33" s="277"/>
      <x:c r="H33" s="277"/>
      <x:c r="I33" s="277"/>
      <x:c r="J33" s="277"/>
      <x:c r="K33" s="277"/>
      <x:c r="L33" s="277"/>
      <x:c r="M33" s="277"/>
      <x:c r="N33" s="277"/>
      <x:c r="O33" s="277"/>
      <x:c r="P33" s="277"/>
      <x:c r="Q33" s="277"/>
      <x:c r="R33" s="277"/>
      <x:c r="S33" s="277"/>
      <x:c r="T33" s="277"/>
      <x:c r="U33" s="277"/>
      <x:c r="V33" s="277"/>
      <x:c r="W33" s="277"/>
      <x:c r="X33" s="277"/>
      <x:c r="Y33" s="277"/>
      <x:c r="Z33" s="277"/>
      <x:c r="AA33" s="277"/>
      <x:c r="AB33" s="277"/>
      <x:c r="AC33" t="str">
        <x:v>Empirical data — Posterior MMD — M0–M3 (4/5/5/7 parameters)</x:v>
      </x:c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/>
      <x:c r="BA33"/>
      <x:c r="BB33"/>
      <x:c r="BC33"/>
      <x:c r="BD33"/>
    </x:row>
    <x:row r="34" ht="18" customHeight="1">
      <x:c r="A34" s="283" t="str">
        <x:v>S/D</x:v>
      </x:c>
      <x:c r="B34" s="284" t="str">
        <x:v>M1 FNR</x:v>
      </x:c>
      <x:c r="C34" s="284" t="str">
        <x:v>M1 FPR</x:v>
      </x:c>
      <x:c r="D34" s="284" t="str">
        <x:v>M3 FNR</x:v>
      </x:c>
      <x:c r="E34" s="284" t="str">
        <x:v>M3 FPR</x:v>
      </x:c>
      <x:c r="F34" s="284" t="str">
        <x:v>M1 AUC</x:v>
      </x:c>
      <x:c r="G34" s="285" t="str">
        <x:v>M3 AUC</x:v>
      </x:c>
      <x:c r="H34" s="283" t="str">
        <x:v>S/D</x:v>
      </x:c>
      <x:c r="I34" s="284" t="str">
        <x:v>M1 FNR</x:v>
      </x:c>
      <x:c r="J34" s="284" t="str">
        <x:v>M1 FPR</x:v>
      </x:c>
      <x:c r="K34" s="284" t="str">
        <x:v>M3 FNR</x:v>
      </x:c>
      <x:c r="L34" s="284" t="str">
        <x:v>M3 FPR</x:v>
      </x:c>
      <x:c r="M34" s="284" t="str">
        <x:v>M1 AUC</x:v>
      </x:c>
      <x:c r="N34" s="285" t="str">
        <x:v>M3 AUC</x:v>
      </x:c>
      <x:c r="O34" s="283" t="str">
        <x:v>S/D</x:v>
      </x:c>
      <x:c r="P34" s="284" t="str">
        <x:v>M1 FNR</x:v>
      </x:c>
      <x:c r="Q34" s="284" t="str">
        <x:v>M1 FPR</x:v>
      </x:c>
      <x:c r="R34" s="284" t="str">
        <x:v>M3 FNR</x:v>
      </x:c>
      <x:c r="S34" s="284" t="str">
        <x:v>M3 FPR</x:v>
      </x:c>
      <x:c r="T34" s="284" t="str">
        <x:v>M1 AUC</x:v>
      </x:c>
      <x:c r="U34" s="285" t="str">
        <x:v>M3 AUC</x:v>
      </x:c>
      <x:c r="V34" s="283" t="str">
        <x:v>S/D</x:v>
      </x:c>
      <x:c r="W34" s="284" t="str">
        <x:v>M1 FNR</x:v>
      </x:c>
      <x:c r="X34" s="284" t="str">
        <x:v>M1 FPR</x:v>
      </x:c>
      <x:c r="Y34" s="284" t="str">
        <x:v>M3 FNR</x:v>
      </x:c>
      <x:c r="Z34" s="284" t="str">
        <x:v>M3 FPR</x:v>
      </x:c>
      <x:c r="AA34" s="284" t="str">
        <x:v>M1 AUC</x:v>
      </x:c>
      <x:c r="AB34" s="285" t="str">
        <x:v>M3 AUC</x:v>
      </x:c>
      <x:c r="AC34" t="str">
        <x:v>S/D</x:v>
      </x:c>
      <x:c r="AD34" t="str">
        <x:v>M0 FNR</x:v>
      </x:c>
      <x:c r="AE34" t="str">
        <x:v>M0 FPR</x:v>
      </x:c>
      <x:c r="AF34" t="str">
        <x:v>M2 FNR</x:v>
      </x:c>
      <x:c r="AG34" t="str">
        <x:v>M2 FPR</x:v>
      </x:c>
      <x:c r="AH34" t="str">
        <x:v>M0 AUC</x:v>
      </x:c>
      <x:c r="AI34" t="str">
        <x:v>M2 AUC</x:v>
      </x:c>
      <x:c r="AJ34" t="str">
        <x:v>S/D</x:v>
      </x:c>
      <x:c r="AK34" t="str">
        <x:v>M0 FNR</x:v>
      </x:c>
      <x:c r="AL34" t="str">
        <x:v>M0 FPR</x:v>
      </x:c>
      <x:c r="AM34" t="str">
        <x:v>M2 FNR</x:v>
      </x:c>
      <x:c r="AN34" t="str">
        <x:v>M2 FPR</x:v>
      </x:c>
      <x:c r="AO34" t="str">
        <x:v>M0 AUC</x:v>
      </x:c>
      <x:c r="AP34" t="str">
        <x:v>M2 AUC</x:v>
      </x:c>
      <x:c r="AQ34" t="str">
        <x:v>S/D</x:v>
      </x:c>
      <x:c r="AR34" t="str">
        <x:v>M0 FNR</x:v>
      </x:c>
      <x:c r="AS34" t="str">
        <x:v>M0 FPR</x:v>
      </x:c>
      <x:c r="AT34" t="str">
        <x:v>M2 FNR</x:v>
      </x:c>
      <x:c r="AU34" t="str">
        <x:v>M2 FPR</x:v>
      </x:c>
      <x:c r="AV34" t="str">
        <x:v>M0 AUC</x:v>
      </x:c>
      <x:c r="AW34" t="str">
        <x:v>M2 AUC</x:v>
      </x:c>
      <x:c r="AX34" t="str">
        <x:v>S/D</x:v>
      </x:c>
      <x:c r="AY34" t="str">
        <x:v>M0 FNR</x:v>
      </x:c>
      <x:c r="AZ34" t="str">
        <x:v>M0 FPR</x:v>
      </x:c>
      <x:c r="BA34" t="str">
        <x:v>M2 FNR</x:v>
      </x:c>
      <x:c r="BB34" t="str">
        <x:v>M2 FPR</x:v>
      </x:c>
      <x:c r="BC34" t="str">
        <x:v>M0 AUC</x:v>
      </x:c>
      <x:c r="BD34" t="str">
        <x:v>M2 AUC</x:v>
      </x:c>
    </x:row>
    <x:row r="35" ht="18" customHeight="1">
      <x:c r="A35" s="240" t="str">
        <x:v>1</x:v>
      </x:c>
      <x:c r="B35" s="241" t="n">
        <x:f>IFERROR('Empirical data'!C88*100,NA())</x:f>
        <x:v>12.5</x:v>
      </x:c>
      <x:c r="C35" s="241" t="n">
        <x:f>IFERROR('Empirical data'!C89*100,NA())</x:f>
        <x:v>100</x:v>
      </x:c>
      <x:c r="D35" s="241" t="n">
        <x:f>IFERROR('Empirical data'!C108*100,NA())</x:f>
        <x:v>77.77777777777779</x:v>
      </x:c>
      <x:c r="E35" s="241" t="n">
        <x:f>IFERROR('Empirical data'!C109*100,NA())</x:f>
        <x:v>50</x:v>
      </x:c>
      <x:c r="F35" s="241" t="n">
        <x:f>IFERROR('Empirical data'!C91*100,NA())</x:f>
        <x:v>50</x:v>
      </x:c>
      <x:c r="G35" s="242" t="n">
        <x:f>IFERROR('Empirical data'!C111*100,NA())</x:f>
        <x:v>27.77777777777778</x:v>
      </x:c>
      <x:c r="H35" s="240" t="str">
        <x:v>1</x:v>
      </x:c>
      <x:c r="I35" s="241" t="n">
        <x:f>IFERROR('Empirical data'!D88*100,NA())</x:f>
        <x:v>0</x:v>
      </x:c>
      <x:c r="J35" s="241" t="n">
        <x:f>IFERROR('Empirical data'!D89*100,NA())</x:f>
        <x:v>100</x:v>
      </x:c>
      <x:c r="K35" s="241" t="n">
        <x:f>IFERROR('Empirical data'!D108*100,NA())</x:f>
        <x:v>77.77777777777779</x:v>
      </x:c>
      <x:c r="L35" s="241" t="n">
        <x:f>IFERROR('Empirical data'!D109*100,NA())</x:f>
        <x:v>37.5</x:v>
      </x:c>
      <x:c r="M35" s="241" t="n">
        <x:f>IFERROR('Empirical data'!D91*100,NA())</x:f>
        <x:v>43.75</x:v>
      </x:c>
      <x:c r="N35" s="242" t="n">
        <x:f>IFERROR('Empirical data'!D111*100,NA())</x:f>
        <x:v>33.333333333333336</x:v>
      </x:c>
      <x:c r="O35" s="240" t="str">
        <x:v>1</x:v>
      </x:c>
      <x:c r="P35" s="241" t="n">
        <x:f>IFERROR('Empirical data'!E88*100,NA())</x:f>
        <x:v>37.5</x:v>
      </x:c>
      <x:c r="Q35" s="241" t="n">
        <x:f>IFERROR('Empirical data'!E89*100,NA())</x:f>
        <x:v>0</x:v>
      </x:c>
      <x:c r="R35" s="241" t="n">
        <x:f>IFERROR('Empirical data'!E108*100,NA())</x:f>
        <x:v>88.88888888888889</x:v>
      </x:c>
      <x:c r="S35" s="241" t="n">
        <x:f>IFERROR('Empirical data'!E109*100,NA())</x:f>
        <x:v>37.5</x:v>
      </x:c>
      <x:c r="T35" s="241" t="n">
        <x:f>IFERROR('Empirical data'!E91*100,NA())</x:f>
        <x:v>81.25</x:v>
      </x:c>
      <x:c r="U35" s="242" t="n">
        <x:f>IFERROR('Empirical data'!E111*100,NA())</x:f>
        <x:v>50</x:v>
      </x:c>
      <x:c r="V35" s="240" t="str">
        <x:v>1</x:v>
      </x:c>
      <x:c r="W35" s="241" t="n">
        <x:f>IFERROR('Empirical data'!F88*100,NA())</x:f>
        <x:v>81.25</x:v>
      </x:c>
      <x:c r="X35" s="241" t="n">
        <x:f>IFERROR('Empirical data'!F89*100,NA())</x:f>
        <x:v>0</x:v>
      </x:c>
      <x:c r="Y35" s="241" t="n">
        <x:f>IFERROR('Empirical data'!F108*100,NA())</x:f>
        <x:v>100</x:v>
      </x:c>
      <x:c r="Z35" s="241" t="n">
        <x:f>IFERROR('Empirical data'!F109*100,NA())</x:f>
        <x:v>0</x:v>
      </x:c>
      <x:c r="AA35" s="241" t="n">
        <x:f>IFERROR('Empirical data'!F91*100,NA())</x:f>
        <x:v>25</x:v>
      </x:c>
      <x:c r="AB35" s="242" t="n">
        <x:f>IFERROR('Empirical data'!F111*100,NA())</x:f>
        <x:v>34.72222222222222</x:v>
      </x:c>
      <x:c r="AC35" t="str">
        <x:v>1</x:v>
      </x:c>
      <x:c r="AD35" t="n">
        <x:f>IFERROR('Empirical data'!C208*100,NA())</x:f>
        <x:v>20</x:v>
      </x:c>
      <x:c r="AE35" t="n">
        <x:f>IFERROR('Empirical data'!C209*100,NA())</x:f>
        <x:v>100</x:v>
      </x:c>
      <x:c r="AF35" t="n">
        <x:f>IFERROR('Empirical data'!C228*100,NA())</x:f>
        <x:v>33.33333333333333</x:v>
      </x:c>
      <x:c r="AG35" t="n">
        <x:f>IFERROR('Empirical data'!C229*100,NA())</x:f>
        <x:v>100</x:v>
      </x:c>
      <x:c r="AH35" t="n">
        <x:f>IFERROR('Empirical data'!C211*100,NA())</x:f>
        <x:v>50</x:v>
      </x:c>
      <x:c r="AI35" t="n">
        <x:f>IFERROR('Empirical data'!C231*100,NA())</x:f>
        <x:v>30</x:v>
      </x:c>
      <x:c r="AJ35" t="str">
        <x:v>1</x:v>
      </x:c>
      <x:c r="AK35" t="n">
        <x:f>IFERROR('Empirical data'!D208*100,NA())</x:f>
        <x:v>6.666666666666667</x:v>
      </x:c>
      <x:c r="AL35" t="n">
        <x:f>IFERROR('Empirical data'!D209*100,NA())</x:f>
        <x:v>100</x:v>
      </x:c>
      <x:c r="AM35" t="n">
        <x:f>IFERROR('Empirical data'!D228*100,NA())</x:f>
        <x:v>73.33333333333333</x:v>
      </x:c>
      <x:c r="AN35" t="n">
        <x:f>IFERROR('Empirical data'!D229*100,NA())</x:f>
        <x:v>50</x:v>
      </x:c>
      <x:c r="AO35" t="n">
        <x:f>IFERROR('Empirical data'!D211*100,NA())</x:f>
        <x:v>43.333333333333336</x:v>
      </x:c>
      <x:c r="AP35" t="n">
        <x:f>IFERROR('Empirical data'!D231*100,NA())</x:f>
        <x:v>36.666666666666664</x:v>
      </x:c>
      <x:c r="AQ35" t="str">
        <x:v>1</x:v>
      </x:c>
      <x:c r="AR35" t="n">
        <x:f>IFERROR('Empirical data'!E208*100,NA())</x:f>
        <x:v>26.666666666666668</x:v>
      </x:c>
      <x:c r="AS35" t="n">
        <x:f>IFERROR('Empirical data'!E209*100,NA())</x:f>
        <x:v>0</x:v>
      </x:c>
      <x:c r="AT35" t="n">
        <x:f>IFERROR('Empirical data'!E228*100,NA())</x:f>
        <x:v>26.666666666666668</x:v>
      </x:c>
      <x:c r="AU35" t="n">
        <x:f>IFERROR('Empirical data'!E229*100,NA())</x:f>
        <x:v>0</x:v>
      </x:c>
      <x:c r="AV35" t="n">
        <x:f>IFERROR('Empirical data'!E211*100,NA())</x:f>
        <x:v>73.33333333333333</x:v>
      </x:c>
      <x:c r="AW35" t="n">
        <x:f>IFERROR('Empirical data'!E231*100,NA())</x:f>
        <x:v>93.33333333333333</x:v>
      </x:c>
      <x:c r="AX35" t="str">
        <x:v>1</x:v>
      </x:c>
      <x:c r="AY35" t="n">
        <x:f>IFERROR('Empirical data'!F208*100,NA())</x:f>
        <x:v>100</x:v>
      </x:c>
      <x:c r="AZ35" t="n">
        <x:f>IFERROR('Empirical data'!F209*100,NA())</x:f>
        <x:v>50</x:v>
      </x:c>
      <x:c r="BA35" t="n">
        <x:f>IFERROR('Empirical data'!F228*100,NA())</x:f>
        <x:v>86.66666666666667</x:v>
      </x:c>
      <x:c r="BB35" t="n">
        <x:f>IFERROR('Empirical data'!F229*100,NA())</x:f>
        <x:v>0</x:v>
      </x:c>
      <x:c r="BC35" t="n">
        <x:f>IFERROR('Empirical data'!F211*100,NA())</x:f>
        <x:v>13.333333333333334</x:v>
      </x:c>
      <x:c r="BD35" t="n">
        <x:f>IFERROR('Empirical data'!F231*100,NA())</x:f>
        <x:v>30</x:v>
      </x:c>
    </x:row>
    <x:row r="36" ht="18" customHeight="1">
      <x:c r="A36" s="243" t="str">
        <x:v>2</x:v>
      </x:c>
      <x:c r="B36" s="244" t="n">
        <x:f>IFERROR('Empirical data'!C92*100,NA())</x:f>
        <x:v>64.28571428571429</x:v>
      </x:c>
      <x:c r="C36" s="244" t="n">
        <x:f>IFERROR('Empirical data'!C93*100,NA())</x:f>
        <x:v>0</x:v>
      </x:c>
      <x:c r="D36" s="244" t="n">
        <x:f>IFERROR('Empirical data'!C112*100,NA())</x:f>
        <x:v>58.82352941176471</x:v>
      </x:c>
      <x:c r="E36" s="244" t="e">
        <x:f>IFERROR('Empirical data'!C113*100,NA())</x:f>
        <x:v>#N/A</x:v>
      </x:c>
      <x:c r="F36" s="244" t="n">
        <x:f>IFERROR('Empirical data'!C95*100,NA())</x:f>
        <x:v>66.66666666666667</x:v>
      </x:c>
      <x:c r="G36" s="245" t="e">
        <x:f>IFERROR('Empirical data'!C115*100,NA())</x:f>
        <x:v>#N/A</x:v>
      </x:c>
      <x:c r="H36" s="243" t="str">
        <x:v>2</x:v>
      </x:c>
      <x:c r="I36" s="244" t="n">
        <x:f>IFERROR('Empirical data'!D92*100,NA())</x:f>
        <x:v>14.285714285714285</x:v>
      </x:c>
      <x:c r="J36" s="244" t="n">
        <x:f>IFERROR('Empirical data'!D93*100,NA())</x:f>
        <x:v>66.66666666666666</x:v>
      </x:c>
      <x:c r="K36" s="244" t="n">
        <x:f>IFERROR('Empirical data'!D112*100,NA())</x:f>
        <x:v>88.23529411764706</x:v>
      </x:c>
      <x:c r="L36" s="244" t="e">
        <x:f>IFERROR('Empirical data'!D113*100,NA())</x:f>
        <x:v>#N/A</x:v>
      </x:c>
      <x:c r="M36" s="244" t="n">
        <x:f>IFERROR('Empirical data'!D95*100,NA())</x:f>
        <x:v>71.42857142857143</x:v>
      </x:c>
      <x:c r="N36" s="245" t="e">
        <x:f>IFERROR('Empirical data'!D115*100,NA())</x:f>
        <x:v>#N/A</x:v>
      </x:c>
      <x:c r="O36" s="243" t="str">
        <x:v>2</x:v>
      </x:c>
      <x:c r="P36" s="244" t="n">
        <x:f>IFERROR('Empirical data'!E92*100,NA())</x:f>
        <x:v>14.285714285714285</x:v>
      </x:c>
      <x:c r="Q36" s="244" t="n">
        <x:f>IFERROR('Empirical data'!E93*100,NA())</x:f>
        <x:v>66.66666666666666</x:v>
      </x:c>
      <x:c r="R36" s="244" t="n">
        <x:f>IFERROR('Empirical data'!E112*100,NA())</x:f>
        <x:v>82.35294117647058</x:v>
      </x:c>
      <x:c r="S36" s="244" t="e">
        <x:f>IFERROR('Empirical data'!E113*100,NA())</x:f>
        <x:v>#N/A</x:v>
      </x:c>
      <x:c r="T36" s="244" t="n">
        <x:f>IFERROR('Empirical data'!E95*100,NA())</x:f>
        <x:v>64.28571428571429</x:v>
      </x:c>
      <x:c r="U36" s="245" t="e">
        <x:f>IFERROR('Empirical data'!E115*100,NA())</x:f>
        <x:v>#N/A</x:v>
      </x:c>
      <x:c r="V36" s="243" t="str">
        <x:v>2</x:v>
      </x:c>
      <x:c r="W36" s="244" t="n">
        <x:f>IFERROR('Empirical data'!F92*100,NA())</x:f>
        <x:v>100</x:v>
      </x:c>
      <x:c r="X36" s="244" t="n">
        <x:f>IFERROR('Empirical data'!F93*100,NA())</x:f>
        <x:v>0</x:v>
      </x:c>
      <x:c r="Y36" s="244" t="n">
        <x:f>IFERROR('Empirical data'!F112*100,NA())</x:f>
        <x:v>100</x:v>
      </x:c>
      <x:c r="Z36" s="244" t="e">
        <x:f>IFERROR('Empirical data'!F113*100,NA())</x:f>
        <x:v>#N/A</x:v>
      </x:c>
      <x:c r="AA36" s="244" t="n">
        <x:f>IFERROR('Empirical data'!F95*100,NA())</x:f>
        <x:v>61.904761904761905</x:v>
      </x:c>
      <x:c r="AB36" s="245" t="e">
        <x:f>IFERROR('Empirical data'!F115*100,NA())</x:f>
        <x:v>#N/A</x:v>
      </x:c>
      <x:c r="AC36" t="str">
        <x:v>2</x:v>
      </x:c>
      <x:c r="AD36" t="n">
        <x:f>IFERROR('Empirical data'!C212*100,NA())</x:f>
        <x:v>0</x:v>
      </x:c>
      <x:c r="AE36" t="n">
        <x:f>IFERROR('Empirical data'!C213*100,NA())</x:f>
        <x:v>100</x:v>
      </x:c>
      <x:c r="AF36" t="n">
        <x:f>IFERROR('Empirical data'!C232*100,NA())</x:f>
        <x:v>50</x:v>
      </x:c>
      <x:c r="AG36" t="n">
        <x:f>IFERROR('Empirical data'!C233*100,NA())</x:f>
        <x:v>0</x:v>
      </x:c>
      <x:c r="AH36" t="n">
        <x:f>IFERROR('Empirical data'!C215*100,NA())</x:f>
        <x:v>70</x:v>
      </x:c>
      <x:c r="AI36" t="n">
        <x:f>IFERROR('Empirical data'!C235*100,NA())</x:f>
        <x:v>81.25</x:v>
      </x:c>
      <x:c r="AJ36" t="str">
        <x:v>2</x:v>
      </x:c>
      <x:c r="AK36" t="n">
        <x:f>IFERROR('Empirical data'!D212*100,NA())</x:f>
        <x:v>0</x:v>
      </x:c>
      <x:c r="AL36" t="n">
        <x:f>IFERROR('Empirical data'!D213*100,NA())</x:f>
        <x:v>100</x:v>
      </x:c>
      <x:c r="AM36" t="n">
        <x:f>IFERROR('Empirical data'!D232*100,NA())</x:f>
        <x:v>0</x:v>
      </x:c>
      <x:c r="AN36" t="n">
        <x:f>IFERROR('Empirical data'!D233*100,NA())</x:f>
        <x:v>100</x:v>
      </x:c>
      <x:c r="AO36" t="n">
        <x:f>IFERROR('Empirical data'!D215*100,NA())</x:f>
        <x:v>68.33333333333333</x:v>
      </x:c>
      <x:c r="AP36" t="n">
        <x:f>IFERROR('Empirical data'!D235*100,NA())</x:f>
        <x:v>93.75</x:v>
      </x:c>
      <x:c r="AQ36" t="str">
        <x:v>2</x:v>
      </x:c>
      <x:c r="AR36" t="n">
        <x:f>IFERROR('Empirical data'!E212*100,NA())</x:f>
        <x:v>0</x:v>
      </x:c>
      <x:c r="AS36" t="n">
        <x:f>IFERROR('Empirical data'!E213*100,NA())</x:f>
        <x:v>100</x:v>
      </x:c>
      <x:c r="AT36" t="n">
        <x:f>IFERROR('Empirical data'!E232*100,NA())</x:f>
        <x:v>0</x:v>
      </x:c>
      <x:c r="AU36" t="n">
        <x:f>IFERROR('Empirical data'!E233*100,NA())</x:f>
        <x:v>100</x:v>
      </x:c>
      <x:c r="AV36" t="n">
        <x:f>IFERROR('Empirical data'!E215*100,NA())</x:f>
        <x:v>63.33333333333333</x:v>
      </x:c>
      <x:c r="AW36" t="n">
        <x:f>IFERROR('Empirical data'!E235*100,NA())</x:f>
        <x:v>50</x:v>
      </x:c>
      <x:c r="AX36" t="str">
        <x:v>2</x:v>
      </x:c>
      <x:c r="AY36" t="n">
        <x:f>IFERROR('Empirical data'!F212*100,NA())</x:f>
        <x:v>50</x:v>
      </x:c>
      <x:c r="AZ36" t="n">
        <x:f>IFERROR('Empirical data'!F213*100,NA())</x:f>
        <x:v>20</x:v>
      </x:c>
      <x:c r="BA36" t="n">
        <x:f>IFERROR('Empirical data'!F232*100,NA())</x:f>
        <x:v>93.75</x:v>
      </x:c>
      <x:c r="BB36" t="n">
        <x:f>IFERROR('Empirical data'!F233*100,NA())</x:f>
        <x:v>0</x:v>
      </x:c>
      <x:c r="BC36" t="n">
        <x:f>IFERROR('Empirical data'!F215*100,NA())</x:f>
        <x:v>66.66666666666666</x:v>
      </x:c>
      <x:c r="BD36" t="n">
        <x:f>IFERROR('Empirical data'!F235*100,NA())</x:f>
        <x:v>100</x:v>
      </x:c>
    </x:row>
    <x:row r="37" ht="18" customHeight="1">
      <x:c r="A37" s="246" t="str">
        <x:v>4</x:v>
      </x:c>
      <x:c r="B37" s="247" t="n">
        <x:f>IFERROR('Empirical data'!C96*100,NA())</x:f>
        <x:v>13.333333333333334</x:v>
      </x:c>
      <x:c r="C37" s="247" t="n">
        <x:f>IFERROR('Empirical data'!C97*100,NA())</x:f>
        <x:v>100</x:v>
      </x:c>
      <x:c r="D37" s="247" t="n">
        <x:f>IFERROR('Empirical data'!C116*100,NA())</x:f>
        <x:v>62.5</x:v>
      </x:c>
      <x:c r="E37" s="247" t="n">
        <x:f>IFERROR('Empirical data'!C117*100,NA())</x:f>
        <x:v>100</x:v>
      </x:c>
      <x:c r="F37" s="247" t="n">
        <x:f>IFERROR('Empirical data'!C99*100,NA())</x:f>
        <x:v>86.66666666666667</x:v>
      </x:c>
      <x:c r="G37" s="248" t="n">
        <x:f>IFERROR('Empirical data'!C119*100,NA())</x:f>
        <x:v>0</x:v>
      </x:c>
      <x:c r="H37" s="246" t="str">
        <x:v>4</x:v>
      </x:c>
      <x:c r="I37" s="247" t="n">
        <x:f>IFERROR('Empirical data'!D96*100,NA())</x:f>
        <x:v>20</x:v>
      </x:c>
      <x:c r="J37" s="247" t="n">
        <x:f>IFERROR('Empirical data'!D97*100,NA())</x:f>
        <x:v>0</x:v>
      </x:c>
      <x:c r="K37" s="247" t="n">
        <x:f>IFERROR('Empirical data'!D116*100,NA())</x:f>
        <x:v>81.25</x:v>
      </x:c>
      <x:c r="L37" s="247" t="n">
        <x:f>IFERROR('Empirical data'!D117*100,NA())</x:f>
        <x:v>100</x:v>
      </x:c>
      <x:c r="M37" s="247" t="n">
        <x:f>IFERROR('Empirical data'!D99*100,NA())</x:f>
        <x:v>86.66666666666667</x:v>
      </x:c>
      <x:c r="N37" s="248" t="n">
        <x:f>IFERROR('Empirical data'!D119*100,NA())</x:f>
        <x:v>0</x:v>
      </x:c>
      <x:c r="O37" s="246" t="str">
        <x:v>4</x:v>
      </x:c>
      <x:c r="P37" s="247" t="n">
        <x:f>IFERROR('Empirical data'!E96*100,NA())</x:f>
        <x:v>0</x:v>
      </x:c>
      <x:c r="Q37" s="247" t="n">
        <x:f>IFERROR('Empirical data'!E97*100,NA())</x:f>
        <x:v>100</x:v>
      </x:c>
      <x:c r="R37" s="247" t="n">
        <x:f>IFERROR('Empirical data'!E116*100,NA())</x:f>
        <x:v>43.75</x:v>
      </x:c>
      <x:c r="S37" s="247" t="n">
        <x:f>IFERROR('Empirical data'!E117*100,NA())</x:f>
        <x:v>100</x:v>
      </x:c>
      <x:c r="T37" s="247" t="n">
        <x:f>IFERROR('Empirical data'!E99*100,NA())</x:f>
        <x:v>90</x:v>
      </x:c>
      <x:c r="U37" s="248" t="n">
        <x:f>IFERROR('Empirical data'!E119*100,NA())</x:f>
        <x:v>6.25</x:v>
      </x:c>
      <x:c r="V37" s="246" t="str">
        <x:v>4</x:v>
      </x:c>
      <x:c r="W37" s="247" t="n">
        <x:f>IFERROR('Empirical data'!F96*100,NA())</x:f>
        <x:v>86.66666666666667</x:v>
      </x:c>
      <x:c r="X37" s="247" t="n">
        <x:f>IFERROR('Empirical data'!F97*100,NA())</x:f>
        <x:v>0</x:v>
      </x:c>
      <x:c r="Y37" s="247" t="n">
        <x:f>IFERROR('Empirical data'!F116*100,NA())</x:f>
        <x:v>100</x:v>
      </x:c>
      <x:c r="Z37" s="247" t="n">
        <x:f>IFERROR('Empirical data'!F117*100,NA())</x:f>
        <x:v>0</x:v>
      </x:c>
      <x:c r="AA37" s="247" t="n">
        <x:f>IFERROR('Empirical data'!F99*100,NA())</x:f>
        <x:v>73.33333333333334</x:v>
      </x:c>
      <x:c r="AB37" s="248" t="n">
        <x:f>IFERROR('Empirical data'!F119*100,NA())</x:f>
        <x:v>0</x:v>
      </x:c>
      <x:c r="AC37" t="str">
        <x:v>4</x:v>
      </x:c>
      <x:c r="AD37" t="n">
        <x:f>IFERROR('Empirical data'!C216*100,NA())</x:f>
        <x:v>0</x:v>
      </x:c>
      <x:c r="AE37" t="n">
        <x:f>IFERROR('Empirical data'!C217*100,NA())</x:f>
        <x:v>83.33333333333334</x:v>
      </x:c>
      <x:c r="AF37" t="n">
        <x:f>IFERROR('Empirical data'!C236*100,NA())</x:f>
        <x:v>7.142857142857142</x:v>
      </x:c>
      <x:c r="AG37" t="n">
        <x:f>IFERROR('Empirical data'!C237*100,NA())</x:f>
        <x:v>66.66666666666666</x:v>
      </x:c>
      <x:c r="AH37" t="n">
        <x:f>IFERROR('Empirical data'!C219*100,NA())</x:f>
        <x:v>66.66666666666666</x:v>
      </x:c>
      <x:c r="AI37" t="n">
        <x:f>IFERROR('Empirical data'!C239*100,NA())</x:f>
        <x:v>69.04761904761905</x:v>
      </x:c>
      <x:c r="AJ37" t="str">
        <x:v>4</x:v>
      </x:c>
      <x:c r="AK37" t="n">
        <x:f>IFERROR('Empirical data'!D216*100,NA())</x:f>
        <x:v>9.090909090909092</x:v>
      </x:c>
      <x:c r="AL37" t="n">
        <x:f>IFERROR('Empirical data'!D217*100,NA())</x:f>
        <x:v>66.66666666666666</x:v>
      </x:c>
      <x:c r="AM37" t="n">
        <x:f>IFERROR('Empirical data'!D236*100,NA())</x:f>
        <x:v>7.142857142857142</x:v>
      </x:c>
      <x:c r="AN37" t="n">
        <x:f>IFERROR('Empirical data'!D237*100,NA())</x:f>
        <x:v>66.66666666666666</x:v>
      </x:c>
      <x:c r="AO37" t="n">
        <x:f>IFERROR('Empirical data'!D219*100,NA())</x:f>
        <x:v>78.78787878787878</x:v>
      </x:c>
      <x:c r="AP37" t="n">
        <x:f>IFERROR('Empirical data'!D239*100,NA())</x:f>
        <x:v>85.71428571428571</x:v>
      </x:c>
      <x:c r="AQ37" t="str">
        <x:v>4</x:v>
      </x:c>
      <x:c r="AR37" t="n">
        <x:f>IFERROR('Empirical data'!E216*100,NA())</x:f>
        <x:v>0</x:v>
      </x:c>
      <x:c r="AS37" t="n">
        <x:f>IFERROR('Empirical data'!E217*100,NA())</x:f>
        <x:v>100</x:v>
      </x:c>
      <x:c r="AT37" t="n">
        <x:f>IFERROR('Empirical data'!E236*100,NA())</x:f>
        <x:v>0</x:v>
      </x:c>
      <x:c r="AU37" t="n">
        <x:f>IFERROR('Empirical data'!E237*100,NA())</x:f>
        <x:v>100</x:v>
      </x:c>
      <x:c r="AV37" t="n">
        <x:f>IFERROR('Empirical data'!E219*100,NA())</x:f>
        <x:v>69.6969696969697</x:v>
      </x:c>
      <x:c r="AW37" t="n">
        <x:f>IFERROR('Empirical data'!E239*100,NA())</x:f>
        <x:v>88.09523809523809</x:v>
      </x:c>
      <x:c r="AX37" t="str">
        <x:v>4</x:v>
      </x:c>
      <x:c r="AY37" t="n">
        <x:f>IFERROR('Empirical data'!F216*100,NA())</x:f>
        <x:v>45.45454545454545</x:v>
      </x:c>
      <x:c r="AZ37" t="n">
        <x:f>IFERROR('Empirical data'!F217*100,NA())</x:f>
        <x:v>50</x:v>
      </x:c>
      <x:c r="BA37" t="n">
        <x:f>IFERROR('Empirical data'!F236*100,NA())</x:f>
        <x:v>92.85714285714286</x:v>
      </x:c>
      <x:c r="BB37" t="n">
        <x:f>IFERROR('Empirical data'!F237*100,NA())</x:f>
        <x:v>0</x:v>
      </x:c>
      <x:c r="BC37" t="n">
        <x:f>IFERROR('Empirical data'!F219*100,NA())</x:f>
        <x:v>57.57575757575758</x:v>
      </x:c>
      <x:c r="BD37" t="n">
        <x:f>IFERROR('Empirical data'!F239*100,NA())</x:f>
        <x:v>54.761904761904766</x:v>
      </x:c>
    </x:row>
    <x:row r="38" ht="18" customHeight="1"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</x:row>
    <x:row r="39" ht="18" customHeight="1">
      <x:c r="A39" s="277" t="str">
        <x:v>Gaussian data — Signed logML error — M1 (5 parameters) vs M3 (7 parameters)</x:v>
      </x:c>
      <x:c r="B39" s="277"/>
      <x:c r="C39" s="277"/>
      <x:c r="D39" s="277"/>
      <x:c r="E39" s="277"/>
      <x:c r="F39" s="277"/>
      <x:c r="G39" s="277"/>
      <x:c r="H39" s="277"/>
      <x:c r="I39" s="277"/>
      <x:c r="J39" s="277"/>
      <x:c r="K39" s="277"/>
      <x:c r="L39" s="277"/>
      <x:c r="M39" s="277"/>
      <x:c r="N39" s="277"/>
      <x:c r="O39" s="277"/>
      <x:c r="P39" s="277"/>
      <x:c r="Q39" s="277"/>
      <x:c r="R39" s="277"/>
      <x:c r="S39" s="277"/>
      <x:c r="T39" s="277"/>
      <x:c r="U39" s="277"/>
      <x:c r="V39" s="277"/>
      <x:c r="W39" s="277"/>
      <x:c r="X39" s="277"/>
      <x:c r="Y39" s="277"/>
      <x:c r="Z39" s="277"/>
      <x:c r="AA39" s="277"/>
      <x:c r="AB39" s="277"/>
    </x:row>
    <x:row r="40" ht="18" customHeight="1">
      <x:c r="A40" s="283" t="str">
        <x:v>S/D</x:v>
      </x:c>
      <x:c r="B40" s="284" t="str">
        <x:v>M1 FNR</x:v>
      </x:c>
      <x:c r="C40" s="284" t="str">
        <x:v>M1 FPR</x:v>
      </x:c>
      <x:c r="D40" s="284" t="str">
        <x:v>M3 FNR</x:v>
      </x:c>
      <x:c r="E40" s="284" t="str">
        <x:v>M3 FPR</x:v>
      </x:c>
      <x:c r="F40" s="284" t="str">
        <x:v>M1 AUC</x:v>
      </x:c>
      <x:c r="G40" s="285" t="str">
        <x:v>M3 AUC</x:v>
      </x:c>
      <x:c r="H40" s="283" t="str">
        <x:v>S/D</x:v>
      </x:c>
      <x:c r="I40" s="284" t="str">
        <x:v>M1 FNR</x:v>
      </x:c>
      <x:c r="J40" s="284" t="str">
        <x:v>M1 FPR</x:v>
      </x:c>
      <x:c r="K40" s="284" t="str">
        <x:v>M3 FNR</x:v>
      </x:c>
      <x:c r="L40" s="284" t="str">
        <x:v>M3 FPR</x:v>
      </x:c>
      <x:c r="M40" s="284" t="str">
        <x:v>M1 AUC</x:v>
      </x:c>
      <x:c r="N40" s="285" t="str">
        <x:v>M3 AUC</x:v>
      </x:c>
      <x:c r="O40" s="283" t="str">
        <x:v>S/D</x:v>
      </x:c>
      <x:c r="P40" s="284" t="str">
        <x:v>M1 FNR</x:v>
      </x:c>
      <x:c r="Q40" s="284" t="str">
        <x:v>M1 FPR</x:v>
      </x:c>
      <x:c r="R40" s="284" t="str">
        <x:v>M3 FNR</x:v>
      </x:c>
      <x:c r="S40" s="284" t="str">
        <x:v>M3 FPR</x:v>
      </x:c>
      <x:c r="T40" s="284" t="str">
        <x:v>M1 AUC</x:v>
      </x:c>
      <x:c r="U40" s="285" t="str">
        <x:v>M3 AUC</x:v>
      </x:c>
      <x:c r="V40" s="283" t="str">
        <x:v>S/D</x:v>
      </x:c>
      <x:c r="W40" s="284" t="str">
        <x:v>M1 FNR</x:v>
      </x:c>
      <x:c r="X40" s="284" t="str">
        <x:v>M1 FPR</x:v>
      </x:c>
      <x:c r="Y40" s="284" t="str">
        <x:v>M3 FNR</x:v>
      </x:c>
      <x:c r="Z40" s="284" t="str">
        <x:v>M3 FPR</x:v>
      </x:c>
      <x:c r="AA40" s="284" t="str">
        <x:v>M1 AUC</x:v>
      </x:c>
      <x:c r="AB40" s="285" t="str">
        <x:v>M3 AUC</x:v>
      </x:c>
    </x:row>
    <x:row r="41" ht="18" customHeight="1">
      <x:c r="A41" s="240" t="str">
        <x:v>1</x:v>
      </x:c>
      <x:c r="B41" s="241" t="n">
        <x:f>IFERROR('Gaussian data'!C8*100,NA())</x:f>
        <x:v>47.13541666666667</x:v>
      </x:c>
      <x:c r="C41" s="241" t="n">
        <x:f>IFERROR('Gaussian data'!C9*100,NA())</x:f>
        <x:v>3.7037037037037033</x:v>
      </x:c>
      <x:c r="D41" s="241" t="n">
        <x:f>IFERROR('Gaussian data'!C40*100,NA())</x:f>
        <x:v>26.637554585152838</x:v>
      </x:c>
      <x:c r="E41" s="241" t="n">
        <x:f>IFERROR('Gaussian data'!C41*100,NA())</x:f>
        <x:v>38.732394366197184</x:v>
      </x:c>
      <x:c r="F41" s="241" t="n">
        <x:f>IFERROR('Gaussian data'!C11*100,NA())</x:f>
        <x:v>79.41984953703704</x:v>
      </x:c>
      <x:c r="G41" s="242" t="n">
        <x:f>IFERROR('Gaussian data'!C43*100,NA())</x:f>
        <x:v>65.48988252660065</x:v>
      </x:c>
      <x:c r="H41" s="240" t="str">
        <x:v>1</x:v>
      </x:c>
      <x:c r="I41" s="241" t="n">
        <x:f>IFERROR('Gaussian data'!D8*100,NA())</x:f>
        <x:v>49.09090909090909</x:v>
      </x:c>
      <x:c r="J41" s="241" t="n">
        <x:f>IFERROR('Gaussian data'!D9*100,NA())</x:f>
        <x:v>5.116279069767442</x:v>
      </x:c>
      <x:c r="K41" s="241" t="n">
        <x:f>IFERROR('Gaussian data'!D40*100,NA())</x:f>
        <x:v>33.04347826086956</x:v>
      </x:c>
      <x:c r="L41" s="241" t="n">
        <x:f>IFERROR('Gaussian data'!D41*100,NA())</x:f>
        <x:v>28.57142857142857</x:v>
      </x:c>
      <x:c r="M41" s="241" t="n">
        <x:f>IFERROR('Gaussian data'!D11*100,NA())</x:f>
        <x:v>80.54726668680156</x:v>
      </x:c>
      <x:c r="N41" s="242" t="n">
        <x:f>IFERROR('Gaussian data'!D43*100,NA())</x:f>
        <x:v>71.1444099378882</x:v>
      </x:c>
      <x:c r="O41" s="240" t="str">
        <x:v>1</x:v>
      </x:c>
      <x:c r="P41" s="241" t="n">
        <x:f>IFERROR('Gaussian data'!E8*100,NA())</x:f>
        <x:v>54.427083333333336</x:v>
      </x:c>
      <x:c r="Q41" s="241" t="n">
        <x:f>IFERROR('Gaussian data'!E9*100,NA())</x:f>
        <x:v>2.7777777777777777</x:v>
      </x:c>
      <x:c r="R41" s="241" t="n">
        <x:f>IFERROR('Gaussian data'!E40*100,NA())</x:f>
        <x:v>47.161572052401745</x:v>
      </x:c>
      <x:c r="S41" s="241" t="n">
        <x:f>IFERROR('Gaussian data'!E41*100,NA())</x:f>
        <x:v>30.28169014084507</x:v>
      </x:c>
      <x:c r="T41" s="241" t="n">
        <x:f>IFERROR('Gaussian data'!E11*100,NA())</x:f>
        <x:v>82.28443287037037</x:v>
      </x:c>
      <x:c r="U41" s="242" t="n">
        <x:f>IFERROR('Gaussian data'!E43*100,NA())</x:f>
        <x:v>65.0485884740759</x:v>
      </x:c>
      <x:c r="V41" s="240" t="str">
        <x:v>1</x:v>
      </x:c>
      <x:c r="W41" s="241" t="n">
        <x:f>IFERROR('Gaussian data'!F8*100,NA())</x:f>
        <x:v>47.13541666666667</x:v>
      </x:c>
      <x:c r="X41" s="241" t="n">
        <x:f>IFERROR('Gaussian data'!F9*100,NA())</x:f>
        <x:v>4.62962962962963</x:v>
      </x:c>
      <x:c r="Y41" s="241" t="n">
        <x:f>IFERROR('Gaussian data'!F40*100,NA())</x:f>
        <x:v>26.85589519650655</x:v>
      </x:c>
      <x:c r="Z41" s="241" t="n">
        <x:f>IFERROR('Gaussian data'!F41*100,NA())</x:f>
        <x:v>38.732394366197184</x:v>
      </x:c>
      <x:c r="AA41" s="241" t="n">
        <x:f>IFERROR('Gaussian data'!F11*100,NA())</x:f>
        <x:v>78.95688657407408</x:v>
      </x:c>
      <x:c r="AB41" s="242" t="n">
        <x:f>IFERROR('Gaussian data'!F43*100,NA())</x:f>
        <x:v>65.57752629312996</x:v>
      </x:c>
    </x:row>
    <x:row r="42" ht="18" customHeight="1">
      <x:c r="A42" s="243" t="str">
        <x:v>2</x:v>
      </x:c>
      <x:c r="B42" s="244" t="n">
        <x:f>IFERROR('Gaussian data'!C12*100,NA())</x:f>
        <x:v>14.917127071823206</x:v>
      </x:c>
      <x:c r="C42" s="244" t="n">
        <x:f>IFERROR('Gaussian data'!C13*100,NA())</x:f>
        <x:v>17.647058823529413</x:v>
      </x:c>
      <x:c r="D42" s="244" t="n">
        <x:f>IFERROR('Gaussian data'!C44*100,NA())</x:f>
        <x:v>26.706827309236946</x:v>
      </x:c>
      <x:c r="E42" s="244" t="n">
        <x:f>IFERROR('Gaussian data'!C45*100,NA())</x:f>
        <x:v>42.15686274509804</x:v>
      </x:c>
      <x:c r="F42" s="244" t="n">
        <x:f>IFERROR('Gaussian data'!C15*100,NA())</x:f>
        <x:v>89.88462788430289</x:v>
      </x:c>
      <x:c r="G42" s="245" t="n">
        <x:f>IFERROR('Gaussian data'!C47*100,NA())</x:f>
        <x:v>62.126939129065285</x:v>
      </x:c>
      <x:c r="H42" s="243" t="str">
        <x:v>2</x:v>
      </x:c>
      <x:c r="I42" s="244" t="n">
        <x:f>IFERROR('Gaussian data'!D12*100,NA())</x:f>
        <x:v>27.197802197802197</x:v>
      </x:c>
      <x:c r="J42" s="244" t="n">
        <x:f>IFERROR('Gaussian data'!D13*100,NA())</x:f>
        <x:v>5.508474576271186</x:v>
      </x:c>
      <x:c r="K42" s="244" t="n">
        <x:f>IFERROR('Gaussian data'!D44*100,NA())</x:f>
        <x:v>32.59109311740891</x:v>
      </x:c>
      <x:c r="L42" s="244" t="n">
        <x:f>IFERROR('Gaussian data'!D45*100,NA())</x:f>
        <x:v>32.075471698113205</x:v>
      </x:c>
      <x:c r="M42" s="244" t="n">
        <x:f>IFERROR('Gaussian data'!D15*100,NA())</x:f>
        <x:v>90.79321102626187</x:v>
      </x:c>
      <x:c r="N42" s="245" t="n">
        <x:f>IFERROR('Gaussian data'!D47*100,NA())</x:f>
        <x:v>64.74295317393629</x:v>
      </x:c>
      <x:c r="O42" s="243" t="str">
        <x:v>2</x:v>
      </x:c>
      <x:c r="P42" s="244" t="n">
        <x:f>IFERROR('Gaussian data'!E12*100,NA())</x:f>
        <x:v>11.049723756906078</x:v>
      </x:c>
      <x:c r="Q42" s="244" t="n">
        <x:f>IFERROR('Gaussian data'!E13*100,NA())</x:f>
        <x:v>34.03361344537815</x:v>
      </x:c>
      <x:c r="R42" s="244" t="n">
        <x:f>IFERROR('Gaussian data'!E44*100,NA())</x:f>
        <x:v>7.228915662650602</x:v>
      </x:c>
      <x:c r="S42" s="244" t="n">
        <x:f>IFERROR('Gaussian data'!E45*100,NA())</x:f>
        <x:v>52.94117647058824</x:v>
      </x:c>
      <x:c r="T42" s="244" t="n">
        <x:f>IFERROR('Gaussian data'!E15*100,NA())</x:f>
        <x:v>88.09485120014857</x:v>
      </x:c>
      <x:c r="U42" s="245" t="n">
        <x:f>IFERROR('Gaussian data'!E47*100,NA())</x:f>
        <x:v>69.4818489644854</x:v>
      </x:c>
      <x:c r="V42" s="243" t="str">
        <x:v>2</x:v>
      </x:c>
      <x:c r="W42" s="244" t="n">
        <x:f>IFERROR('Gaussian data'!F12*100,NA())</x:f>
        <x:v>43.370165745856355</x:v>
      </x:c>
      <x:c r="X42" s="244" t="n">
        <x:f>IFERROR('Gaussian data'!F13*100,NA())</x:f>
        <x:v>13.865546218487395</x:v>
      </x:c>
      <x:c r="Y42" s="244" t="n">
        <x:f>IFERROR('Gaussian data'!F44*100,NA())</x:f>
        <x:v>28.514056224899598</x:v>
      </x:c>
      <x:c r="Z42" s="244" t="n">
        <x:f>IFERROR('Gaussian data'!F45*100,NA())</x:f>
        <x:v>42.15686274509804</x:v>
      </x:c>
      <x:c r="AA42" s="244" t="n">
        <x:f>IFERROR('Gaussian data'!F15*100,NA())</x:f>
        <x:v>71.79302660290635</x:v>
      </x:c>
      <x:c r="AB42" s="245" t="n">
        <x:f>IFERROR('Gaussian data'!F47*100,NA())</x:f>
        <x:v>60.05984723206552</x:v>
      </x:c>
    </x:row>
    <x:row r="43" ht="18" customHeight="1">
      <x:c r="A43" s="246" t="str">
        <x:v>4</x:v>
      </x:c>
      <x:c r="B43" s="247" t="n">
        <x:f>IFERROR('Gaussian data'!C16*100,NA())</x:f>
        <x:v>4.587155963302752</x:v>
      </x:c>
      <x:c r="C43" s="247" t="n">
        <x:f>IFERROR('Gaussian data'!C17*100,NA())</x:f>
        <x:v>31.5018315018315</x:v>
      </x:c>
      <x:c r="D43" s="247" t="n">
        <x:f>IFERROR('Gaussian data'!C48*100,NA())</x:f>
        <x:v>3.6072144288577155</x:v>
      </x:c>
      <x:c r="E43" s="247" t="n">
        <x:f>IFERROR('Gaussian data'!C49*100,NA())</x:f>
        <x:v>59.4059405940594</x:v>
      </x:c>
      <x:c r="F43" s="247" t="n">
        <x:f>IFERROR('Gaussian data'!C19*100,NA())</x:f>
        <x:v>95.3377916680669</x:v>
      </x:c>
      <x:c r="G43" s="248" t="n">
        <x:f>IFERROR('Gaussian data'!C51*100,NA())</x:f>
        <x:v>72.56294767753329</x:v>
      </x:c>
      <x:c r="H43" s="246" t="str">
        <x:v>4</x:v>
      </x:c>
      <x:c r="I43" s="247" t="n">
        <x:f>IFERROR('Gaussian data'!D16*100,NA())</x:f>
        <x:v>11.041009463722396</x:v>
      </x:c>
      <x:c r="J43" s="247" t="n">
        <x:f>IFERROR('Gaussian data'!D17*100,NA())</x:f>
        <x:v>18.374558303886925</x:v>
      </x:c>
      <x:c r="K43" s="247" t="n">
        <x:f>IFERROR('Gaussian data'!D48*100,NA())</x:f>
        <x:v>22.067594433399602</x:v>
      </x:c>
      <x:c r="L43" s="247" t="n">
        <x:f>IFERROR('Gaussian data'!D49*100,NA())</x:f>
        <x:v>49.48453608247423</x:v>
      </x:c>
      <x:c r="M43" s="247" t="n">
        <x:f>IFERROR('Gaussian data'!D19*100,NA())</x:f>
        <x:v>94.27717894126695</x:v>
      </x:c>
      <x:c r="N43" s="248" t="n">
        <x:f>IFERROR('Gaussian data'!D51*100,NA())</x:f>
        <x:v>68.14576458773134</x:v>
      </x:c>
      <x:c r="O43" s="246" t="str">
        <x:v>4</x:v>
      </x:c>
      <x:c r="P43" s="247" t="n">
        <x:f>IFERROR('Gaussian data'!E16*100,NA())</x:f>
        <x:v>3.9755351681957185</x:v>
      </x:c>
      <x:c r="Q43" s="247" t="n">
        <x:f>IFERROR('Gaussian data'!E17*100,NA())</x:f>
        <x:v>43.58974358974359</x:v>
      </x:c>
      <x:c r="R43" s="247" t="n">
        <x:f>IFERROR('Gaussian data'!E48*100,NA())</x:f>
        <x:v>1.2024048096192386</x:v>
      </x:c>
      <x:c r="S43" s="247" t="n">
        <x:f>IFERROR('Gaussian data'!E49*100,NA())</x:f>
        <x:v>59.4059405940594</x:v>
      </x:c>
      <x:c r="T43" s="247" t="n">
        <x:f>IFERROR('Gaussian data'!E19*100,NA())</x:f>
        <x:v>91.65350449754119</x:v>
      </x:c>
      <x:c r="U43" s="248" t="n">
        <x:f>IFERROR('Gaussian data'!E51*100,NA())</x:f>
        <x:v>72.6800134923312</x:v>
      </x:c>
      <x:c r="V43" s="246" t="str">
        <x:v>4</x:v>
      </x:c>
      <x:c r="W43" s="247" t="n">
        <x:f>IFERROR('Gaussian data'!F16*100,NA())</x:f>
        <x:v>28.134556574923547</x:v>
      </x:c>
      <x:c r="X43" s="247" t="n">
        <x:f>IFERROR('Gaussian data'!F17*100,NA())</x:f>
        <x:v>21.978021978021978</x:v>
      </x:c>
      <x:c r="Y43" s="247" t="n">
        <x:f>IFERROR('Gaussian data'!F48*100,NA())</x:f>
        <x:v>27.054108216432866</x:v>
      </x:c>
      <x:c r="Z43" s="247" t="n">
        <x:f>IFERROR('Gaussian data'!F49*100,NA())</x:f>
        <x:v>33.663366336633665</x:v>
      </x:c>
      <x:c r="AA43" s="247" t="n">
        <x:f>IFERROR('Gaussian data'!F19*100,NA())</x:f>
        <x:v>81.47662734818698</x:v>
      </x:c>
      <x:c r="AB43" s="248" t="n">
        <x:f>IFERROR('Gaussian data'!F51*100,NA())</x:f>
        <x:v>66.57274945931468</x:v>
      </x:c>
    </x:row>
    <x:row r="44" ht="18" customHeight="1"/>
    <x:row r="45" ht="18" customHeight="1">
      <x:c r="A45" s="277" t="str">
        <x:v>Gaussian data — Signed PMP error — M1 (5 parameters) vs M3 (7 parameters)</x:v>
      </x:c>
      <x:c r="B45" s="277"/>
      <x:c r="C45" s="277"/>
      <x:c r="D45" s="277"/>
      <x:c r="E45" s="277"/>
      <x:c r="F45" s="277"/>
      <x:c r="G45" s="277"/>
      <x:c r="H45" s="277"/>
      <x:c r="I45" s="277"/>
      <x:c r="J45" s="277"/>
      <x:c r="K45" s="277"/>
      <x:c r="L45" s="277"/>
      <x:c r="M45" s="277"/>
      <x:c r="N45" s="277"/>
      <x:c r="O45" s="277"/>
      <x:c r="P45" s="277"/>
      <x:c r="Q45" s="277"/>
      <x:c r="R45" s="277"/>
      <x:c r="S45" s="277"/>
      <x:c r="T45" s="277"/>
      <x:c r="U45" s="277"/>
      <x:c r="V45" s="277"/>
      <x:c r="W45" s="277"/>
      <x:c r="X45" s="277"/>
      <x:c r="Y45" s="277"/>
      <x:c r="Z45" s="277"/>
      <x:c r="AA45" s="277"/>
      <x:c r="AB45" s="277"/>
    </x:row>
    <x:row r="46" ht="18" customHeight="1">
      <x:c r="A46" s="283" t="str">
        <x:v>S/D</x:v>
      </x:c>
      <x:c r="B46" s="284" t="str">
        <x:v>M1 FNR</x:v>
      </x:c>
      <x:c r="C46" s="284" t="str">
        <x:v>M1 FPR</x:v>
      </x:c>
      <x:c r="D46" s="284" t="str">
        <x:v>M3 FNR</x:v>
      </x:c>
      <x:c r="E46" s="284" t="str">
        <x:v>M3 FPR</x:v>
      </x:c>
      <x:c r="F46" s="284" t="str">
        <x:v>M1 AUC</x:v>
      </x:c>
      <x:c r="G46" s="285" t="str">
        <x:v>M3 AUC</x:v>
      </x:c>
      <x:c r="H46" s="283" t="str">
        <x:v>S/D</x:v>
      </x:c>
      <x:c r="I46" s="284" t="str">
        <x:v>M1 FNR</x:v>
      </x:c>
      <x:c r="J46" s="284" t="str">
        <x:v>M1 FPR</x:v>
      </x:c>
      <x:c r="K46" s="284" t="str">
        <x:v>M3 FNR</x:v>
      </x:c>
      <x:c r="L46" s="284" t="str">
        <x:v>M3 FPR</x:v>
      </x:c>
      <x:c r="M46" s="284" t="str">
        <x:v>M1 AUC</x:v>
      </x:c>
      <x:c r="N46" s="285" t="str">
        <x:v>M3 AUC</x:v>
      </x:c>
      <x:c r="O46" s="283" t="str">
        <x:v>S/D</x:v>
      </x:c>
      <x:c r="P46" s="284" t="str">
        <x:v>M1 FNR</x:v>
      </x:c>
      <x:c r="Q46" s="284" t="str">
        <x:v>M1 FPR</x:v>
      </x:c>
      <x:c r="R46" s="284" t="str">
        <x:v>M3 FNR</x:v>
      </x:c>
      <x:c r="S46" s="284" t="str">
        <x:v>M3 FPR</x:v>
      </x:c>
      <x:c r="T46" s="284" t="str">
        <x:v>M1 AUC</x:v>
      </x:c>
      <x:c r="U46" s="285" t="str">
        <x:v>M3 AUC</x:v>
      </x:c>
      <x:c r="V46" s="283" t="str">
        <x:v>S/D</x:v>
      </x:c>
      <x:c r="W46" s="284" t="str">
        <x:v>M1 FNR</x:v>
      </x:c>
      <x:c r="X46" s="284" t="str">
        <x:v>M1 FPR</x:v>
      </x:c>
      <x:c r="Y46" s="284" t="str">
        <x:v>M3 FNR</x:v>
      </x:c>
      <x:c r="Z46" s="284" t="str">
        <x:v>M3 FPR</x:v>
      </x:c>
      <x:c r="AA46" s="284" t="str">
        <x:v>M1 AUC</x:v>
      </x:c>
      <x:c r="AB46" s="285" t="str">
        <x:v>M3 AUC</x:v>
      </x:c>
    </x:row>
    <x:row r="47" ht="18" customHeight="1">
      <x:c r="A47" s="240" t="str">
        <x:v>1</x:v>
      </x:c>
      <x:c r="B47" s="241" t="n">
        <x:f>IFERROR('Gaussian data'!C72*100,NA())</x:f>
        <x:v>58.333333333333336</x:v>
      </x:c>
      <x:c r="C47" s="241" t="n">
        <x:f>IFERROR('Gaussian data'!C73*100,NA())</x:f>
        <x:v>32.38095238095238</x:v>
      </x:c>
      <x:c r="D47" s="241" t="n">
        <x:f>IFERROR('Gaussian data'!C104*100,NA())</x:f>
        <x:v>23</x:v>
      </x:c>
      <x:c r="E47" s="241" t="n">
        <x:f>IFERROR('Gaussian data'!C105*100,NA())</x:f>
        <x:v>6</x:v>
      </x:c>
      <x:c r="F47" s="241" t="n">
        <x:f>IFERROR('Gaussian data'!C75*100,NA())</x:f>
        <x:v>51.00661375661376</x:v>
      </x:c>
      <x:c r="G47" s="242" t="n">
        <x:f>IFERROR('Gaussian data'!C107*100,NA())</x:f>
        <x:v>79.65</x:v>
      </x:c>
      <x:c r="H47" s="240" t="str">
        <x:v>1</x:v>
      </x:c>
      <x:c r="I47" s="241" t="n">
        <x:f>IFERROR('Gaussian data'!D72*100,NA())</x:f>
        <x:v>62.121212121212125</x:v>
      </x:c>
      <x:c r="J47" s="241" t="n">
        <x:f>IFERROR('Gaussian data'!D73*100,NA())</x:f>
        <x:v>32.83582089552239</x:v>
      </x:c>
      <x:c r="K47" s="241" t="n">
        <x:f>IFERROR('Gaussian data'!D104*100,NA())</x:f>
        <x:v>31.6</x:v>
      </x:c>
      <x:c r="L47" s="241" t="n">
        <x:f>IFERROR('Gaussian data'!D105*100,NA())</x:f>
        <x:v>6</x:v>
      </x:c>
      <x:c r="M47" s="241" t="n">
        <x:f>IFERROR('Gaussian data'!D75*100,NA())</x:f>
        <x:v>53.772802653399665</x:v>
      </x:c>
      <x:c r="N47" s="242" t="n">
        <x:f>IFERROR('Gaussian data'!D107*100,NA())</x:f>
        <x:v>77.788</x:v>
      </x:c>
      <x:c r="O47" s="240" t="str">
        <x:v>1</x:v>
      </x:c>
      <x:c r="P47" s="241" t="n">
        <x:f>IFERROR('Gaussian data'!E72*100,NA())</x:f>
        <x:v>68.88888888888889</x:v>
      </x:c>
      <x:c r="Q47" s="241" t="n">
        <x:f>IFERROR('Gaussian data'!E73*100,NA())</x:f>
        <x:v>29.761904761904763</x:v>
      </x:c>
      <x:c r="R47" s="241" t="n">
        <x:f>IFERROR('Gaussian data'!E104*100,NA())</x:f>
        <x:v>43.4</x:v>
      </x:c>
      <x:c r="S47" s="241" t="n">
        <x:f>IFERROR('Gaussian data'!E105*100,NA())</x:f>
        <x:v>2</x:v>
      </x:c>
      <x:c r="T47" s="241" t="n">
        <x:f>IFERROR('Gaussian data'!E75*100,NA())</x:f>
        <x:v>53.113756613756614</x:v>
      </x:c>
      <x:c r="U47" s="242" t="n">
        <x:f>IFERROR('Gaussian data'!E107*100,NA())</x:f>
        <x:v>83.326</x:v>
      </x:c>
      <x:c r="V47" s="240" t="str">
        <x:v>1</x:v>
      </x:c>
      <x:c r="W47" s="241" t="n">
        <x:f>IFERROR('Gaussian data'!F72*100,NA())</x:f>
        <x:v>58.333333333333336</x:v>
      </x:c>
      <x:c r="X47" s="241" t="n">
        <x:f>IFERROR('Gaussian data'!F73*100,NA())</x:f>
        <x:v>32.857142857142854</x:v>
      </x:c>
      <x:c r="Y47" s="241" t="n">
        <x:f>IFERROR('Gaussian data'!F104*100,NA())</x:f>
        <x:v>23.200000000000003</x:v>
      </x:c>
      <x:c r="Z47" s="241" t="n">
        <x:f>IFERROR('Gaussian data'!F105*100,NA())</x:f>
        <x:v>6</x:v>
      </x:c>
      <x:c r="AA47" s="241" t="n">
        <x:f>IFERROR('Gaussian data'!F75*100,NA())</x:f>
        <x:v>51.49206349206349</x:v>
      </x:c>
      <x:c r="AB47" s="242" t="n">
        <x:f>IFERROR('Gaussian data'!F107*100,NA())</x:f>
        <x:v>79.63</x:v>
      </x:c>
    </x:row>
    <x:row r="48" ht="18" customHeight="1">
      <x:c r="A48" s="243" t="str">
        <x:v>2</x:v>
      </x:c>
      <x:c r="B48" s="244" t="n">
        <x:f>IFERROR('Gaussian data'!C76*100,NA())</x:f>
        <x:v>34.883720930232556</x:v>
      </x:c>
      <x:c r="C48" s="244" t="n">
        <x:f>IFERROR('Gaussian data'!C77*100,NA())</x:f>
        <x:v>56.475583864118896</x:v>
      </x:c>
      <x:c r="D48" s="244" t="n">
        <x:f>IFERROR('Gaussian data'!C108*100,NA())</x:f>
        <x:v>20.8</x:v>
      </x:c>
      <x:c r="E48" s="244" t="n">
        <x:f>IFERROR('Gaussian data'!C109*100,NA())</x:f>
        <x:v>12</x:v>
      </x:c>
      <x:c r="F48" s="244" t="n">
        <x:f>IFERROR('Gaussian data'!C79*100,NA())</x:f>
        <x:v>49.883967807238434</x:v>
      </x:c>
      <x:c r="G48" s="245" t="n">
        <x:f>IFERROR('Gaussian data'!C111*100,NA())</x:f>
        <x:v>82.5</x:v>
      </x:c>
      <x:c r="H48" s="243" t="str">
        <x:v>2</x:v>
      </x:c>
      <x:c r="I48" s="244" t="n">
        <x:f>IFERROR('Gaussian data'!D76*100,NA())</x:f>
        <x:v>57.46268656716418</x:v>
      </x:c>
      <x:c r="J48" s="244" t="n">
        <x:f>IFERROR('Gaussian data'!D77*100,NA())</x:f>
        <x:v>47.42489270386266</x:v>
      </x:c>
      <x:c r="K48" s="244" t="n">
        <x:f>IFERROR('Gaussian data'!D108*100,NA())</x:f>
        <x:v>27.800000000000004</x:v>
      </x:c>
      <x:c r="L48" s="244" t="n">
        <x:f>IFERROR('Gaussian data'!D109*100,NA())</x:f>
        <x:v>6</x:v>
      </x:c>
      <x:c r="M48" s="244" t="n">
        <x:f>IFERROR('Gaussian data'!D79*100,NA())</x:f>
        <x:v>47.74517968099417</x:v>
      </x:c>
      <x:c r="N48" s="245" t="n">
        <x:f>IFERROR('Gaussian data'!D111*100,NA())</x:f>
        <x:v>80.97</x:v>
      </x:c>
      <x:c r="O48" s="243" t="str">
        <x:v>2</x:v>
      </x:c>
      <x:c r="P48" s="244" t="n">
        <x:f>IFERROR('Gaussian data'!E76*100,NA())</x:f>
        <x:v>27.131782945736433</x:v>
      </x:c>
      <x:c r="Q48" s="244" t="n">
        <x:f>IFERROR('Gaussian data'!E77*100,NA())</x:f>
        <x:v>65.60509554140127</x:v>
      </x:c>
      <x:c r="R48" s="244" t="n">
        <x:f>IFERROR('Gaussian data'!E108*100,NA())</x:f>
        <x:v>6.4</x:v>
      </x:c>
      <x:c r="S48" s="244" t="n">
        <x:f>IFERROR('Gaussian data'!E109*100,NA())</x:f>
        <x:v>48</x:v>
      </x:c>
      <x:c r="T48" s="244" t="n">
        <x:f>IFERROR('Gaussian data'!E79*100,NA())</x:f>
        <x:v>43.7852828387564</x:v>
      </x:c>
      <x:c r="U48" s="245" t="n">
        <x:f>IFERROR('Gaussian data'!E111*100,NA())</x:f>
        <x:v>89.388</x:v>
      </x:c>
      <x:c r="V48" s="243" t="str">
        <x:v>2</x:v>
      </x:c>
      <x:c r="W48" s="244" t="n">
        <x:f>IFERROR('Gaussian data'!F76*100,NA())</x:f>
        <x:v>37.98449612403101</x:v>
      </x:c>
      <x:c r="X48" s="244" t="n">
        <x:f>IFERROR('Gaussian data'!F77*100,NA())</x:f>
        <x:v>33.54564755838641</x:v>
      </x:c>
      <x:c r="Y48" s="244" t="n">
        <x:f>IFERROR('Gaussian data'!F108*100,NA())</x:f>
        <x:v>20.8</x:v>
      </x:c>
      <x:c r="Z48" s="244" t="n">
        <x:f>IFERROR('Gaussian data'!F109*100,NA())</x:f>
        <x:v>3</x:v>
      </x:c>
      <x:c r="AA48" s="244" t="n">
        <x:f>IFERROR('Gaussian data'!F79*100,NA())</x:f>
        <x:v>65.445448410935</x:v>
      </x:c>
      <x:c r="AB48" s="245" t="n">
        <x:f>IFERROR('Gaussian data'!F111*100,NA())</x:f>
        <x:v>80.42</x:v>
      </x:c>
    </x:row>
    <x:row r="49" ht="18" customHeight="1">
      <x:c r="A49" s="246" t="str">
        <x:v>4</x:v>
      </x:c>
      <x:c r="B49" s="247" t="n">
        <x:f>IFERROR('Gaussian data'!C80*100,NA())</x:f>
        <x:v>21.052631578947366</x:v>
      </x:c>
      <x:c r="C49" s="247" t="n">
        <x:f>IFERROR('Gaussian data'!C81*100,NA())</x:f>
        <x:v>62.74089935760171</x:v>
      </x:c>
      <x:c r="D49" s="247" t="n">
        <x:f>IFERROR('Gaussian data'!C112*100,NA())</x:f>
        <x:v>0.4</x:v>
      </x:c>
      <x:c r="E49" s="247" t="n">
        <x:f>IFERROR('Gaussian data'!C113*100,NA())</x:f>
        <x:v>43</x:v>
      </x:c>
      <x:c r="F49" s="247" t="n">
        <x:f>IFERROR('Gaussian data'!C83*100,NA())</x:f>
        <x:v>48.6773679380464</x:v>
      </x:c>
      <x:c r="G49" s="248" t="n">
        <x:f>IFERROR('Gaussian data'!C115*100,NA())</x:f>
        <x:v>86.724</x:v>
      </x:c>
      <x:c r="H49" s="246" t="str">
        <x:v>4</x:v>
      </x:c>
      <x:c r="I49" s="247" t="n">
        <x:f>IFERROR('Gaussian data'!D80*100,NA())</x:f>
        <x:v>38.68613138686132</x:v>
      </x:c>
      <x:c r="J49" s="247" t="n">
        <x:f>IFERROR('Gaussian data'!D81*100,NA())</x:f>
        <x:v>53.99568034557235</x:v>
      </x:c>
      <x:c r="K49" s="247" t="n">
        <x:f>IFERROR('Gaussian data'!D112*100,NA())</x:f>
        <x:v>18.6</x:v>
      </x:c>
      <x:c r="L49" s="247" t="n">
        <x:f>IFERROR('Gaussian data'!D113*100,NA())</x:f>
        <x:v>33</x:v>
      </x:c>
      <x:c r="M49" s="247" t="n">
        <x:f>IFERROR('Gaussian data'!D83*100,NA())</x:f>
        <x:v>49.21095363465813</x:v>
      </x:c>
      <x:c r="N49" s="248" t="n">
        <x:f>IFERROR('Gaussian data'!D115*100,NA())</x:f>
        <x:v>83.518</x:v>
      </x:c>
      <x:c r="O49" s="246" t="str">
        <x:v>4</x:v>
      </x:c>
      <x:c r="P49" s="247" t="n">
        <x:f>IFERROR('Gaussian data'!E80*100,NA())</x:f>
        <x:v>15.789473684210526</x:v>
      </x:c>
      <x:c r="Q49" s="247" t="n">
        <x:f>IFERROR('Gaussian data'!E81*100,NA())</x:f>
        <x:v>68.73661670235546</x:v>
      </x:c>
      <x:c r="R49" s="247" t="n">
        <x:f>IFERROR('Gaussian data'!E112*100,NA())</x:f>
        <x:v>0</x:v>
      </x:c>
      <x:c r="S49" s="247" t="n">
        <x:f>IFERROR('Gaussian data'!E113*100,NA())</x:f>
        <x:v>53</x:v>
      </x:c>
      <x:c r="T49" s="247" t="n">
        <x:f>IFERROR('Gaussian data'!E83*100,NA())</x:f>
        <x:v>46.22691632722062</x:v>
      </x:c>
      <x:c r="U49" s="248" t="n">
        <x:f>IFERROR('Gaussian data'!E115*100,NA())</x:f>
        <x:v>96.114</x:v>
      </x:c>
      <x:c r="V49" s="246" t="str">
        <x:v>4</x:v>
      </x:c>
      <x:c r="W49" s="247" t="n">
        <x:f>IFERROR('Gaussian data'!F80*100,NA())</x:f>
        <x:v>30.82706766917293</x:v>
      </x:c>
      <x:c r="X49" s="247" t="n">
        <x:f>IFERROR('Gaussian data'!F81*100,NA())</x:f>
        <x:v>43.46895074946467</x:v>
      </x:c>
      <x:c r="Y49" s="247" t="n">
        <x:f>IFERROR('Gaussian data'!F112*100,NA())</x:f>
        <x:v>21.2</x:v>
      </x:c>
      <x:c r="Z49" s="247" t="n">
        <x:f>IFERROR('Gaussian data'!F113*100,NA())</x:f>
        <x:v>4</x:v>
      </x:c>
      <x:c r="AA49" s="247" t="n">
        <x:f>IFERROR('Gaussian data'!F83*100,NA())</x:f>
        <x:v>60.02962438215454</x:v>
      </x:c>
      <x:c r="AB49" s="248" t="n">
        <x:f>IFERROR('Gaussian data'!F115*100,NA())</x:f>
        <x:v>80.868</x:v>
      </x:c>
    </x:row>
    <x:row r="50" ht="18" customHeight="1"/>
    <x:row r="51" ht="18" customHeight="1">
      <x:c r="A51" s="277" t="str">
        <x:v>Gaussian data — Posterior MMD — M1 (5 parameters) vs M3 (7 parameters)</x:v>
      </x:c>
      <x:c r="B51" s="277"/>
      <x:c r="C51" s="277"/>
      <x:c r="D51" s="277"/>
      <x:c r="E51" s="277"/>
      <x:c r="F51" s="277"/>
      <x:c r="G51" s="277"/>
      <x:c r="H51" s="277"/>
      <x:c r="I51" s="277"/>
      <x:c r="J51" s="277"/>
      <x:c r="K51" s="277"/>
      <x:c r="L51" s="277"/>
      <x:c r="M51" s="277"/>
      <x:c r="N51" s="277"/>
      <x:c r="O51" s="277"/>
      <x:c r="P51" s="277"/>
      <x:c r="Q51" s="277"/>
      <x:c r="R51" s="277"/>
      <x:c r="S51" s="277"/>
      <x:c r="T51" s="277"/>
      <x:c r="U51" s="277"/>
      <x:c r="V51" s="277"/>
      <x:c r="W51" s="277"/>
      <x:c r="X51" s="277"/>
      <x:c r="Y51" s="277"/>
      <x:c r="Z51" s="277"/>
      <x:c r="AA51" s="277"/>
      <x:c r="AB51" s="277"/>
    </x:row>
    <x:row r="52" ht="18" customHeight="1">
      <x:c r="A52" s="283" t="str">
        <x:v>S/D</x:v>
      </x:c>
      <x:c r="B52" s="284" t="str">
        <x:v>M1 FNR</x:v>
      </x:c>
      <x:c r="C52" s="284" t="str">
        <x:v>M1 FPR</x:v>
      </x:c>
      <x:c r="D52" s="284" t="str">
        <x:v>M3 FNR</x:v>
      </x:c>
      <x:c r="E52" s="284" t="str">
        <x:v>M3 FPR</x:v>
      </x:c>
      <x:c r="F52" s="284" t="str">
        <x:v>M1 AUC</x:v>
      </x:c>
      <x:c r="G52" s="285" t="str">
        <x:v>M3 AUC</x:v>
      </x:c>
      <x:c r="H52" s="283" t="str">
        <x:v>S/D</x:v>
      </x:c>
      <x:c r="I52" s="284" t="str">
        <x:v>M1 FNR</x:v>
      </x:c>
      <x:c r="J52" s="284" t="str">
        <x:v>M1 FPR</x:v>
      </x:c>
      <x:c r="K52" s="284" t="str">
        <x:v>M3 FNR</x:v>
      </x:c>
      <x:c r="L52" s="284" t="str">
        <x:v>M3 FPR</x:v>
      </x:c>
      <x:c r="M52" s="284" t="str">
        <x:v>M1 AUC</x:v>
      </x:c>
      <x:c r="N52" s="285" t="str">
        <x:v>M3 AUC</x:v>
      </x:c>
      <x:c r="O52" s="283" t="str">
        <x:v>S/D</x:v>
      </x:c>
      <x:c r="P52" s="284" t="str">
        <x:v>M1 FNR</x:v>
      </x:c>
      <x:c r="Q52" s="284" t="str">
        <x:v>M1 FPR</x:v>
      </x:c>
      <x:c r="R52" s="284" t="str">
        <x:v>M3 FNR</x:v>
      </x:c>
      <x:c r="S52" s="284" t="str">
        <x:v>M3 FPR</x:v>
      </x:c>
      <x:c r="T52" s="284" t="str">
        <x:v>M1 AUC</x:v>
      </x:c>
      <x:c r="U52" s="285" t="str">
        <x:v>M3 AUC</x:v>
      </x:c>
      <x:c r="V52" s="283" t="str">
        <x:v>S/D</x:v>
      </x:c>
      <x:c r="W52" s="284" t="str">
        <x:v>M1 FNR</x:v>
      </x:c>
      <x:c r="X52" s="284" t="str">
        <x:v>M1 FPR</x:v>
      </x:c>
      <x:c r="Y52" s="284" t="str">
        <x:v>M3 FNR</x:v>
      </x:c>
      <x:c r="Z52" s="284" t="str">
        <x:v>M3 FPR</x:v>
      </x:c>
      <x:c r="AA52" s="284" t="str">
        <x:v>M1 AUC</x:v>
      </x:c>
      <x:c r="AB52" s="285" t="str">
        <x:v>M3 AUC</x:v>
      </x:c>
    </x:row>
    <x:row r="53" ht="18" customHeight="1">
      <x:c r="A53" s="240" t="str">
        <x:v>1</x:v>
      </x:c>
      <x:c r="B53" s="241" t="n">
        <x:f>IFERROR('Gaussian data'!C136*100,NA())</x:f>
        <x:v>47.75</x:v>
      </x:c>
      <x:c r="C53" s="241" t="n">
        <x:f>IFERROR('Gaussian data'!C137*100,NA())</x:f>
        <x:v>1</x:v>
      </x:c>
      <x:c r="D53" s="241" t="n">
        <x:f>IFERROR('Gaussian data'!C168*100,NA())</x:f>
        <x:v>13.709677419354838</x:v>
      </x:c>
      <x:c r="E53" s="241" t="n">
        <x:f>IFERROR('Gaussian data'!C169*100,NA())</x:f>
        <x:v>30.701754385964914</x:v>
      </x:c>
      <x:c r="F53" s="241" t="n">
        <x:f>IFERROR('Gaussian data'!C139*100,NA())</x:f>
        <x:v>86.96625</x:v>
      </x:c>
      <x:c r="G53" s="242" t="n">
        <x:f>IFERROR('Gaussian data'!C171*100,NA())</x:f>
        <x:v>77.20241464</x:v>
      </x:c>
      <x:c r="H53" s="240" t="str">
        <x:v>1</x:v>
      </x:c>
      <x:c r="I53" s="241" t="n">
        <x:f>IFERROR('Gaussian data'!D136*100,NA())</x:f>
        <x:v>49.497487437185924</x:v>
      </x:c>
      <x:c r="J53" s="241" t="n">
        <x:f>IFERROR('Gaussian data'!D137*100,NA())</x:f>
        <x:v>2.9702970297029703</x:v>
      </x:c>
      <x:c r="K53" s="241" t="n">
        <x:f>IFERROR('Gaussian data'!D168*100,NA())</x:f>
        <x:v>25.13368983957219</x:v>
      </x:c>
      <x:c r="L53" s="241" t="n">
        <x:f>IFERROR('Gaussian data'!D169*100,NA())</x:f>
        <x:v>30.08849557522124</x:v>
      </x:c>
      <x:c r="M53" s="241" t="n">
        <x:f>IFERROR('Gaussian data'!D139*100,NA())</x:f>
        <x:v>86.51922981</x:v>
      </x:c>
      <x:c r="N53" s="242" t="n">
        <x:f>IFERROR('Gaussian data'!D171*100,NA())</x:f>
        <x:v>77.47030429</x:v>
      </x:c>
      <x:c r="O53" s="240" t="str">
        <x:v>1</x:v>
      </x:c>
      <x:c r="P53" s="241" t="n">
        <x:f>IFERROR('Gaussian data'!E136*100,NA())</x:f>
        <x:v>55.00000000000001</x:v>
      </x:c>
      <x:c r="Q53" s="241" t="n">
        <x:f>IFERROR('Gaussian data'!E137*100,NA())</x:f>
        <x:v>0.5</x:v>
      </x:c>
      <x:c r="R53" s="241" t="n">
        <x:f>IFERROR('Gaussian data'!E168*100,NA())</x:f>
        <x:v>38.70967741935484</x:v>
      </x:c>
      <x:c r="S53" s="241" t="n">
        <x:f>IFERROR('Gaussian data'!E169*100,NA())</x:f>
        <x:v>25</x:v>
      </x:c>
      <x:c r="T53" s="241" t="n">
        <x:f>IFERROR('Gaussian data'!E139*100,NA())</x:f>
        <x:v>91.73625</x:v>
      </x:c>
      <x:c r="U53" s="242" t="n">
        <x:f>IFERROR('Gaussian data'!E171*100,NA())</x:f>
        <x:v>76.60818713</x:v>
      </x:c>
      <x:c r="V53" s="240" t="str">
        <x:v>1</x:v>
      </x:c>
      <x:c r="W53" s="241" t="n">
        <x:f>IFERROR('Gaussian data'!F136*100,NA())</x:f>
        <x:v>47.75</x:v>
      </x:c>
      <x:c r="X53" s="241" t="n">
        <x:f>IFERROR('Gaussian data'!F137*100,NA())</x:f>
        <x:v>2</x:v>
      </x:c>
      <x:c r="Y53" s="241" t="n">
        <x:f>IFERROR('Gaussian data'!F168*100,NA())</x:f>
        <x:v>13.978494623655912</x:v>
      </x:c>
      <x:c r="Z53" s="241" t="n">
        <x:f>IFERROR('Gaussian data'!F169*100,NA())</x:f>
        <x:v>30.701754385964914</x:v>
      </x:c>
      <x:c r="AA53" s="241" t="n">
        <x:f>IFERROR('Gaussian data'!F139*100,NA())</x:f>
        <x:v>86.545</x:v>
      </x:c>
      <x:c r="AB53" s="242" t="n">
        <x:f>IFERROR('Gaussian data'!F171*100,NA())</x:f>
        <x:v>77.42053385999999</x:v>
      </x:c>
    </x:row>
    <x:row r="54" ht="18" customHeight="1">
      <x:c r="A54" s="243" t="str">
        <x:v>2</x:v>
      </x:c>
      <x:c r="B54" s="244" t="n">
        <x:f>IFERROR('Gaussian data'!C140*100,NA())</x:f>
        <x:v>9.03954802259887</x:v>
      </x:c>
      <x:c r="C54" s="244" t="n">
        <x:f>IFERROR('Gaussian data'!C141*100,NA())</x:f>
        <x:v>11.38211382113821</x:v>
      </x:c>
      <x:c r="D54" s="244" t="n">
        <x:f>IFERROR('Gaussian data'!C172*100,NA())</x:f>
        <x:v>26.31578947368421</x:v>
      </x:c>
      <x:c r="E54" s="244" t="n">
        <x:f>IFERROR('Gaussian data'!C173*100,NA())</x:f>
        <x:v>4.081632653061225</x:v>
      </x:c>
      <x:c r="F54" s="244" t="n">
        <x:f>IFERROR('Gaussian data'!C143*100,NA())</x:f>
        <x:v>97.60461164</x:v>
      </x:c>
      <x:c r="G54" s="245" t="n">
        <x:f>IFERROR('Gaussian data'!C175*100,NA())</x:f>
        <x:v>82.84380903</x:v>
      </x:c>
      <x:c r="H54" s="243" t="str">
        <x:v>2</x:v>
      </x:c>
      <x:c r="I54" s="244" t="n">
        <x:f>IFERROR('Gaussian data'!D140*100,NA())</x:f>
        <x:v>24.786324786324787</x:v>
      </x:c>
      <x:c r="J54" s="244" t="n">
        <x:f>IFERROR('Gaussian data'!D141*100,NA())</x:f>
        <x:v>5.622489959839357</x:v>
      </x:c>
      <x:c r="K54" s="244" t="n">
        <x:f>IFERROR('Gaussian data'!D172*100,NA())</x:f>
        <x:v>33.57531760435572</x:v>
      </x:c>
      <x:c r="L54" s="244" t="n">
        <x:f>IFERROR('Gaussian data'!D173*100,NA())</x:f>
        <x:v>2.0408163265306123</x:v>
      </x:c>
      <x:c r="M54" s="244" t="n">
        <x:f>IFERROR('Gaussian data'!D143*100,NA())</x:f>
        <x:v>94.152107</x:v>
      </x:c>
      <x:c r="N54" s="245" t="n">
        <x:f>IFERROR('Gaussian data'!D175*100,NA())</x:f>
        <x:v>78.63624579</x:v>
      </x:c>
      <x:c r="O54" s="243" t="str">
        <x:v>2</x:v>
      </x:c>
      <x:c r="P54" s="244" t="n">
        <x:f>IFERROR('Gaussian data'!E140*100,NA())</x:f>
        <x:v>1.41643059490085</x:v>
      </x:c>
      <x:c r="Q54" s="244" t="n">
        <x:f>IFERROR('Gaussian data'!E141*100,NA())</x:f>
        <x:v>22.267206477732792</x:v>
      </x:c>
      <x:c r="R54" s="244" t="n">
        <x:f>IFERROR('Gaussian data'!E172*100,NA())</x:f>
        <x:v>6.715063520871143</x:v>
      </x:c>
      <x:c r="S54" s="244" t="n">
        <x:f>IFERROR('Gaussian data'!E173*100,NA())</x:f>
        <x:v>4.081632653061225</x:v>
      </x:c>
      <x:c r="T54" s="244" t="n">
        <x:f>IFERROR('Gaussian data'!E143*100,NA())</x:f>
        <x:v>94.84809212</x:v>
      </x:c>
      <x:c r="U54" s="245" t="n">
        <x:f>IFERROR('Gaussian data'!E175*100,NA())</x:f>
        <x:v>99.21478573</x:v>
      </x:c>
      <x:c r="V54" s="243" t="str">
        <x:v>2</x:v>
      </x:c>
      <x:c r="W54" s="244" t="n">
        <x:f>IFERROR('Gaussian data'!F140*100,NA())</x:f>
        <x:v>37.960339943342774</x:v>
      </x:c>
      <x:c r="X54" s="244" t="n">
        <x:f>IFERROR('Gaussian data'!F141*100,NA())</x:f>
        <x:v>7.6923076923076925</x:v>
      </x:c>
      <x:c r="Y54" s="244" t="n">
        <x:f>IFERROR('Gaussian data'!F172*100,NA())</x:f>
        <x:v>27.949183303085302</x:v>
      </x:c>
      <x:c r="Z54" s="244" t="n">
        <x:f>IFERROR('Gaussian data'!F173*100,NA())</x:f>
        <x:v>4.081632653061225</x:v>
      </x:c>
      <x:c r="AA54" s="244" t="n">
        <x:f>IFERROR('Gaussian data'!F143*100,NA())</x:f>
        <x:v>81.14484293000001</x:v>
      </x:c>
      <x:c r="AB54" s="245" t="n">
        <x:f>IFERROR('Gaussian data'!F175*100,NA())</x:f>
        <x:v>76.94729434</x:v>
      </x:c>
    </x:row>
    <x:row r="55" ht="18" customHeight="1">
      <x:c r="A55" s="246" t="str">
        <x:v>4</x:v>
      </x:c>
      <x:c r="B55" s="247" t="n">
        <x:f>IFERROR('Gaussian data'!C144*100,NA())</x:f>
        <x:v>1.69971671388102</x:v>
      </x:c>
      <x:c r="C55" s="247" t="n">
        <x:f>IFERROR('Gaussian data'!C145*100,NA())</x:f>
        <x:v>20.647773279352226</x:v>
      </x:c>
      <x:c r="D55" s="247" t="n">
        <x:f>IFERROR('Gaussian data'!C176*100,NA())</x:f>
        <x:v>2.35934664246824</x:v>
      </x:c>
      <x:c r="E55" s="247" t="n">
        <x:f>IFERROR('Gaussian data'!C177*100,NA())</x:f>
        <x:v>6.122448979591836</x:v>
      </x:c>
      <x:c r="F55" s="247" t="n">
        <x:f>IFERROR('Gaussian data'!C147*100,NA())</x:f>
        <x:v>97.81743528999999</x:v>
      </x:c>
      <x:c r="G55" s="248" t="n">
        <x:f>IFERROR('Gaussian data'!C179*100,NA())</x:f>
        <x:v>99.23330494</x:v>
      </x:c>
      <x:c r="H55" s="246" t="str">
        <x:v>4</x:v>
      </x:c>
      <x:c r="I55" s="247" t="n">
        <x:f>IFERROR('Gaussian data'!D144*100,NA())</x:f>
        <x:v>11.142857142857142</x:v>
      </x:c>
      <x:c r="J55" s="247" t="n">
        <x:f>IFERROR('Gaussian data'!D145*100,NA())</x:f>
        <x:v>9.2</x:v>
      </x:c>
      <x:c r="K55" s="247" t="n">
        <x:f>IFERROR('Gaussian data'!D176*100,NA())</x:f>
        <x:v>20.833333333333336</x:v>
      </x:c>
      <x:c r="L55" s="247" t="n">
        <x:f>IFERROR('Gaussian data'!D177*100,NA())</x:f>
        <x:v>6.25</x:v>
      </x:c>
      <x:c r="M55" s="247" t="n">
        <x:f>IFERROR('Gaussian data'!D147*100,NA())</x:f>
        <x:v>96.41485714</x:v>
      </x:c>
      <x:c r="N55" s="248" t="n">
        <x:f>IFERROR('Gaussian data'!D179*100,NA())</x:f>
        <x:v>94.33876812000001</x:v>
      </x:c>
      <x:c r="O55" s="246" t="str">
        <x:v>4</x:v>
      </x:c>
      <x:c r="P55" s="247" t="n">
        <x:f>IFERROR('Gaussian data'!E144*100,NA())</x:f>
        <x:v>1.41643059490085</x:v>
      </x:c>
      <x:c r="Q55" s="247" t="n">
        <x:f>IFERROR('Gaussian data'!E145*100,NA())</x:f>
        <x:v>34.41295546558704</x:v>
      </x:c>
      <x:c r="R55" s="247" t="n">
        <x:f>IFERROR('Gaussian data'!E176*100,NA())</x:f>
        <x:v>0.18148820326678766</x:v>
      </x:c>
      <x:c r="S55" s="247" t="n">
        <x:f>IFERROR('Gaussian data'!E177*100,NA())</x:f>
        <x:v>6.122448979591836</x:v>
      </x:c>
      <x:c r="T55" s="247" t="n">
        <x:f>IFERROR('Gaussian data'!E147*100,NA())</x:f>
        <x:v>92.8834398</x:v>
      </x:c>
      <x:c r="U55" s="248" t="n">
        <x:f>IFERROR('Gaussian data'!E179*100,NA())</x:f>
        <x:v>99.92962702</x:v>
      </x:c>
      <x:c r="V55" s="246" t="str">
        <x:v>4</x:v>
      </x:c>
      <x:c r="W55" s="247" t="n">
        <x:f>IFERROR('Gaussian data'!F144*100,NA())</x:f>
        <x:v>23.79603399433428</x:v>
      </x:c>
      <x:c r="X55" s="247" t="n">
        <x:f>IFERROR('Gaussian data'!F145*100,NA())</x:f>
        <x:v>10.526315789473683</x:v>
      </x:c>
      <x:c r="Y55" s="247" t="n">
        <x:f>IFERROR('Gaussian data'!F176*100,NA())</x:f>
        <x:v>28.13067150635209</x:v>
      </x:c>
      <x:c r="Z55" s="247" t="n">
        <x:f>IFERROR('Gaussian data'!F177*100,NA())</x:f>
        <x:v>4.081632653061225</x:v>
      </x:c>
      <x:c r="AA55" s="247" t="n">
        <x:f>IFERROR('Gaussian data'!F147*100,NA())</x:f>
        <x:v>87.66386439</x:v>
      </x:c>
      <x:c r="AB55" s="248" t="n">
        <x:f>IFERROR('Gaussian data'!F179*100,NA())</x:f>
        <x:v>77.79177007</x:v>
      </x:c>
    </x:row>
    <x:row r="56" ht="18" customHeight="1"/>
    <x:row r="57" ht="18" customHeight="1"/>
  </x:sheetData>
  <x:mergeCells>
    <x:mergeCell ref="A1:AB1"/>
    <x:mergeCell ref="A3:AB3"/>
    <x:mergeCell ref="A9:AB9"/>
    <x:mergeCell ref="A15:AB15"/>
    <x:mergeCell ref="A21:AB21"/>
    <x:mergeCell ref="A27:AB27"/>
    <x:mergeCell ref="A33:AB33"/>
    <x:mergeCell ref="A39:AB39"/>
    <x:mergeCell ref="A45:AB45"/>
    <x:mergeCell ref="A51:AB5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7.5" hidden="0" customWidth="1"/>
    <x:col min="3" max="3" width="7.5" hidden="0" customWidth="1"/>
    <x:col min="4" max="4" width="7.5" hidden="0" customWidth="1"/>
    <x:col min="5" max="5" width="7.5" hidden="0" customWidth="1"/>
    <x:col min="6" max="6" width="7.5" hidden="0" customWidth="1"/>
    <x:col min="7" max="7" width="7.5" hidden="0" customWidth="1"/>
    <x:col min="8" max="8" width="7.5" hidden="0" customWidth="1"/>
    <x:col min="9" max="9" width="7.5" hidden="0" customWidth="1"/>
    <x:col min="10" max="10" width="7.5" hidden="0" customWidth="1"/>
    <x:col min="11" max="11" width="7.5" hidden="0" customWidth="1"/>
    <x:col min="12" max="12" width="7.5" hidden="0" customWidth="1"/>
    <x:col min="13" max="13" width="7.5" hidden="0" customWidth="1"/>
    <x:col min="14" max="14" width="7.5" hidden="0" customWidth="1"/>
    <x:col min="15" max="15" width="7.5" hidden="0" customWidth="1"/>
    <x:col min="16" max="16" width="7.5" hidden="0" customWidth="1"/>
    <x:col min="17" max="17" width="7.5" hidden="0" customWidth="1"/>
    <x:col min="18" max="18" width="7.5" hidden="0" customWidth="1"/>
    <x:col min="19" max="19" width="7.5" hidden="0" customWidth="1"/>
    <x:col min="20" max="20" width="7.5" hidden="0" customWidth="1"/>
    <x:col min="21" max="21" width="7.5" hidden="0" customWidth="1"/>
    <x:col min="22" max="22" width="7.5" hidden="0" customWidth="1"/>
    <x:col min="23" max="23" width="7.5" hidden="0" customWidth="1"/>
    <x:col min="24" max="24" width="7.5" hidden="0" customWidth="1"/>
  </x:cols>
  <x:sheetData>
    <x:row r="1" ht="28" customHeight="1">
      <x:c r="A1" s="274" t="str">
        <x:v>Simulated data — diagnostic comparison: M0–M3 (4, 5, 5, 7 parameters)</x:v>
      </x:c>
      <x:c r="B1" s="274"/>
      <x:c r="C1" s="274"/>
      <x:c r="D1" s="274"/>
      <x:c r="E1" s="274"/>
      <x:c r="F1" s="274"/>
      <x:c r="G1" s="274"/>
      <x:c r="H1" s="274"/>
      <x:c r="I1" s="274"/>
      <x:c r="J1" s="274"/>
      <x:c r="K1" s="274"/>
      <x:c r="L1" s="274"/>
      <x:c r="M1" s="274"/>
      <x:c r="N1" s="274"/>
      <x:c r="O1" s="274"/>
      <x:c r="P1" s="274"/>
      <x:c r="Q1" s="274"/>
      <x:c r="R1" s="274"/>
      <x:c r="S1" s="274"/>
      <x:c r="T1" s="274"/>
      <x:c r="U1" s="274"/>
      <x:c r="V1" s="274"/>
      <x:c r="W1" s="274"/>
      <x:c r="X1" s="274"/>
    </x:row>
    <x:row r="2" ht="23" customHeight="1">
      <x:c r="A2" s="292" t="str">
        <x:v>Signed log10 ML error — FNR/FPR by diagnostic</x:v>
      </x:c>
      <x:c r="B2" s="293" t="str">
        <x:v>Signed log10 ML error — FNR/FPR by diagnostic</x:v>
      </x:c>
      <x:c r="C2" s="293" t="str">
        <x:v>Signed log10 ML error — FNR/FPR by diagnostic</x:v>
      </x:c>
      <x:c r="D2" s="293" t="str">
        <x:v>Signed log10 ML error — FNR/FPR by diagnostic</x:v>
      </x:c>
      <x:c r="E2" s="293" t="str">
        <x:v>Signed log10 ML error — FNR/FPR by diagnostic</x:v>
      </x:c>
      <x:c r="F2" s="293" t="str">
        <x:v>Signed log10 ML error — FNR/FPR by diagnostic</x:v>
      </x:c>
      <x:c r="G2" s="293" t="str">
        <x:v>Signed log10 ML error — FNR/FPR by diagnostic</x:v>
      </x:c>
      <x:c r="H2" s="293" t="str">
        <x:v>Signed log10 ML error — FNR/FPR by diagnostic</x:v>
      </x:c>
      <x:c r="I2" s="293" t="str">
        <x:v>Signed log10 ML error — FNR/FPR by diagnostic</x:v>
      </x:c>
      <x:c r="J2" s="293" t="str">
        <x:v>Signed log10 ML error — FNR/FPR by diagnostic</x:v>
      </x:c>
      <x:c r="K2" s="293" t="str">
        <x:v>Signed log10 ML error — FNR/FPR by diagnostic</x:v>
      </x:c>
      <x:c r="L2" s="293" t="str">
        <x:v>Signed log10 ML error — FNR/FPR by diagnostic</x:v>
      </x:c>
      <x:c r="M2" s="293" t="str">
        <x:v>Signed log10 ML error — FNR/FPR by diagnostic</x:v>
      </x:c>
      <x:c r="N2" s="293" t="str">
        <x:v>Signed log10 ML error — FNR/FPR by diagnostic</x:v>
      </x:c>
      <x:c r="O2" s="293" t="str">
        <x:v>Signed log10 ML error — FNR/FPR by diagnostic</x:v>
      </x:c>
      <x:c r="P2" s="293" t="str">
        <x:v>Signed log10 ML error — FNR/FPR by diagnostic</x:v>
      </x:c>
      <x:c r="Q2" s="293" t="str">
        <x:v>Signed log10 ML error — FNR/FPR by diagnostic</x:v>
      </x:c>
      <x:c r="R2" s="293" t="str">
        <x:v>Signed log10 ML error — FNR/FPR by diagnostic</x:v>
      </x:c>
      <x:c r="S2" s="293" t="str">
        <x:v>Signed log10 ML error — FNR/FPR by diagnostic</x:v>
      </x:c>
      <x:c r="T2" s="293" t="str">
        <x:v>Signed log10 ML error — FNR/FPR by diagnostic</x:v>
      </x:c>
      <x:c r="U2" s="293" t="str">
        <x:v>Signed log10 ML error — FNR/FPR by diagnostic</x:v>
      </x:c>
      <x:c r="V2" s="293" t="str">
        <x:v>Signed log10 ML error — FNR/FPR by diagnostic</x:v>
      </x:c>
      <x:c r="W2" s="293" t="str">
        <x:v>Signed log10 ML error — FNR/FPR by diagnostic</x:v>
      </x:c>
      <x:c r="X2" s="294" t="str">
        <x:v>Signed log10 ML error — FNR/FPR by diagnostic</x:v>
      </x:c>
    </x:row>
    <x:row r="18" ht="19" customHeight="1">
      <x:c r="A18" s="257" t="str">
        <x:v>●  M0 (4 parameters)</x:v>
      </x:c>
      <x:c r="B18" s="251" t="str">
        <x:v>●  M1 (5 parameters)</x:v>
      </x:c>
      <x:c r="C18" s="251" t="str">
        <x:v>●  M1 (5 parameters)</x:v>
      </x:c>
      <x:c r="D18" s="251" t="str">
        <x:v>●  M1 (5 parameters)</x:v>
      </x:c>
      <x:c r="E18" s="251" t="str">
        <x:v>●  M1 (5 parameters)</x:v>
      </x:c>
      <x:c r="F18" s="251" t="str">
        <x:v>●  M1 (5 parameters)</x:v>
      </x:c>
      <x:c r="G18" s="254" t="str">
        <x:v>●  M3 (7 parameters)</x:v>
      </x:c>
      <x:c r="H18" s="254" t="str">
        <x:v>●  M3 (7 parameters)</x:v>
      </x:c>
      <x:c r="I18" s="260" t="str">
        <x:v>●  M2 (5 parameters)</x:v>
      </x:c>
      <x:c r="J18" s="254" t="str">
        <x:v>●  M3 (7 parameters)</x:v>
      </x:c>
      <x:c r="K18" s="254" t="str">
        <x:v>●  M3 (7 parameters)</x:v>
      </x:c>
      <x:c r="L18" s="254" t="str">
        <x:v>●  M3 (7 parameters)</x:v>
      </x:c>
      <x:c r="M18" s="254" t="str">
        <x:v>●  M3 (7 parameters)</x:v>
      </x:c>
      <x:c r="N18" s="263" t="str">
        <x:v>━━  FNR (solid)</x:v>
      </x:c>
      <x:c r="O18" s="263" t="str">
        <x:v>━━  FNR (solid)</x:v>
      </x:c>
      <x:c r="P18" s="263" t="str">
        <x:v>━━  FNR (solid)</x:v>
      </x:c>
      <x:c r="Q18" s="322" t="str">
        <x:v>━━  FNR (solid)</x:v>
      </x:c>
      <x:c r="R18" s="263" t="str">
        <x:v>━━  FNR (solid)</x:v>
      </x:c>
      <x:c r="S18" s="263" t="str">
        <x:v>┄┄  FPR (dashed)</x:v>
      </x:c>
      <x:c r="T18" s="263" t="str">
        <x:v>┄┄  FPR (dashed)</x:v>
      </x:c>
      <x:c r="U18" s="323" t="str">
        <x:v>┄┄  FPR (dashed)</x:v>
      </x:c>
      <x:c r="V18" s="263" t="str">
        <x:v>┄┄  FPR (dashed)</x:v>
      </x:c>
      <x:c r="W18" s="263" t="str">
        <x:v>┄┄  FPR (dashed)</x:v>
      </x:c>
      <x:c r="X18" s="263" t="str">
        <x:v>┄┄  FPR (dashed)</x:v>
      </x:c>
    </x:row>
    <x:row r="21" ht="23" customHeight="1">
      <x:c r="A21" s="292" t="str">
        <x:v>Signed log10 ML error — AUC by diagnostic</x:v>
      </x:c>
      <x:c r="B21" s="293" t="str">
        <x:v>Signed log10 ML error — AUC by diagnostic</x:v>
      </x:c>
      <x:c r="C21" s="293" t="str">
        <x:v>Signed log10 ML error — AUC by diagnostic</x:v>
      </x:c>
      <x:c r="D21" s="293" t="str">
        <x:v>Signed log10 ML error — AUC by diagnostic</x:v>
      </x:c>
      <x:c r="E21" s="293" t="str">
        <x:v>Signed log10 ML error — AUC by diagnostic</x:v>
      </x:c>
      <x:c r="F21" s="293" t="str">
        <x:v>Signed log10 ML error — AUC by diagnostic</x:v>
      </x:c>
      <x:c r="G21" s="293" t="str">
        <x:v>Signed log10 ML error — AUC by diagnostic</x:v>
      </x:c>
      <x:c r="H21" s="293" t="str">
        <x:v>Signed log10 ML error — AUC by diagnostic</x:v>
      </x:c>
      <x:c r="I21" s="293" t="str">
        <x:v>Signed log10 ML error — AUC by diagnostic</x:v>
      </x:c>
      <x:c r="J21" s="293" t="str">
        <x:v>Signed log10 ML error — AUC by diagnostic</x:v>
      </x:c>
      <x:c r="K21" s="293" t="str">
        <x:v>Signed log10 ML error — AUC by diagnostic</x:v>
      </x:c>
      <x:c r="L21" s="293" t="str">
        <x:v>Signed log10 ML error — AUC by diagnostic</x:v>
      </x:c>
      <x:c r="M21" s="293" t="str">
        <x:v>Signed log10 ML error — AUC by diagnostic</x:v>
      </x:c>
      <x:c r="N21" s="293" t="str">
        <x:v>Signed log10 ML error — AUC by diagnostic</x:v>
      </x:c>
      <x:c r="O21" s="293" t="str">
        <x:v>Signed log10 ML error — AUC by diagnostic</x:v>
      </x:c>
      <x:c r="P21" s="293" t="str">
        <x:v>Signed log10 ML error — AUC by diagnostic</x:v>
      </x:c>
      <x:c r="Q21" s="293" t="str">
        <x:v>Signed log10 ML error — AUC by diagnostic</x:v>
      </x:c>
      <x:c r="R21" s="293" t="str">
        <x:v>Signed log10 ML error — AUC by diagnostic</x:v>
      </x:c>
      <x:c r="S21" s="293" t="str">
        <x:v>Signed log10 ML error — AUC by diagnostic</x:v>
      </x:c>
      <x:c r="T21" s="293" t="str">
        <x:v>Signed log10 ML error — AUC by diagnostic</x:v>
      </x:c>
      <x:c r="U21" s="293" t="str">
        <x:v>Signed log10 ML error — AUC by diagnostic</x:v>
      </x:c>
      <x:c r="V21" s="293" t="str">
        <x:v>Signed log10 ML error — AUC by diagnostic</x:v>
      </x:c>
      <x:c r="W21" s="293" t="str">
        <x:v>Signed log10 ML error — AUC by diagnostic</x:v>
      </x:c>
      <x:c r="X21" s="294" t="str">
        <x:v>Signed log10 ML error — AUC by diagnostic</x:v>
      </x:c>
    </x:row>
    <x:row r="37" ht="19" customHeight="1">
      <x:c r="A37" s="256" t="str">
        <x:v>●  M0 (4 parameters)</x:v>
      </x:c>
      <x:c r="G37" s="251" t="str">
        <x:v>●  M1 (5 parameters)</x:v>
      </x:c>
      <x:c r="H37" s="251" t="str">
        <x:v>●  M1 (5 parameters)</x:v>
      </x:c>
      <x:c r="I37" s="251" t="str">
        <x:v>●  M1 (5 parameters)</x:v>
      </x:c>
      <x:c r="J37" s="251" t="str">
        <x:v>●  M1 (5 parameters)</x:v>
      </x:c>
      <x:c r="K37" s="251" t="str">
        <x:v>●  M1 (5 parameters)</x:v>
      </x:c>
      <x:c r="L37" s="251" t="str">
        <x:v>●  M1 (5 parameters)</x:v>
      </x:c>
      <x:c r="M37" s="260" t="str">
        <x:v>●  M2 (5 parameters)</x:v>
      </x:c>
      <x:c r="N37" s="254" t="str">
        <x:v>●  M3 (7 parameters)</x:v>
      </x:c>
      <x:c r="O37" s="254" t="str">
        <x:v>●  M3 (7 parameters)</x:v>
      </x:c>
      <x:c r="P37" s="254" t="str">
        <x:v>●  M3 (7 parameters)</x:v>
      </x:c>
      <x:c r="Q37" s="254" t="str">
        <x:v>●  M3 (7 parameters)</x:v>
      </x:c>
      <x:c r="R37" s="254" t="str">
        <x:v>●  M3 (7 parameters)</x:v>
      </x:c>
      <x:c r="S37" s="253" t="str">
        <x:v>●  M3 (7 parameters)</x:v>
      </x:c>
    </x:row>
    <x:row r="40" ht="23" customHeight="1">
      <x:c r="A40" s="292" t="str">
        <x:v>Signed PMP error — FNR/FPR by diagnostic</x:v>
      </x:c>
      <x:c r="B40" s="293" t="str">
        <x:v>Signed PMP error — FNR/FPR by diagnostic</x:v>
      </x:c>
      <x:c r="C40" s="293" t="str">
        <x:v>Signed PMP error — FNR/FPR by diagnostic</x:v>
      </x:c>
      <x:c r="D40" s="293" t="str">
        <x:v>Signed PMP error — FNR/FPR by diagnostic</x:v>
      </x:c>
      <x:c r="E40" s="293" t="str">
        <x:v>Signed PMP error — FNR/FPR by diagnostic</x:v>
      </x:c>
      <x:c r="F40" s="293" t="str">
        <x:v>Signed PMP error — FNR/FPR by diagnostic</x:v>
      </x:c>
      <x:c r="G40" s="293" t="str">
        <x:v>Signed PMP error — FNR/FPR by diagnostic</x:v>
      </x:c>
      <x:c r="H40" s="293" t="str">
        <x:v>Signed PMP error — FNR/FPR by diagnostic</x:v>
      </x:c>
      <x:c r="I40" s="293" t="str">
        <x:v>Signed PMP error — FNR/FPR by diagnostic</x:v>
      </x:c>
      <x:c r="J40" s="293" t="str">
        <x:v>Signed PMP error — FNR/FPR by diagnostic</x:v>
      </x:c>
      <x:c r="K40" s="293" t="str">
        <x:v>Signed PMP error — FNR/FPR by diagnostic</x:v>
      </x:c>
      <x:c r="L40" s="293" t="str">
        <x:v>Signed PMP error — FNR/FPR by diagnostic</x:v>
      </x:c>
      <x:c r="M40" s="293" t="str">
        <x:v>Signed PMP error — FNR/FPR by diagnostic</x:v>
      </x:c>
      <x:c r="N40" s="293" t="str">
        <x:v>Signed PMP error — FNR/FPR by diagnostic</x:v>
      </x:c>
      <x:c r="O40" s="293" t="str">
        <x:v>Signed PMP error — FNR/FPR by diagnostic</x:v>
      </x:c>
      <x:c r="P40" s="293" t="str">
        <x:v>Signed PMP error — FNR/FPR by diagnostic</x:v>
      </x:c>
      <x:c r="Q40" s="293" t="str">
        <x:v>Signed PMP error — FNR/FPR by diagnostic</x:v>
      </x:c>
      <x:c r="R40" s="293" t="str">
        <x:v>Signed PMP error — FNR/FPR by diagnostic</x:v>
      </x:c>
      <x:c r="S40" s="293" t="str">
        <x:v>Signed PMP error — FNR/FPR by diagnostic</x:v>
      </x:c>
      <x:c r="T40" s="293" t="str">
        <x:v>Signed PMP error — FNR/FPR by diagnostic</x:v>
      </x:c>
      <x:c r="U40" s="293" t="str">
        <x:v>Signed PMP error — FNR/FPR by diagnostic</x:v>
      </x:c>
      <x:c r="V40" s="293" t="str">
        <x:v>Signed PMP error — FNR/FPR by diagnostic</x:v>
      </x:c>
      <x:c r="W40" s="293" t="str">
        <x:v>Signed PMP error — FNR/FPR by diagnostic</x:v>
      </x:c>
      <x:c r="X40" s="294" t="str">
        <x:v>Signed PMP error — FNR/FPR by diagnostic</x:v>
      </x:c>
    </x:row>
    <x:row r="56" ht="19" customHeight="1">
      <x:c r="A56" s="257" t="str">
        <x:v>●  M0 (4 parameters)</x:v>
      </x:c>
      <x:c r="B56" s="251" t="str">
        <x:v>●  M1 (5 parameters)</x:v>
      </x:c>
      <x:c r="C56" s="251" t="str">
        <x:v>●  M1 (5 parameters)</x:v>
      </x:c>
      <x:c r="D56" s="251" t="str">
        <x:v>●  M1 (5 parameters)</x:v>
      </x:c>
      <x:c r="E56" s="251" t="str">
        <x:v>●  M1 (5 parameters)</x:v>
      </x:c>
      <x:c r="F56" s="251" t="str">
        <x:v>●  M1 (5 parameters)</x:v>
      </x:c>
      <x:c r="G56" s="254" t="str">
        <x:v>●  M3 (7 parameters)</x:v>
      </x:c>
      <x:c r="H56" s="254" t="str">
        <x:v>●  M3 (7 parameters)</x:v>
      </x:c>
      <x:c r="I56" s="260" t="str">
        <x:v>●  M2 (5 parameters)</x:v>
      </x:c>
      <x:c r="J56" s="254" t="str">
        <x:v>●  M3 (7 parameters)</x:v>
      </x:c>
      <x:c r="K56" s="254" t="str">
        <x:v>●  M3 (7 parameters)</x:v>
      </x:c>
      <x:c r="L56" s="254" t="str">
        <x:v>●  M3 (7 parameters)</x:v>
      </x:c>
      <x:c r="M56" s="254" t="str">
        <x:v>●  M3 (7 parameters)</x:v>
      </x:c>
      <x:c r="N56" s="263" t="str">
        <x:v>━━  FNR (solid)</x:v>
      </x:c>
      <x:c r="O56" s="263" t="str">
        <x:v>━━  FNR (solid)</x:v>
      </x:c>
      <x:c r="P56" s="263" t="str">
        <x:v>━━  FNR (solid)</x:v>
      </x:c>
      <x:c r="Q56" s="322" t="str">
        <x:v>━━  FNR (solid)</x:v>
      </x:c>
      <x:c r="R56" s="263" t="str">
        <x:v>━━  FNR (solid)</x:v>
      </x:c>
      <x:c r="S56" s="263" t="str">
        <x:v>┄┄  FPR (dashed)</x:v>
      </x:c>
      <x:c r="T56" s="263" t="str">
        <x:v>┄┄  FPR (dashed)</x:v>
      </x:c>
      <x:c r="U56" s="323" t="str">
        <x:v>┄┄  FPR (dashed)</x:v>
      </x:c>
      <x:c r="V56" s="263" t="str">
        <x:v>┄┄  FPR (dashed)</x:v>
      </x:c>
      <x:c r="W56" s="263" t="str">
        <x:v>┄┄  FPR (dashed)</x:v>
      </x:c>
      <x:c r="X56" s="263" t="str">
        <x:v>┄┄  FPR (dashed)</x:v>
      </x:c>
    </x:row>
    <x:row r="59" ht="23" customHeight="1">
      <x:c r="A59" s="292" t="str">
        <x:v>Signed PMP error — AUC by diagnostic</x:v>
      </x:c>
      <x:c r="B59" s="293" t="str">
        <x:v>Signed PMP error — AUC by diagnostic</x:v>
      </x:c>
      <x:c r="C59" s="293" t="str">
        <x:v>Signed PMP error — AUC by diagnostic</x:v>
      </x:c>
      <x:c r="D59" s="293" t="str">
        <x:v>Signed PMP error — AUC by diagnostic</x:v>
      </x:c>
      <x:c r="E59" s="293" t="str">
        <x:v>Signed PMP error — AUC by diagnostic</x:v>
      </x:c>
      <x:c r="F59" s="293" t="str">
        <x:v>Signed PMP error — AUC by diagnostic</x:v>
      </x:c>
      <x:c r="G59" s="293" t="str">
        <x:v>Signed PMP error — AUC by diagnostic</x:v>
      </x:c>
      <x:c r="H59" s="293" t="str">
        <x:v>Signed PMP error — AUC by diagnostic</x:v>
      </x:c>
      <x:c r="I59" s="293" t="str">
        <x:v>Signed PMP error — AUC by diagnostic</x:v>
      </x:c>
      <x:c r="J59" s="293" t="str">
        <x:v>Signed PMP error — AUC by diagnostic</x:v>
      </x:c>
      <x:c r="K59" s="293" t="str">
        <x:v>Signed PMP error — AUC by diagnostic</x:v>
      </x:c>
      <x:c r="L59" s="293" t="str">
        <x:v>Signed PMP error — AUC by diagnostic</x:v>
      </x:c>
      <x:c r="M59" s="293" t="str">
        <x:v>Signed PMP error — AUC by diagnostic</x:v>
      </x:c>
      <x:c r="N59" s="293" t="str">
        <x:v>Signed PMP error — AUC by diagnostic</x:v>
      </x:c>
      <x:c r="O59" s="293" t="str">
        <x:v>Signed PMP error — AUC by diagnostic</x:v>
      </x:c>
      <x:c r="P59" s="293" t="str">
        <x:v>Signed PMP error — AUC by diagnostic</x:v>
      </x:c>
      <x:c r="Q59" s="293" t="str">
        <x:v>Signed PMP error — AUC by diagnostic</x:v>
      </x:c>
      <x:c r="R59" s="293" t="str">
        <x:v>Signed PMP error — AUC by diagnostic</x:v>
      </x:c>
      <x:c r="S59" s="293" t="str">
        <x:v>Signed PMP error — AUC by diagnostic</x:v>
      </x:c>
      <x:c r="T59" s="293" t="str">
        <x:v>Signed PMP error — AUC by diagnostic</x:v>
      </x:c>
      <x:c r="U59" s="293" t="str">
        <x:v>Signed PMP error — AUC by diagnostic</x:v>
      </x:c>
      <x:c r="V59" s="293" t="str">
        <x:v>Signed PMP error — AUC by diagnostic</x:v>
      </x:c>
      <x:c r="W59" s="293" t="str">
        <x:v>Signed PMP error — AUC by diagnostic</x:v>
      </x:c>
      <x:c r="X59" s="294" t="str">
        <x:v>Signed PMP error — AUC by diagnostic</x:v>
      </x:c>
    </x:row>
    <x:row r="75" ht="19" customHeight="1">
      <x:c r="A75" s="256" t="str">
        <x:v>●  M0 (4 parameters)</x:v>
      </x:c>
      <x:c r="G75" s="251" t="str">
        <x:v>●  M1 (5 parameters)</x:v>
      </x:c>
      <x:c r="H75" s="251" t="str">
        <x:v>●  M1 (5 parameters)</x:v>
      </x:c>
      <x:c r="I75" s="251" t="str">
        <x:v>●  M1 (5 parameters)</x:v>
      </x:c>
      <x:c r="J75" s="251" t="str">
        <x:v>●  M1 (5 parameters)</x:v>
      </x:c>
      <x:c r="K75" s="251" t="str">
        <x:v>●  M1 (5 parameters)</x:v>
      </x:c>
      <x:c r="L75" s="251" t="str">
        <x:v>●  M1 (5 parameters)</x:v>
      </x:c>
      <x:c r="M75" s="260" t="str">
        <x:v>●  M2 (5 parameters)</x:v>
      </x:c>
      <x:c r="N75" s="254" t="str">
        <x:v>●  M3 (7 parameters)</x:v>
      </x:c>
      <x:c r="O75" s="254" t="str">
        <x:v>●  M3 (7 parameters)</x:v>
      </x:c>
      <x:c r="P75" s="254" t="str">
        <x:v>●  M3 (7 parameters)</x:v>
      </x:c>
      <x:c r="Q75" s="254" t="str">
        <x:v>●  M3 (7 parameters)</x:v>
      </x:c>
      <x:c r="R75" s="254" t="str">
        <x:v>●  M3 (7 parameters)</x:v>
      </x:c>
      <x:c r="S75" s="253" t="str">
        <x:v>●  M3 (7 parameters)</x:v>
      </x:c>
    </x:row>
    <x:row r="78" ht="23" customHeight="1">
      <x:c r="A78" s="292" t="str">
        <x:v>Posterior MMD — FNR/FPR by diagnostic</x:v>
      </x:c>
      <x:c r="B78" s="293" t="str">
        <x:v>Posterior MMD — FNR/FPR by diagnostic</x:v>
      </x:c>
      <x:c r="C78" s="293" t="str">
        <x:v>Posterior MMD — FNR/FPR by diagnostic</x:v>
      </x:c>
      <x:c r="D78" s="293" t="str">
        <x:v>Posterior MMD — FNR/FPR by diagnostic</x:v>
      </x:c>
      <x:c r="E78" s="293" t="str">
        <x:v>Posterior MMD — FNR/FPR by diagnostic</x:v>
      </x:c>
      <x:c r="F78" s="293" t="str">
        <x:v>Posterior MMD — FNR/FPR by diagnostic</x:v>
      </x:c>
      <x:c r="G78" s="293" t="str">
        <x:v>Posterior MMD — FNR/FPR by diagnostic</x:v>
      </x:c>
      <x:c r="H78" s="293" t="str">
        <x:v>Posterior MMD — FNR/FPR by diagnostic</x:v>
      </x:c>
      <x:c r="I78" s="293" t="str">
        <x:v>Posterior MMD — FNR/FPR by diagnostic</x:v>
      </x:c>
      <x:c r="J78" s="293" t="str">
        <x:v>Posterior MMD — FNR/FPR by diagnostic</x:v>
      </x:c>
      <x:c r="K78" s="293" t="str">
        <x:v>Posterior MMD — FNR/FPR by diagnostic</x:v>
      </x:c>
      <x:c r="L78" s="293" t="str">
        <x:v>Posterior MMD — FNR/FPR by diagnostic</x:v>
      </x:c>
      <x:c r="M78" s="293" t="str">
        <x:v>Posterior MMD — FNR/FPR by diagnostic</x:v>
      </x:c>
      <x:c r="N78" s="293" t="str">
        <x:v>Posterior MMD — FNR/FPR by diagnostic</x:v>
      </x:c>
      <x:c r="O78" s="293" t="str">
        <x:v>Posterior MMD — FNR/FPR by diagnostic</x:v>
      </x:c>
      <x:c r="P78" s="293" t="str">
        <x:v>Posterior MMD — FNR/FPR by diagnostic</x:v>
      </x:c>
      <x:c r="Q78" s="293" t="str">
        <x:v>Posterior MMD — FNR/FPR by diagnostic</x:v>
      </x:c>
      <x:c r="R78" s="293" t="str">
        <x:v>Posterior MMD — FNR/FPR by diagnostic</x:v>
      </x:c>
      <x:c r="S78" s="293" t="str">
        <x:v>Posterior MMD — FNR/FPR by diagnostic</x:v>
      </x:c>
      <x:c r="T78" s="293" t="str">
        <x:v>Posterior MMD — FNR/FPR by diagnostic</x:v>
      </x:c>
      <x:c r="U78" s="293" t="str">
        <x:v>Posterior MMD — FNR/FPR by diagnostic</x:v>
      </x:c>
      <x:c r="V78" s="293" t="str">
        <x:v>Posterior MMD — FNR/FPR by diagnostic</x:v>
      </x:c>
      <x:c r="W78" s="293" t="str">
        <x:v>Posterior MMD — FNR/FPR by diagnostic</x:v>
      </x:c>
      <x:c r="X78" s="294" t="str">
        <x:v>Posterior MMD — FNR/FPR by diagnostic</x:v>
      </x:c>
    </x:row>
    <x:row r="94" ht="19" customHeight="1">
      <x:c r="A94" s="257" t="str">
        <x:v>●  M0 (4 parameters)</x:v>
      </x:c>
      <x:c r="B94" s="251" t="str">
        <x:v>●  M1 (5 parameters)</x:v>
      </x:c>
      <x:c r="C94" s="251" t="str">
        <x:v>●  M1 (5 parameters)</x:v>
      </x:c>
      <x:c r="D94" s="251" t="str">
        <x:v>●  M1 (5 parameters)</x:v>
      </x:c>
      <x:c r="E94" s="251" t="str">
        <x:v>●  M1 (5 parameters)</x:v>
      </x:c>
      <x:c r="F94" s="251" t="str">
        <x:v>●  M1 (5 parameters)</x:v>
      </x:c>
      <x:c r="G94" s="254" t="str">
        <x:v>●  M3 (7 parameters)</x:v>
      </x:c>
      <x:c r="H94" s="254" t="str">
        <x:v>●  M3 (7 parameters)</x:v>
      </x:c>
      <x:c r="I94" s="260" t="str">
        <x:v>●  M2 (5 parameters)</x:v>
      </x:c>
      <x:c r="J94" s="254" t="str">
        <x:v>●  M3 (7 parameters)</x:v>
      </x:c>
      <x:c r="K94" s="254" t="str">
        <x:v>●  M3 (7 parameters)</x:v>
      </x:c>
      <x:c r="L94" s="254" t="str">
        <x:v>●  M3 (7 parameters)</x:v>
      </x:c>
      <x:c r="M94" s="254" t="str">
        <x:v>●  M3 (7 parameters)</x:v>
      </x:c>
      <x:c r="N94" s="263" t="str">
        <x:v>━━  FNR (solid)</x:v>
      </x:c>
      <x:c r="O94" s="263" t="str">
        <x:v>━━  FNR (solid)</x:v>
      </x:c>
      <x:c r="P94" s="263" t="str">
        <x:v>━━  FNR (solid)</x:v>
      </x:c>
      <x:c r="Q94" s="322" t="str">
        <x:v>━━  FNR (solid)</x:v>
      </x:c>
      <x:c r="R94" s="263" t="str">
        <x:v>━━  FNR (solid)</x:v>
      </x:c>
      <x:c r="S94" s="263" t="str">
        <x:v>┄┄  FPR (dashed)</x:v>
      </x:c>
      <x:c r="T94" s="263" t="str">
        <x:v>┄┄  FPR (dashed)</x:v>
      </x:c>
      <x:c r="U94" s="323" t="str">
        <x:v>┄┄  FPR (dashed)</x:v>
      </x:c>
      <x:c r="V94" s="263" t="str">
        <x:v>┄┄  FPR (dashed)</x:v>
      </x:c>
      <x:c r="W94" s="263" t="str">
        <x:v>┄┄  FPR (dashed)</x:v>
      </x:c>
      <x:c r="X94" s="263" t="str">
        <x:v>┄┄  FPR (dashed)</x:v>
      </x:c>
    </x:row>
    <x:row r="97" ht="23" customHeight="1">
      <x:c r="A97" s="292" t="str">
        <x:v>Posterior MMD — AUC by diagnostic</x:v>
      </x:c>
      <x:c r="B97" s="293" t="str">
        <x:v>Posterior MMD — AUC by diagnostic</x:v>
      </x:c>
      <x:c r="C97" s="293" t="str">
        <x:v>Posterior MMD — AUC by diagnostic</x:v>
      </x:c>
      <x:c r="D97" s="293" t="str">
        <x:v>Posterior MMD — AUC by diagnostic</x:v>
      </x:c>
      <x:c r="E97" s="293" t="str">
        <x:v>Posterior MMD — AUC by diagnostic</x:v>
      </x:c>
      <x:c r="F97" s="293" t="str">
        <x:v>Posterior MMD — AUC by diagnostic</x:v>
      </x:c>
      <x:c r="G97" s="293" t="str">
        <x:v>Posterior MMD — AUC by diagnostic</x:v>
      </x:c>
      <x:c r="H97" s="293" t="str">
        <x:v>Posterior MMD — AUC by diagnostic</x:v>
      </x:c>
      <x:c r="I97" s="293" t="str">
        <x:v>Posterior MMD — AUC by diagnostic</x:v>
      </x:c>
      <x:c r="J97" s="293" t="str">
        <x:v>Posterior MMD — AUC by diagnostic</x:v>
      </x:c>
      <x:c r="K97" s="293" t="str">
        <x:v>Posterior MMD — AUC by diagnostic</x:v>
      </x:c>
      <x:c r="L97" s="293" t="str">
        <x:v>Posterior MMD — AUC by diagnostic</x:v>
      </x:c>
      <x:c r="M97" s="293" t="str">
        <x:v>Posterior MMD — AUC by diagnostic</x:v>
      </x:c>
      <x:c r="N97" s="293" t="str">
        <x:v>Posterior MMD — AUC by diagnostic</x:v>
      </x:c>
      <x:c r="O97" s="293" t="str">
        <x:v>Posterior MMD — AUC by diagnostic</x:v>
      </x:c>
      <x:c r="P97" s="293" t="str">
        <x:v>Posterior MMD — AUC by diagnostic</x:v>
      </x:c>
      <x:c r="Q97" s="293" t="str">
        <x:v>Posterior MMD — AUC by diagnostic</x:v>
      </x:c>
      <x:c r="R97" s="293" t="str">
        <x:v>Posterior MMD — AUC by diagnostic</x:v>
      </x:c>
      <x:c r="S97" s="293" t="str">
        <x:v>Posterior MMD — AUC by diagnostic</x:v>
      </x:c>
      <x:c r="T97" s="293" t="str">
        <x:v>Posterior MMD — AUC by diagnostic</x:v>
      </x:c>
      <x:c r="U97" s="293" t="str">
        <x:v>Posterior MMD — AUC by diagnostic</x:v>
      </x:c>
      <x:c r="V97" s="293" t="str">
        <x:v>Posterior MMD — AUC by diagnostic</x:v>
      </x:c>
      <x:c r="W97" s="293" t="str">
        <x:v>Posterior MMD — AUC by diagnostic</x:v>
      </x:c>
      <x:c r="X97" s="294" t="str">
        <x:v>Posterior MMD — AUC by diagnostic</x:v>
      </x:c>
    </x:row>
    <x:row r="113" ht="19" customHeight="1">
      <x:c r="A113" s="256" t="str">
        <x:v>●  M0 (4 parameters)</x:v>
      </x:c>
      <x:c r="G113" s="251" t="str">
        <x:v>●  M1 (5 parameters)</x:v>
      </x:c>
      <x:c r="H113" s="251" t="str">
        <x:v>●  M1 (5 parameters)</x:v>
      </x:c>
      <x:c r="I113" s="251" t="str">
        <x:v>●  M1 (5 parameters)</x:v>
      </x:c>
      <x:c r="J113" s="251" t="str">
        <x:v>●  M1 (5 parameters)</x:v>
      </x:c>
      <x:c r="K113" s="251" t="str">
        <x:v>●  M1 (5 parameters)</x:v>
      </x:c>
      <x:c r="L113" s="251" t="str">
        <x:v>●  M1 (5 parameters)</x:v>
      </x:c>
      <x:c r="M113" s="260" t="str">
        <x:v>●  M2 (5 parameters)</x:v>
      </x:c>
      <x:c r="N113" s="254" t="str">
        <x:v>●  M3 (7 parameters)</x:v>
      </x:c>
      <x:c r="O113" s="254" t="str">
        <x:v>●  M3 (7 parameters)</x:v>
      </x:c>
      <x:c r="P113" s="254" t="str">
        <x:v>●  M3 (7 parameters)</x:v>
      </x:c>
      <x:c r="Q113" s="254" t="str">
        <x:v>●  M3 (7 parameters)</x:v>
      </x:c>
      <x:c r="R113" s="254" t="str">
        <x:v>●  M3 (7 parameters)</x:v>
      </x:c>
      <x:c r="S113" s="253" t="str">
        <x:v>●  M3 (7 parameters)</x:v>
      </x:c>
    </x:row>
  </x:sheetData>
  <x:mergeCells>
    <x:mergeCell ref="A1:X1"/>
    <x:mergeCell ref="A2:X2"/>
    <x:mergeCell ref="A21:X21"/>
    <x:mergeCell ref="A40:X40"/>
    <x:mergeCell ref="A59:X59"/>
    <x:mergeCell ref="A78:X78"/>
    <x:mergeCell ref="A97:X97"/>
    <x:mergeCell ref="A18:D18"/>
    <x:mergeCell ref="E18:H18"/>
    <x:mergeCell ref="I18:L18"/>
    <x:mergeCell ref="M18:P18"/>
    <x:mergeCell ref="Q18:T18"/>
    <x:mergeCell ref="U18:X18"/>
    <x:mergeCell ref="A56:D56"/>
    <x:mergeCell ref="E56:H56"/>
    <x:mergeCell ref="I56:L56"/>
    <x:mergeCell ref="M56:P56"/>
    <x:mergeCell ref="Q56:T56"/>
    <x:mergeCell ref="U56:X56"/>
    <x:mergeCell ref="A94:D94"/>
    <x:mergeCell ref="E94:H94"/>
    <x:mergeCell ref="I94:L94"/>
    <x:mergeCell ref="M94:P94"/>
    <x:mergeCell ref="Q94:T94"/>
    <x:mergeCell ref="U94:X94"/>
    <x:mergeCell ref="A37:F37"/>
    <x:mergeCell ref="G37:L37"/>
    <x:mergeCell ref="M37:R37"/>
    <x:mergeCell ref="S37:X37"/>
    <x:mergeCell ref="A75:F75"/>
    <x:mergeCell ref="G75:L75"/>
    <x:mergeCell ref="M75:R75"/>
    <x:mergeCell ref="S75:X75"/>
    <x:mergeCell ref="A113:F113"/>
    <x:mergeCell ref="G113:L113"/>
    <x:mergeCell ref="M113:R113"/>
    <x:mergeCell ref="S113:X113"/>
  </x:mergeCells>
  <x:pageMargins left="0.7" right="0.7" top="0.75" bottom="0.75" header="0.3" footer="0.3"/>
  <x:drawing xmlns:r="http://schemas.openxmlformats.org/officeDocument/2006/relationships" r:id="Re952e045b4ed49e0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7.5" hidden="0" customWidth="1"/>
    <x:col min="3" max="3" width="7.5" hidden="0" customWidth="1"/>
    <x:col min="4" max="4" width="7.5" hidden="0" customWidth="1"/>
    <x:col min="5" max="5" width="7.5" hidden="0" customWidth="1"/>
    <x:col min="6" max="6" width="7.5" hidden="0" customWidth="1"/>
    <x:col min="7" max="7" width="7.5" hidden="0" customWidth="1"/>
    <x:col min="8" max="8" width="7.5" hidden="0" customWidth="1"/>
    <x:col min="9" max="9" width="7.5" hidden="0" customWidth="1"/>
    <x:col min="10" max="10" width="7.5" hidden="0" customWidth="1"/>
    <x:col min="11" max="11" width="7.5" hidden="0" customWidth="1"/>
    <x:col min="12" max="12" width="7.5" hidden="0" customWidth="1"/>
    <x:col min="13" max="13" width="7.5" hidden="0" customWidth="1"/>
    <x:col min="14" max="14" width="7.5" hidden="0" customWidth="1"/>
    <x:col min="15" max="15" width="7.5" hidden="0" customWidth="1"/>
    <x:col min="16" max="16" width="7.5" hidden="0" customWidth="1"/>
    <x:col min="17" max="17" width="7.5" hidden="0" customWidth="1"/>
    <x:col min="18" max="18" width="7.5" hidden="0" customWidth="1"/>
    <x:col min="19" max="19" width="7.5" hidden="0" customWidth="1"/>
    <x:col min="20" max="20" width="7.5" hidden="0" customWidth="1"/>
    <x:col min="21" max="21" width="7.5" hidden="0" customWidth="1"/>
    <x:col min="22" max="22" width="7.5" hidden="0" customWidth="1"/>
    <x:col min="23" max="23" width="7.5" hidden="0" customWidth="1"/>
    <x:col min="24" max="24" width="7.5" hidden="0" customWidth="1"/>
  </x:cols>
  <x:sheetData>
    <x:row r="1" ht="28" customHeight="1">
      <x:c r="A1" s="274" t="str">
        <x:v>Empirical data — diagnostic comparison: M0–M3 (4, 5, 5, 7 parameters)</x:v>
      </x:c>
      <x:c r="B1" s="274"/>
      <x:c r="C1" s="274"/>
      <x:c r="D1" s="274"/>
      <x:c r="E1" s="274"/>
      <x:c r="F1" s="274"/>
      <x:c r="G1" s="274"/>
      <x:c r="H1" s="274"/>
      <x:c r="I1" s="274"/>
      <x:c r="J1" s="274"/>
      <x:c r="K1" s="274"/>
      <x:c r="L1" s="274"/>
      <x:c r="M1" s="274"/>
      <x:c r="N1" s="274"/>
      <x:c r="O1" s="274"/>
      <x:c r="P1" s="274"/>
      <x:c r="Q1" s="274"/>
      <x:c r="R1" s="274"/>
      <x:c r="S1" s="274"/>
      <x:c r="T1" s="274"/>
      <x:c r="U1" s="274"/>
      <x:c r="V1" s="274"/>
      <x:c r="W1" s="274"/>
      <x:c r="X1" s="274"/>
    </x:row>
    <x:row r="2" ht="23" customHeight="1">
      <x:c r="A2" s="292" t="str">
        <x:v>Signed log10 ML error — FNR/FPR by diagnostic</x:v>
      </x:c>
      <x:c r="B2" s="293" t="str">
        <x:v>Signed log10 ML error — FNR/FPR by diagnostic</x:v>
      </x:c>
      <x:c r="C2" s="293" t="str">
        <x:v>Signed log10 ML error — FNR/FPR by diagnostic</x:v>
      </x:c>
      <x:c r="D2" s="293" t="str">
        <x:v>Signed log10 ML error — FNR/FPR by diagnostic</x:v>
      </x:c>
      <x:c r="E2" s="293" t="str">
        <x:v>Signed log10 ML error — FNR/FPR by diagnostic</x:v>
      </x:c>
      <x:c r="F2" s="293" t="str">
        <x:v>Signed log10 ML error — FNR/FPR by diagnostic</x:v>
      </x:c>
      <x:c r="G2" s="293" t="str">
        <x:v>Signed log10 ML error — FNR/FPR by diagnostic</x:v>
      </x:c>
      <x:c r="H2" s="293" t="str">
        <x:v>Signed log10 ML error — FNR/FPR by diagnostic</x:v>
      </x:c>
      <x:c r="I2" s="293" t="str">
        <x:v>Signed log10 ML error — FNR/FPR by diagnostic</x:v>
      </x:c>
      <x:c r="J2" s="293" t="str">
        <x:v>Signed log10 ML error — FNR/FPR by diagnostic</x:v>
      </x:c>
      <x:c r="K2" s="293" t="str">
        <x:v>Signed log10 ML error — FNR/FPR by diagnostic</x:v>
      </x:c>
      <x:c r="L2" s="293" t="str">
        <x:v>Signed log10 ML error — FNR/FPR by diagnostic</x:v>
      </x:c>
      <x:c r="M2" s="293" t="str">
        <x:v>Signed log10 ML error — FNR/FPR by diagnostic</x:v>
      </x:c>
      <x:c r="N2" s="293" t="str">
        <x:v>Signed log10 ML error — FNR/FPR by diagnostic</x:v>
      </x:c>
      <x:c r="O2" s="293" t="str">
        <x:v>Signed log10 ML error — FNR/FPR by diagnostic</x:v>
      </x:c>
      <x:c r="P2" s="293" t="str">
        <x:v>Signed log10 ML error — FNR/FPR by diagnostic</x:v>
      </x:c>
      <x:c r="Q2" s="293" t="str">
        <x:v>Signed log10 ML error — FNR/FPR by diagnostic</x:v>
      </x:c>
      <x:c r="R2" s="293" t="str">
        <x:v>Signed log10 ML error — FNR/FPR by diagnostic</x:v>
      </x:c>
      <x:c r="S2" s="293" t="str">
        <x:v>Signed log10 ML error — FNR/FPR by diagnostic</x:v>
      </x:c>
      <x:c r="T2" s="293" t="str">
        <x:v>Signed log10 ML error — FNR/FPR by diagnostic</x:v>
      </x:c>
      <x:c r="U2" s="293" t="str">
        <x:v>Signed log10 ML error — FNR/FPR by diagnostic</x:v>
      </x:c>
      <x:c r="V2" s="293" t="str">
        <x:v>Signed log10 ML error — FNR/FPR by diagnostic</x:v>
      </x:c>
      <x:c r="W2" s="293" t="str">
        <x:v>Signed log10 ML error — FNR/FPR by diagnostic</x:v>
      </x:c>
      <x:c r="X2" s="294" t="str">
        <x:v>Signed log10 ML error — FNR/FPR by diagnostic</x:v>
      </x:c>
    </x:row>
    <x:row r="18" ht="19" customHeight="1">
      <x:c r="A18" s="257" t="str">
        <x:v>●  M0 (4 parameters)</x:v>
      </x:c>
      <x:c r="B18" s="251" t="str">
        <x:v>●  M1 (5 parameters)</x:v>
      </x:c>
      <x:c r="C18" s="251" t="str">
        <x:v>●  M1 (5 parameters)</x:v>
      </x:c>
      <x:c r="D18" s="251" t="str">
        <x:v>●  M1 (5 parameters)</x:v>
      </x:c>
      <x:c r="E18" s="251" t="str">
        <x:v>●  M1 (5 parameters)</x:v>
      </x:c>
      <x:c r="F18" s="251" t="str">
        <x:v>●  M1 (5 parameters)</x:v>
      </x:c>
      <x:c r="G18" s="254" t="str">
        <x:v>●  M3 (7 parameters)</x:v>
      </x:c>
      <x:c r="H18" s="254" t="str">
        <x:v>●  M3 (7 parameters)</x:v>
      </x:c>
      <x:c r="I18" s="260" t="str">
        <x:v>●  M2 (5 parameters)</x:v>
      </x:c>
      <x:c r="J18" s="254" t="str">
        <x:v>●  M3 (7 parameters)</x:v>
      </x:c>
      <x:c r="K18" s="254" t="str">
        <x:v>●  M3 (7 parameters)</x:v>
      </x:c>
      <x:c r="L18" s="254" t="str">
        <x:v>●  M3 (7 parameters)</x:v>
      </x:c>
      <x:c r="M18" s="254" t="str">
        <x:v>●  M3 (7 parameters)</x:v>
      </x:c>
      <x:c r="N18" s="263" t="str">
        <x:v>━━  FNR (solid)</x:v>
      </x:c>
      <x:c r="O18" s="263" t="str">
        <x:v>━━  FNR (solid)</x:v>
      </x:c>
      <x:c r="P18" s="263" t="str">
        <x:v>━━  FNR (solid)</x:v>
      </x:c>
      <x:c r="Q18" s="322" t="str">
        <x:v>━━  FNR (solid)</x:v>
      </x:c>
      <x:c r="R18" s="263" t="str">
        <x:v>━━  FNR (solid)</x:v>
      </x:c>
      <x:c r="S18" s="263" t="str">
        <x:v>┄┄  FPR (dashed)</x:v>
      </x:c>
      <x:c r="T18" s="263" t="str">
        <x:v>┄┄  FPR (dashed)</x:v>
      </x:c>
      <x:c r="U18" s="323" t="str">
        <x:v>┄┄  FPR (dashed)</x:v>
      </x:c>
      <x:c r="V18" s="263" t="str">
        <x:v>┄┄  FPR (dashed)</x:v>
      </x:c>
      <x:c r="W18" s="263" t="str">
        <x:v>┄┄  FPR (dashed)</x:v>
      </x:c>
      <x:c r="X18" s="263" t="str">
        <x:v>┄┄  FPR (dashed)</x:v>
      </x:c>
    </x:row>
    <x:row r="21" ht="23" customHeight="1">
      <x:c r="A21" s="292" t="str">
        <x:v>Signed log10 ML error — AUC by diagnostic</x:v>
      </x:c>
      <x:c r="B21" s="293" t="str">
        <x:v>Signed log10 ML error — AUC by diagnostic</x:v>
      </x:c>
      <x:c r="C21" s="293" t="str">
        <x:v>Signed log10 ML error — AUC by diagnostic</x:v>
      </x:c>
      <x:c r="D21" s="293" t="str">
        <x:v>Signed log10 ML error — AUC by diagnostic</x:v>
      </x:c>
      <x:c r="E21" s="293" t="str">
        <x:v>Signed log10 ML error — AUC by diagnostic</x:v>
      </x:c>
      <x:c r="F21" s="293" t="str">
        <x:v>Signed log10 ML error — AUC by diagnostic</x:v>
      </x:c>
      <x:c r="G21" s="293" t="str">
        <x:v>Signed log10 ML error — AUC by diagnostic</x:v>
      </x:c>
      <x:c r="H21" s="293" t="str">
        <x:v>Signed log10 ML error — AUC by diagnostic</x:v>
      </x:c>
      <x:c r="I21" s="293" t="str">
        <x:v>Signed log10 ML error — AUC by diagnostic</x:v>
      </x:c>
      <x:c r="J21" s="293" t="str">
        <x:v>Signed log10 ML error — AUC by diagnostic</x:v>
      </x:c>
      <x:c r="K21" s="293" t="str">
        <x:v>Signed log10 ML error — AUC by diagnostic</x:v>
      </x:c>
      <x:c r="L21" s="293" t="str">
        <x:v>Signed log10 ML error — AUC by diagnostic</x:v>
      </x:c>
      <x:c r="M21" s="293" t="str">
        <x:v>Signed log10 ML error — AUC by diagnostic</x:v>
      </x:c>
      <x:c r="N21" s="293" t="str">
        <x:v>Signed log10 ML error — AUC by diagnostic</x:v>
      </x:c>
      <x:c r="O21" s="293" t="str">
        <x:v>Signed log10 ML error — AUC by diagnostic</x:v>
      </x:c>
      <x:c r="P21" s="293" t="str">
        <x:v>Signed log10 ML error — AUC by diagnostic</x:v>
      </x:c>
      <x:c r="Q21" s="293" t="str">
        <x:v>Signed log10 ML error — AUC by diagnostic</x:v>
      </x:c>
      <x:c r="R21" s="293" t="str">
        <x:v>Signed log10 ML error — AUC by diagnostic</x:v>
      </x:c>
      <x:c r="S21" s="293" t="str">
        <x:v>Signed log10 ML error — AUC by diagnostic</x:v>
      </x:c>
      <x:c r="T21" s="293" t="str">
        <x:v>Signed log10 ML error — AUC by diagnostic</x:v>
      </x:c>
      <x:c r="U21" s="293" t="str">
        <x:v>Signed log10 ML error — AUC by diagnostic</x:v>
      </x:c>
      <x:c r="V21" s="293" t="str">
        <x:v>Signed log10 ML error — AUC by diagnostic</x:v>
      </x:c>
      <x:c r="W21" s="293" t="str">
        <x:v>Signed log10 ML error — AUC by diagnostic</x:v>
      </x:c>
      <x:c r="X21" s="294" t="str">
        <x:v>Signed log10 ML error — AUC by diagnostic</x:v>
      </x:c>
    </x:row>
    <x:row r="37" ht="19" customHeight="1">
      <x:c r="A37" s="256" t="str">
        <x:v>●  M0 (4 parameters)</x:v>
      </x:c>
      <x:c r="G37" s="251" t="str">
        <x:v>●  M1 (5 parameters)</x:v>
      </x:c>
      <x:c r="H37" s="251" t="str">
        <x:v>●  M1 (5 parameters)</x:v>
      </x:c>
      <x:c r="I37" s="251" t="str">
        <x:v>●  M1 (5 parameters)</x:v>
      </x:c>
      <x:c r="J37" s="251" t="str">
        <x:v>●  M1 (5 parameters)</x:v>
      </x:c>
      <x:c r="K37" s="251" t="str">
        <x:v>●  M1 (5 parameters)</x:v>
      </x:c>
      <x:c r="L37" s="251" t="str">
        <x:v>●  M1 (5 parameters)</x:v>
      </x:c>
      <x:c r="M37" s="260" t="str">
        <x:v>●  M2 (5 parameters)</x:v>
      </x:c>
      <x:c r="N37" s="254" t="str">
        <x:v>●  M3 (7 parameters)</x:v>
      </x:c>
      <x:c r="O37" s="254" t="str">
        <x:v>●  M3 (7 parameters)</x:v>
      </x:c>
      <x:c r="P37" s="254" t="str">
        <x:v>●  M3 (7 parameters)</x:v>
      </x:c>
      <x:c r="Q37" s="254" t="str">
        <x:v>●  M3 (7 parameters)</x:v>
      </x:c>
      <x:c r="R37" s="254" t="str">
        <x:v>●  M3 (7 parameters)</x:v>
      </x:c>
      <x:c r="S37" s="253" t="str">
        <x:v>●  M3 (7 parameters)</x:v>
      </x:c>
    </x:row>
    <x:row r="40" ht="23" customHeight="1">
      <x:c r="A40" s="292" t="str">
        <x:v>Signed PMP error — FNR/FPR by diagnostic</x:v>
      </x:c>
      <x:c r="B40" s="293" t="str">
        <x:v>Signed PMP error — FNR/FPR by diagnostic</x:v>
      </x:c>
      <x:c r="C40" s="293" t="str">
        <x:v>Signed PMP error — FNR/FPR by diagnostic</x:v>
      </x:c>
      <x:c r="D40" s="293" t="str">
        <x:v>Signed PMP error — FNR/FPR by diagnostic</x:v>
      </x:c>
      <x:c r="E40" s="293" t="str">
        <x:v>Signed PMP error — FNR/FPR by diagnostic</x:v>
      </x:c>
      <x:c r="F40" s="293" t="str">
        <x:v>Signed PMP error — FNR/FPR by diagnostic</x:v>
      </x:c>
      <x:c r="G40" s="293" t="str">
        <x:v>Signed PMP error — FNR/FPR by diagnostic</x:v>
      </x:c>
      <x:c r="H40" s="293" t="str">
        <x:v>Signed PMP error — FNR/FPR by diagnostic</x:v>
      </x:c>
      <x:c r="I40" s="293" t="str">
        <x:v>Signed PMP error — FNR/FPR by diagnostic</x:v>
      </x:c>
      <x:c r="J40" s="293" t="str">
        <x:v>Signed PMP error — FNR/FPR by diagnostic</x:v>
      </x:c>
      <x:c r="K40" s="293" t="str">
        <x:v>Signed PMP error — FNR/FPR by diagnostic</x:v>
      </x:c>
      <x:c r="L40" s="293" t="str">
        <x:v>Signed PMP error — FNR/FPR by diagnostic</x:v>
      </x:c>
      <x:c r="M40" s="293" t="str">
        <x:v>Signed PMP error — FNR/FPR by diagnostic</x:v>
      </x:c>
      <x:c r="N40" s="293" t="str">
        <x:v>Signed PMP error — FNR/FPR by diagnostic</x:v>
      </x:c>
      <x:c r="O40" s="293" t="str">
        <x:v>Signed PMP error — FNR/FPR by diagnostic</x:v>
      </x:c>
      <x:c r="P40" s="293" t="str">
        <x:v>Signed PMP error — FNR/FPR by diagnostic</x:v>
      </x:c>
      <x:c r="Q40" s="293" t="str">
        <x:v>Signed PMP error — FNR/FPR by diagnostic</x:v>
      </x:c>
      <x:c r="R40" s="293" t="str">
        <x:v>Signed PMP error — FNR/FPR by diagnostic</x:v>
      </x:c>
      <x:c r="S40" s="293" t="str">
        <x:v>Signed PMP error — FNR/FPR by diagnostic</x:v>
      </x:c>
      <x:c r="T40" s="293" t="str">
        <x:v>Signed PMP error — FNR/FPR by diagnostic</x:v>
      </x:c>
      <x:c r="U40" s="293" t="str">
        <x:v>Signed PMP error — FNR/FPR by diagnostic</x:v>
      </x:c>
      <x:c r="V40" s="293" t="str">
        <x:v>Signed PMP error — FNR/FPR by diagnostic</x:v>
      </x:c>
      <x:c r="W40" s="293" t="str">
        <x:v>Signed PMP error — FNR/FPR by diagnostic</x:v>
      </x:c>
      <x:c r="X40" s="294" t="str">
        <x:v>Signed PMP error — FNR/FPR by diagnostic</x:v>
      </x:c>
    </x:row>
    <x:row r="56" ht="19" customHeight="1">
      <x:c r="A56" s="257" t="str">
        <x:v>●  M0 (4 parameters)</x:v>
      </x:c>
      <x:c r="B56" s="251" t="str">
        <x:v>●  M1 (5 parameters)</x:v>
      </x:c>
      <x:c r="C56" s="251" t="str">
        <x:v>●  M1 (5 parameters)</x:v>
      </x:c>
      <x:c r="D56" s="251" t="str">
        <x:v>●  M1 (5 parameters)</x:v>
      </x:c>
      <x:c r="E56" s="251" t="str">
        <x:v>●  M1 (5 parameters)</x:v>
      </x:c>
      <x:c r="F56" s="251" t="str">
        <x:v>●  M1 (5 parameters)</x:v>
      </x:c>
      <x:c r="G56" s="254" t="str">
        <x:v>●  M3 (7 parameters)</x:v>
      </x:c>
      <x:c r="H56" s="254" t="str">
        <x:v>●  M3 (7 parameters)</x:v>
      </x:c>
      <x:c r="I56" s="260" t="str">
        <x:v>●  M2 (5 parameters)</x:v>
      </x:c>
      <x:c r="J56" s="254" t="str">
        <x:v>●  M3 (7 parameters)</x:v>
      </x:c>
      <x:c r="K56" s="254" t="str">
        <x:v>●  M3 (7 parameters)</x:v>
      </x:c>
      <x:c r="L56" s="254" t="str">
        <x:v>●  M3 (7 parameters)</x:v>
      </x:c>
      <x:c r="M56" s="254" t="str">
        <x:v>●  M3 (7 parameters)</x:v>
      </x:c>
      <x:c r="N56" s="263" t="str">
        <x:v>━━  FNR (solid)</x:v>
      </x:c>
      <x:c r="O56" s="263" t="str">
        <x:v>━━  FNR (solid)</x:v>
      </x:c>
      <x:c r="P56" s="263" t="str">
        <x:v>━━  FNR (solid)</x:v>
      </x:c>
      <x:c r="Q56" s="322" t="str">
        <x:v>━━  FNR (solid)</x:v>
      </x:c>
      <x:c r="R56" s="263" t="str">
        <x:v>━━  FNR (solid)</x:v>
      </x:c>
      <x:c r="S56" s="263" t="str">
        <x:v>┄┄  FPR (dashed)</x:v>
      </x:c>
      <x:c r="T56" s="263" t="str">
        <x:v>┄┄  FPR (dashed)</x:v>
      </x:c>
      <x:c r="U56" s="323" t="str">
        <x:v>┄┄  FPR (dashed)</x:v>
      </x:c>
      <x:c r="V56" s="263" t="str">
        <x:v>┄┄  FPR (dashed)</x:v>
      </x:c>
      <x:c r="W56" s="263" t="str">
        <x:v>┄┄  FPR (dashed)</x:v>
      </x:c>
      <x:c r="X56" s="263" t="str">
        <x:v>┄┄  FPR (dashed)</x:v>
      </x:c>
    </x:row>
    <x:row r="59" ht="23" customHeight="1">
      <x:c r="A59" s="292" t="str">
        <x:v>Signed PMP error — AUC by diagnostic</x:v>
      </x:c>
      <x:c r="B59" s="293" t="str">
        <x:v>Signed PMP error — AUC by diagnostic</x:v>
      </x:c>
      <x:c r="C59" s="293" t="str">
        <x:v>Signed PMP error — AUC by diagnostic</x:v>
      </x:c>
      <x:c r="D59" s="293" t="str">
        <x:v>Signed PMP error — AUC by diagnostic</x:v>
      </x:c>
      <x:c r="E59" s="293" t="str">
        <x:v>Signed PMP error — AUC by diagnostic</x:v>
      </x:c>
      <x:c r="F59" s="293" t="str">
        <x:v>Signed PMP error — AUC by diagnostic</x:v>
      </x:c>
      <x:c r="G59" s="293" t="str">
        <x:v>Signed PMP error — AUC by diagnostic</x:v>
      </x:c>
      <x:c r="H59" s="293" t="str">
        <x:v>Signed PMP error — AUC by diagnostic</x:v>
      </x:c>
      <x:c r="I59" s="293" t="str">
        <x:v>Signed PMP error — AUC by diagnostic</x:v>
      </x:c>
      <x:c r="J59" s="293" t="str">
        <x:v>Signed PMP error — AUC by diagnostic</x:v>
      </x:c>
      <x:c r="K59" s="293" t="str">
        <x:v>Signed PMP error — AUC by diagnostic</x:v>
      </x:c>
      <x:c r="L59" s="293" t="str">
        <x:v>Signed PMP error — AUC by diagnostic</x:v>
      </x:c>
      <x:c r="M59" s="293" t="str">
        <x:v>Signed PMP error — AUC by diagnostic</x:v>
      </x:c>
      <x:c r="N59" s="293" t="str">
        <x:v>Signed PMP error — AUC by diagnostic</x:v>
      </x:c>
      <x:c r="O59" s="293" t="str">
        <x:v>Signed PMP error — AUC by diagnostic</x:v>
      </x:c>
      <x:c r="P59" s="293" t="str">
        <x:v>Signed PMP error — AUC by diagnostic</x:v>
      </x:c>
      <x:c r="Q59" s="293" t="str">
        <x:v>Signed PMP error — AUC by diagnostic</x:v>
      </x:c>
      <x:c r="R59" s="293" t="str">
        <x:v>Signed PMP error — AUC by diagnostic</x:v>
      </x:c>
      <x:c r="S59" s="293" t="str">
        <x:v>Signed PMP error — AUC by diagnostic</x:v>
      </x:c>
      <x:c r="T59" s="293" t="str">
        <x:v>Signed PMP error — AUC by diagnostic</x:v>
      </x:c>
      <x:c r="U59" s="293" t="str">
        <x:v>Signed PMP error — AUC by diagnostic</x:v>
      </x:c>
      <x:c r="V59" s="293" t="str">
        <x:v>Signed PMP error — AUC by diagnostic</x:v>
      </x:c>
      <x:c r="W59" s="293" t="str">
        <x:v>Signed PMP error — AUC by diagnostic</x:v>
      </x:c>
      <x:c r="X59" s="294" t="str">
        <x:v>Signed PMP error — AUC by diagnostic</x:v>
      </x:c>
    </x:row>
    <x:row r="75" ht="19" customHeight="1">
      <x:c r="A75" s="256" t="str">
        <x:v>●  M0 (4 parameters)</x:v>
      </x:c>
      <x:c r="G75" s="251" t="str">
        <x:v>●  M1 (5 parameters)</x:v>
      </x:c>
      <x:c r="H75" s="251" t="str">
        <x:v>●  M1 (5 parameters)</x:v>
      </x:c>
      <x:c r="I75" s="251" t="str">
        <x:v>●  M1 (5 parameters)</x:v>
      </x:c>
      <x:c r="J75" s="251" t="str">
        <x:v>●  M1 (5 parameters)</x:v>
      </x:c>
      <x:c r="K75" s="251" t="str">
        <x:v>●  M1 (5 parameters)</x:v>
      </x:c>
      <x:c r="L75" s="251" t="str">
        <x:v>●  M1 (5 parameters)</x:v>
      </x:c>
      <x:c r="M75" s="260" t="str">
        <x:v>●  M2 (5 parameters)</x:v>
      </x:c>
      <x:c r="N75" s="254" t="str">
        <x:v>●  M3 (7 parameters)</x:v>
      </x:c>
      <x:c r="O75" s="254" t="str">
        <x:v>●  M3 (7 parameters)</x:v>
      </x:c>
      <x:c r="P75" s="254" t="str">
        <x:v>●  M3 (7 parameters)</x:v>
      </x:c>
      <x:c r="Q75" s="254" t="str">
        <x:v>●  M3 (7 parameters)</x:v>
      </x:c>
      <x:c r="R75" s="254" t="str">
        <x:v>●  M3 (7 parameters)</x:v>
      </x:c>
      <x:c r="S75" s="253" t="str">
        <x:v>●  M3 (7 parameters)</x:v>
      </x:c>
    </x:row>
    <x:row r="78" ht="23" customHeight="1">
      <x:c r="A78" s="292" t="str">
        <x:v>Posterior MMD — FNR/FPR by diagnostic</x:v>
      </x:c>
      <x:c r="B78" s="293" t="str">
        <x:v>Posterior MMD — FNR/FPR by diagnostic</x:v>
      </x:c>
      <x:c r="C78" s="293" t="str">
        <x:v>Posterior MMD — FNR/FPR by diagnostic</x:v>
      </x:c>
      <x:c r="D78" s="293" t="str">
        <x:v>Posterior MMD — FNR/FPR by diagnostic</x:v>
      </x:c>
      <x:c r="E78" s="293" t="str">
        <x:v>Posterior MMD — FNR/FPR by diagnostic</x:v>
      </x:c>
      <x:c r="F78" s="293" t="str">
        <x:v>Posterior MMD — FNR/FPR by diagnostic</x:v>
      </x:c>
      <x:c r="G78" s="293" t="str">
        <x:v>Posterior MMD — FNR/FPR by diagnostic</x:v>
      </x:c>
      <x:c r="H78" s="293" t="str">
        <x:v>Posterior MMD — FNR/FPR by diagnostic</x:v>
      </x:c>
      <x:c r="I78" s="293" t="str">
        <x:v>Posterior MMD — FNR/FPR by diagnostic</x:v>
      </x:c>
      <x:c r="J78" s="293" t="str">
        <x:v>Posterior MMD — FNR/FPR by diagnostic</x:v>
      </x:c>
      <x:c r="K78" s="293" t="str">
        <x:v>Posterior MMD — FNR/FPR by diagnostic</x:v>
      </x:c>
      <x:c r="L78" s="293" t="str">
        <x:v>Posterior MMD — FNR/FPR by diagnostic</x:v>
      </x:c>
      <x:c r="M78" s="293" t="str">
        <x:v>Posterior MMD — FNR/FPR by diagnostic</x:v>
      </x:c>
      <x:c r="N78" s="293" t="str">
        <x:v>Posterior MMD — FNR/FPR by diagnostic</x:v>
      </x:c>
      <x:c r="O78" s="293" t="str">
        <x:v>Posterior MMD — FNR/FPR by diagnostic</x:v>
      </x:c>
      <x:c r="P78" s="293" t="str">
        <x:v>Posterior MMD — FNR/FPR by diagnostic</x:v>
      </x:c>
      <x:c r="Q78" s="293" t="str">
        <x:v>Posterior MMD — FNR/FPR by diagnostic</x:v>
      </x:c>
      <x:c r="R78" s="293" t="str">
        <x:v>Posterior MMD — FNR/FPR by diagnostic</x:v>
      </x:c>
      <x:c r="S78" s="293" t="str">
        <x:v>Posterior MMD — FNR/FPR by diagnostic</x:v>
      </x:c>
      <x:c r="T78" s="293" t="str">
        <x:v>Posterior MMD — FNR/FPR by diagnostic</x:v>
      </x:c>
      <x:c r="U78" s="293" t="str">
        <x:v>Posterior MMD — FNR/FPR by diagnostic</x:v>
      </x:c>
      <x:c r="V78" s="293" t="str">
        <x:v>Posterior MMD — FNR/FPR by diagnostic</x:v>
      </x:c>
      <x:c r="W78" s="293" t="str">
        <x:v>Posterior MMD — FNR/FPR by diagnostic</x:v>
      </x:c>
      <x:c r="X78" s="294" t="str">
        <x:v>Posterior MMD — FNR/FPR by diagnostic</x:v>
      </x:c>
    </x:row>
    <x:row r="94" ht="19" customHeight="1">
      <x:c r="A94" s="257" t="str">
        <x:v>●  M0 (4 parameters)</x:v>
      </x:c>
      <x:c r="B94" s="251" t="str">
        <x:v>●  M1 (5 parameters)</x:v>
      </x:c>
      <x:c r="C94" s="251" t="str">
        <x:v>●  M1 (5 parameters)</x:v>
      </x:c>
      <x:c r="D94" s="251" t="str">
        <x:v>●  M1 (5 parameters)</x:v>
      </x:c>
      <x:c r="E94" s="251" t="str">
        <x:v>●  M1 (5 parameters)</x:v>
      </x:c>
      <x:c r="F94" s="251" t="str">
        <x:v>●  M1 (5 parameters)</x:v>
      </x:c>
      <x:c r="G94" s="254" t="str">
        <x:v>●  M3 (7 parameters)</x:v>
      </x:c>
      <x:c r="H94" s="254" t="str">
        <x:v>●  M3 (7 parameters)</x:v>
      </x:c>
      <x:c r="I94" s="260" t="str">
        <x:v>●  M2 (5 parameters)</x:v>
      </x:c>
      <x:c r="J94" s="254" t="str">
        <x:v>●  M3 (7 parameters)</x:v>
      </x:c>
      <x:c r="K94" s="254" t="str">
        <x:v>●  M3 (7 parameters)</x:v>
      </x:c>
      <x:c r="L94" s="254" t="str">
        <x:v>●  M3 (7 parameters)</x:v>
      </x:c>
      <x:c r="M94" s="254" t="str">
        <x:v>●  M3 (7 parameters)</x:v>
      </x:c>
      <x:c r="N94" s="263" t="str">
        <x:v>━━  FNR (solid)</x:v>
      </x:c>
      <x:c r="O94" s="263" t="str">
        <x:v>━━  FNR (solid)</x:v>
      </x:c>
      <x:c r="P94" s="263" t="str">
        <x:v>━━  FNR (solid)</x:v>
      </x:c>
      <x:c r="Q94" s="322" t="str">
        <x:v>━━  FNR (solid)</x:v>
      </x:c>
      <x:c r="R94" s="263" t="str">
        <x:v>━━  FNR (solid)</x:v>
      </x:c>
      <x:c r="S94" s="263" t="str">
        <x:v>┄┄  FPR (dashed)</x:v>
      </x:c>
      <x:c r="T94" s="263" t="str">
        <x:v>┄┄  FPR (dashed)</x:v>
      </x:c>
      <x:c r="U94" s="323" t="str">
        <x:v>┄┄  FPR (dashed)</x:v>
      </x:c>
      <x:c r="V94" s="263" t="str">
        <x:v>┄┄  FPR (dashed)</x:v>
      </x:c>
      <x:c r="W94" s="263" t="str">
        <x:v>┄┄  FPR (dashed)</x:v>
      </x:c>
      <x:c r="X94" s="263" t="str">
        <x:v>┄┄  FPR (dashed)</x:v>
      </x:c>
    </x:row>
    <x:row r="97" ht="23" customHeight="1">
      <x:c r="A97" s="292" t="str">
        <x:v>Posterior MMD — AUC by diagnostic</x:v>
      </x:c>
      <x:c r="B97" s="293" t="str">
        <x:v>Posterior MMD — AUC by diagnostic</x:v>
      </x:c>
      <x:c r="C97" s="293" t="str">
        <x:v>Posterior MMD — AUC by diagnostic</x:v>
      </x:c>
      <x:c r="D97" s="293" t="str">
        <x:v>Posterior MMD — AUC by diagnostic</x:v>
      </x:c>
      <x:c r="E97" s="293" t="str">
        <x:v>Posterior MMD — AUC by diagnostic</x:v>
      </x:c>
      <x:c r="F97" s="293" t="str">
        <x:v>Posterior MMD — AUC by diagnostic</x:v>
      </x:c>
      <x:c r="G97" s="293" t="str">
        <x:v>Posterior MMD — AUC by diagnostic</x:v>
      </x:c>
      <x:c r="H97" s="293" t="str">
        <x:v>Posterior MMD — AUC by diagnostic</x:v>
      </x:c>
      <x:c r="I97" s="293" t="str">
        <x:v>Posterior MMD — AUC by diagnostic</x:v>
      </x:c>
      <x:c r="J97" s="293" t="str">
        <x:v>Posterior MMD — AUC by diagnostic</x:v>
      </x:c>
      <x:c r="K97" s="293" t="str">
        <x:v>Posterior MMD — AUC by diagnostic</x:v>
      </x:c>
      <x:c r="L97" s="293" t="str">
        <x:v>Posterior MMD — AUC by diagnostic</x:v>
      </x:c>
      <x:c r="M97" s="293" t="str">
        <x:v>Posterior MMD — AUC by diagnostic</x:v>
      </x:c>
      <x:c r="N97" s="293" t="str">
        <x:v>Posterior MMD — AUC by diagnostic</x:v>
      </x:c>
      <x:c r="O97" s="293" t="str">
        <x:v>Posterior MMD — AUC by diagnostic</x:v>
      </x:c>
      <x:c r="P97" s="293" t="str">
        <x:v>Posterior MMD — AUC by diagnostic</x:v>
      </x:c>
      <x:c r="Q97" s="293" t="str">
        <x:v>Posterior MMD — AUC by diagnostic</x:v>
      </x:c>
      <x:c r="R97" s="293" t="str">
        <x:v>Posterior MMD — AUC by diagnostic</x:v>
      </x:c>
      <x:c r="S97" s="293" t="str">
        <x:v>Posterior MMD — AUC by diagnostic</x:v>
      </x:c>
      <x:c r="T97" s="293" t="str">
        <x:v>Posterior MMD — AUC by diagnostic</x:v>
      </x:c>
      <x:c r="U97" s="293" t="str">
        <x:v>Posterior MMD — AUC by diagnostic</x:v>
      </x:c>
      <x:c r="V97" s="293" t="str">
        <x:v>Posterior MMD — AUC by diagnostic</x:v>
      </x:c>
      <x:c r="W97" s="293" t="str">
        <x:v>Posterior MMD — AUC by diagnostic</x:v>
      </x:c>
      <x:c r="X97" s="294" t="str">
        <x:v>Posterior MMD — AUC by diagnostic</x:v>
      </x:c>
    </x:row>
    <x:row r="113" ht="19" customHeight="1">
      <x:c r="A113" s="256" t="str">
        <x:v>●  M0 (4 parameters)</x:v>
      </x:c>
      <x:c r="G113" s="251" t="str">
        <x:v>●  M1 (5 parameters)</x:v>
      </x:c>
      <x:c r="H113" s="251" t="str">
        <x:v>●  M1 (5 parameters)</x:v>
      </x:c>
      <x:c r="I113" s="251" t="str">
        <x:v>●  M1 (5 parameters)</x:v>
      </x:c>
      <x:c r="J113" s="251" t="str">
        <x:v>●  M1 (5 parameters)</x:v>
      </x:c>
      <x:c r="K113" s="251" t="str">
        <x:v>●  M1 (5 parameters)</x:v>
      </x:c>
      <x:c r="L113" s="251" t="str">
        <x:v>●  M1 (5 parameters)</x:v>
      </x:c>
      <x:c r="M113" s="260" t="str">
        <x:v>●  M2 (5 parameters)</x:v>
      </x:c>
      <x:c r="N113" s="254" t="str">
        <x:v>●  M3 (7 parameters)</x:v>
      </x:c>
      <x:c r="O113" s="254" t="str">
        <x:v>●  M3 (7 parameters)</x:v>
      </x:c>
      <x:c r="P113" s="254" t="str">
        <x:v>●  M3 (7 parameters)</x:v>
      </x:c>
      <x:c r="Q113" s="254" t="str">
        <x:v>●  M3 (7 parameters)</x:v>
      </x:c>
      <x:c r="R113" s="254" t="str">
        <x:v>●  M3 (7 parameters)</x:v>
      </x:c>
      <x:c r="S113" s="253" t="str">
        <x:v>●  M3 (7 parameters)</x:v>
      </x:c>
    </x:row>
  </x:sheetData>
  <x:mergeCells>
    <x:mergeCell ref="A1:X1"/>
    <x:mergeCell ref="A2:X2"/>
    <x:mergeCell ref="A21:X21"/>
    <x:mergeCell ref="A40:X40"/>
    <x:mergeCell ref="A59:X59"/>
    <x:mergeCell ref="A78:X78"/>
    <x:mergeCell ref="A97:X97"/>
    <x:mergeCell ref="A18:D18"/>
    <x:mergeCell ref="E18:H18"/>
    <x:mergeCell ref="I18:L18"/>
    <x:mergeCell ref="M18:P18"/>
    <x:mergeCell ref="Q18:T18"/>
    <x:mergeCell ref="U18:X18"/>
    <x:mergeCell ref="A56:D56"/>
    <x:mergeCell ref="E56:H56"/>
    <x:mergeCell ref="I56:L56"/>
    <x:mergeCell ref="M56:P56"/>
    <x:mergeCell ref="Q56:T56"/>
    <x:mergeCell ref="U56:X56"/>
    <x:mergeCell ref="A94:D94"/>
    <x:mergeCell ref="E94:H94"/>
    <x:mergeCell ref="I94:L94"/>
    <x:mergeCell ref="M94:P94"/>
    <x:mergeCell ref="Q94:T94"/>
    <x:mergeCell ref="U94:X94"/>
    <x:mergeCell ref="A37:F37"/>
    <x:mergeCell ref="G37:L37"/>
    <x:mergeCell ref="M37:R37"/>
    <x:mergeCell ref="S37:X37"/>
    <x:mergeCell ref="A75:F75"/>
    <x:mergeCell ref="G75:L75"/>
    <x:mergeCell ref="M75:R75"/>
    <x:mergeCell ref="S75:X75"/>
    <x:mergeCell ref="A113:F113"/>
    <x:mergeCell ref="G113:L113"/>
    <x:mergeCell ref="M113:R113"/>
    <x:mergeCell ref="S113:X113"/>
  </x:mergeCells>
  <x:pageMargins left="0.7" right="0.7" top="0.75" bottom="0.75" header="0.3" footer="0.3"/>
  <x:drawing xmlns:r="http://schemas.openxmlformats.org/officeDocument/2006/relationships" r:id="R27a3863759dc4c98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7.5" hidden="0" customWidth="1"/>
    <x:col min="3" max="3" width="7.5" hidden="0" customWidth="1"/>
    <x:col min="4" max="4" width="7.5" hidden="0" customWidth="1"/>
    <x:col min="5" max="5" width="7.5" hidden="0" customWidth="1"/>
    <x:col min="6" max="6" width="7.5" hidden="0" customWidth="1"/>
    <x:col min="7" max="7" width="7.5" hidden="0" customWidth="1"/>
    <x:col min="8" max="8" width="7.5" hidden="0" customWidth="1"/>
    <x:col min="9" max="9" width="7.5" hidden="0" customWidth="1"/>
    <x:col min="10" max="10" width="7.5" hidden="0" customWidth="1"/>
    <x:col min="11" max="11" width="7.5" hidden="0" customWidth="1"/>
    <x:col min="12" max="12" width="7.5" hidden="0" customWidth="1"/>
    <x:col min="13" max="13" width="7.5" hidden="0" customWidth="1"/>
    <x:col min="14" max="14" width="7.5" hidden="0" customWidth="1"/>
    <x:col min="15" max="15" width="7.5" hidden="0" customWidth="1"/>
    <x:col min="16" max="16" width="7.5" hidden="0" customWidth="1"/>
    <x:col min="17" max="17" width="7.5" hidden="0" customWidth="1"/>
    <x:col min="18" max="18" width="7.5" hidden="0" customWidth="1"/>
    <x:col min="19" max="19" width="7.5" hidden="0" customWidth="1"/>
    <x:col min="20" max="20" width="7.5" hidden="0" customWidth="1"/>
    <x:col min="21" max="21" width="7.5" hidden="0" customWidth="1"/>
    <x:col min="22" max="22" width="7.5" hidden="0" customWidth="1"/>
    <x:col min="23" max="23" width="7.5" hidden="0" customWidth="1"/>
    <x:col min="24" max="24" width="7.5" hidden="0" customWidth="1"/>
  </x:cols>
  <x:sheetData>
    <x:row r="1" ht="28" customHeight="1">
      <x:c r="A1" s="274" t="str">
        <x:v>Gaussian data — diagnostic comparison: M1 (5 parameters) vs M3 (7 parameters)</x:v>
      </x:c>
      <x:c r="B1" s="274"/>
      <x:c r="C1" s="274"/>
      <x:c r="D1" s="274"/>
      <x:c r="E1" s="274"/>
      <x:c r="F1" s="274"/>
      <x:c r="G1" s="274"/>
      <x:c r="H1" s="274"/>
      <x:c r="I1" s="274"/>
      <x:c r="J1" s="274"/>
      <x:c r="K1" s="274"/>
      <x:c r="L1" s="274"/>
      <x:c r="M1" s="274"/>
      <x:c r="N1" s="274"/>
      <x:c r="O1" s="274"/>
      <x:c r="P1" s="274"/>
      <x:c r="Q1" s="274"/>
      <x:c r="R1" s="274"/>
      <x:c r="S1" s="274"/>
      <x:c r="T1" s="274"/>
      <x:c r="U1" s="274"/>
      <x:c r="V1" s="274"/>
      <x:c r="W1" s="274"/>
      <x:c r="X1" s="274"/>
    </x:row>
    <x:row r="2" ht="23" customHeight="1">
      <x:c r="A2" s="292" t="str">
        <x:v>Signed logML error — FNR/FPR by diagnostic</x:v>
      </x:c>
      <x:c r="B2" s="293" t="str">
        <x:v>Signed logML error — FNR/FPR by diagnostic</x:v>
      </x:c>
      <x:c r="C2" s="293" t="str">
        <x:v>Signed logML error — FNR/FPR by diagnostic</x:v>
      </x:c>
      <x:c r="D2" s="293" t="str">
        <x:v>Signed logML error — FNR/FPR by diagnostic</x:v>
      </x:c>
      <x:c r="E2" s="293" t="str">
        <x:v>Signed logML error — FNR/FPR by diagnostic</x:v>
      </x:c>
      <x:c r="F2" s="293" t="str">
        <x:v>Signed logML error — FNR/FPR by diagnostic</x:v>
      </x:c>
      <x:c r="G2" s="293" t="str">
        <x:v>Signed logML error — FNR/FPR by diagnostic</x:v>
      </x:c>
      <x:c r="H2" s="293" t="str">
        <x:v>Signed logML error — FNR/FPR by diagnostic</x:v>
      </x:c>
      <x:c r="I2" s="293" t="str">
        <x:v>Signed logML error — FNR/FPR by diagnostic</x:v>
      </x:c>
      <x:c r="J2" s="293" t="str">
        <x:v>Signed logML error — FNR/FPR by diagnostic</x:v>
      </x:c>
      <x:c r="K2" s="293" t="str">
        <x:v>Signed logML error — FNR/FPR by diagnostic</x:v>
      </x:c>
      <x:c r="L2" s="293" t="str">
        <x:v>Signed logML error — FNR/FPR by diagnostic</x:v>
      </x:c>
      <x:c r="M2" s="293" t="str">
        <x:v>Signed logML error — FNR/FPR by diagnostic</x:v>
      </x:c>
      <x:c r="N2" s="293" t="str">
        <x:v>Signed logML error — FNR/FPR by diagnostic</x:v>
      </x:c>
      <x:c r="O2" s="293" t="str">
        <x:v>Signed logML error — FNR/FPR by diagnostic</x:v>
      </x:c>
      <x:c r="P2" s="293" t="str">
        <x:v>Signed logML error — FNR/FPR by diagnostic</x:v>
      </x:c>
      <x:c r="Q2" s="293" t="str">
        <x:v>Signed logML error — FNR/FPR by diagnostic</x:v>
      </x:c>
      <x:c r="R2" s="293" t="str">
        <x:v>Signed logML error — FNR/FPR by diagnostic</x:v>
      </x:c>
      <x:c r="S2" s="293" t="str">
        <x:v>Signed logML error — FNR/FPR by diagnostic</x:v>
      </x:c>
      <x:c r="T2" s="293" t="str">
        <x:v>Signed logML error — FNR/FPR by diagnostic</x:v>
      </x:c>
      <x:c r="U2" s="293" t="str">
        <x:v>Signed logML error — FNR/FPR by diagnostic</x:v>
      </x:c>
      <x:c r="V2" s="293" t="str">
        <x:v>Signed logML error — FNR/FPR by diagnostic</x:v>
      </x:c>
      <x:c r="W2" s="293" t="str">
        <x:v>Signed logML error — FNR/FPR by diagnostic</x:v>
      </x:c>
      <x:c r="X2" s="294" t="str">
        <x:v>Signed logML error — FNR/FPR by diagnostic</x:v>
      </x:c>
    </x:row>
    <x:row r="18" ht="19" customHeight="1">
      <x:c r="A18" s="251" t="str">
        <x:v>●  M1 (5 parameters)</x:v>
      </x:c>
      <x:c r="B18" s="251" t="str">
        <x:v>●  M1 (5 parameters)</x:v>
      </x:c>
      <x:c r="C18" s="251" t="str">
        <x:v>●  M1 (5 parameters)</x:v>
      </x:c>
      <x:c r="D18" s="251" t="str">
        <x:v>●  M1 (5 parameters)</x:v>
      </x:c>
      <x:c r="E18" s="251" t="str">
        <x:v>●  M1 (5 parameters)</x:v>
      </x:c>
      <x:c r="F18" s="251" t="str">
        <x:v>●  M1 (5 parameters)</x:v>
      </x:c>
      <x:c r="G18" s="254" t="str">
        <x:v>●  M3 (7 parameters)</x:v>
      </x:c>
      <x:c r="H18" s="254" t="str">
        <x:v>●  M3 (7 parameters)</x:v>
      </x:c>
      <x:c r="I18" s="254" t="str">
        <x:v>●  M3 (7 parameters)</x:v>
      </x:c>
      <x:c r="J18" s="254" t="str">
        <x:v>●  M3 (7 parameters)</x:v>
      </x:c>
      <x:c r="K18" s="254" t="str">
        <x:v>●  M3 (7 parameters)</x:v>
      </x:c>
      <x:c r="L18" s="254" t="str">
        <x:v>●  M3 (7 parameters)</x:v>
      </x:c>
      <x:c r="M18" s="263" t="str">
        <x:v>━━  FNR (solid)</x:v>
      </x:c>
      <x:c r="N18" s="263" t="str">
        <x:v>━━  FNR (solid)</x:v>
      </x:c>
      <x:c r="O18" s="263" t="str">
        <x:v>━━  FNR (solid)</x:v>
      </x:c>
      <x:c r="P18" s="263" t="str">
        <x:v>━━  FNR (solid)</x:v>
      </x:c>
      <x:c r="Q18" s="263" t="str">
        <x:v>━━  FNR (solid)</x:v>
      </x:c>
      <x:c r="R18" s="263" t="str">
        <x:v>━━  FNR (solid)</x:v>
      </x:c>
      <x:c r="S18" s="263" t="str">
        <x:v>┄┄  FPR (dashed)</x:v>
      </x:c>
      <x:c r="T18" s="263" t="str">
        <x:v>┄┄  FPR (dashed)</x:v>
      </x:c>
      <x:c r="U18" s="263" t="str">
        <x:v>┄┄  FPR (dashed)</x:v>
      </x:c>
      <x:c r="V18" s="263" t="str">
        <x:v>┄┄  FPR (dashed)</x:v>
      </x:c>
      <x:c r="W18" s="263" t="str">
        <x:v>┄┄  FPR (dashed)</x:v>
      </x:c>
      <x:c r="X18" s="263" t="str">
        <x:v>┄┄  FPR (dashed)</x:v>
      </x:c>
    </x:row>
    <x:row r="21" ht="23" customHeight="1">
      <x:c r="A21" s="292" t="str">
        <x:v>Signed logML error — AUC by diagnostic</x:v>
      </x:c>
      <x:c r="B21" s="293" t="str">
        <x:v>Signed logML error — AUC by diagnostic</x:v>
      </x:c>
      <x:c r="C21" s="293" t="str">
        <x:v>Signed logML error — AUC by diagnostic</x:v>
      </x:c>
      <x:c r="D21" s="293" t="str">
        <x:v>Signed logML error — AUC by diagnostic</x:v>
      </x:c>
      <x:c r="E21" s="293" t="str">
        <x:v>Signed logML error — AUC by diagnostic</x:v>
      </x:c>
      <x:c r="F21" s="293" t="str">
        <x:v>Signed logML error — AUC by diagnostic</x:v>
      </x:c>
      <x:c r="G21" s="293" t="str">
        <x:v>Signed logML error — AUC by diagnostic</x:v>
      </x:c>
      <x:c r="H21" s="293" t="str">
        <x:v>Signed logML error — AUC by diagnostic</x:v>
      </x:c>
      <x:c r="I21" s="293" t="str">
        <x:v>Signed logML error — AUC by diagnostic</x:v>
      </x:c>
      <x:c r="J21" s="293" t="str">
        <x:v>Signed logML error — AUC by diagnostic</x:v>
      </x:c>
      <x:c r="K21" s="293" t="str">
        <x:v>Signed logML error — AUC by diagnostic</x:v>
      </x:c>
      <x:c r="L21" s="293" t="str">
        <x:v>Signed logML error — AUC by diagnostic</x:v>
      </x:c>
      <x:c r="M21" s="293" t="str">
        <x:v>Signed logML error — AUC by diagnostic</x:v>
      </x:c>
      <x:c r="N21" s="293" t="str">
        <x:v>Signed logML error — AUC by diagnostic</x:v>
      </x:c>
      <x:c r="O21" s="293" t="str">
        <x:v>Signed logML error — AUC by diagnostic</x:v>
      </x:c>
      <x:c r="P21" s="293" t="str">
        <x:v>Signed logML error — AUC by diagnostic</x:v>
      </x:c>
      <x:c r="Q21" s="293" t="str">
        <x:v>Signed logML error — AUC by diagnostic</x:v>
      </x:c>
      <x:c r="R21" s="293" t="str">
        <x:v>Signed logML error — AUC by diagnostic</x:v>
      </x:c>
      <x:c r="S21" s="293" t="str">
        <x:v>Signed logML error — AUC by diagnostic</x:v>
      </x:c>
      <x:c r="T21" s="293" t="str">
        <x:v>Signed logML error — AUC by diagnostic</x:v>
      </x:c>
      <x:c r="U21" s="293" t="str">
        <x:v>Signed logML error — AUC by diagnostic</x:v>
      </x:c>
      <x:c r="V21" s="293" t="str">
        <x:v>Signed logML error — AUC by diagnostic</x:v>
      </x:c>
      <x:c r="W21" s="293" t="str">
        <x:v>Signed logML error — AUC by diagnostic</x:v>
      </x:c>
      <x:c r="X21" s="294" t="str">
        <x:v>Signed logML error — AUC by diagnostic</x:v>
      </x:c>
    </x:row>
    <x:row r="37" ht="19" customHeight="1">
      <x:c r="G37" s="251" t="str">
        <x:v>●  M1 (5 parameters)</x:v>
      </x:c>
      <x:c r="H37" s="251" t="str">
        <x:v>●  M1 (5 parameters)</x:v>
      </x:c>
      <x:c r="I37" s="251" t="str">
        <x:v>●  M1 (5 parameters)</x:v>
      </x:c>
      <x:c r="J37" s="251" t="str">
        <x:v>●  M1 (5 parameters)</x:v>
      </x:c>
      <x:c r="K37" s="251" t="str">
        <x:v>●  M1 (5 parameters)</x:v>
      </x:c>
      <x:c r="L37" s="251" t="str">
        <x:v>●  M1 (5 parameters)</x:v>
      </x:c>
      <x:c r="M37" s="254" t="str">
        <x:v>●  M3 (7 parameters)</x:v>
      </x:c>
      <x:c r="N37" s="254" t="str">
        <x:v>●  M3 (7 parameters)</x:v>
      </x:c>
      <x:c r="O37" s="254" t="str">
        <x:v>●  M3 (7 parameters)</x:v>
      </x:c>
      <x:c r="P37" s="254" t="str">
        <x:v>●  M3 (7 parameters)</x:v>
      </x:c>
      <x:c r="Q37" s="254" t="str">
        <x:v>●  M3 (7 parameters)</x:v>
      </x:c>
      <x:c r="R37" s="254" t="str">
        <x:v>●  M3 (7 parameters)</x:v>
      </x:c>
    </x:row>
    <x:row r="40" ht="23" customHeight="1">
      <x:c r="A40" s="292" t="str">
        <x:v>Signed PMP error — FNR/FPR by diagnostic</x:v>
      </x:c>
      <x:c r="B40" s="293" t="str">
        <x:v>Signed PMP error — FNR/FPR by diagnostic</x:v>
      </x:c>
      <x:c r="C40" s="293" t="str">
        <x:v>Signed PMP error — FNR/FPR by diagnostic</x:v>
      </x:c>
      <x:c r="D40" s="293" t="str">
        <x:v>Signed PMP error — FNR/FPR by diagnostic</x:v>
      </x:c>
      <x:c r="E40" s="293" t="str">
        <x:v>Signed PMP error — FNR/FPR by diagnostic</x:v>
      </x:c>
      <x:c r="F40" s="293" t="str">
        <x:v>Signed PMP error — FNR/FPR by diagnostic</x:v>
      </x:c>
      <x:c r="G40" s="293" t="str">
        <x:v>Signed PMP error — FNR/FPR by diagnostic</x:v>
      </x:c>
      <x:c r="H40" s="293" t="str">
        <x:v>Signed PMP error — FNR/FPR by diagnostic</x:v>
      </x:c>
      <x:c r="I40" s="293" t="str">
        <x:v>Signed PMP error — FNR/FPR by diagnostic</x:v>
      </x:c>
      <x:c r="J40" s="293" t="str">
        <x:v>Signed PMP error — FNR/FPR by diagnostic</x:v>
      </x:c>
      <x:c r="K40" s="293" t="str">
        <x:v>Signed PMP error — FNR/FPR by diagnostic</x:v>
      </x:c>
      <x:c r="L40" s="293" t="str">
        <x:v>Signed PMP error — FNR/FPR by diagnostic</x:v>
      </x:c>
      <x:c r="M40" s="293" t="str">
        <x:v>Signed PMP error — FNR/FPR by diagnostic</x:v>
      </x:c>
      <x:c r="N40" s="293" t="str">
        <x:v>Signed PMP error — FNR/FPR by diagnostic</x:v>
      </x:c>
      <x:c r="O40" s="293" t="str">
        <x:v>Signed PMP error — FNR/FPR by diagnostic</x:v>
      </x:c>
      <x:c r="P40" s="293" t="str">
        <x:v>Signed PMP error — FNR/FPR by diagnostic</x:v>
      </x:c>
      <x:c r="Q40" s="293" t="str">
        <x:v>Signed PMP error — FNR/FPR by diagnostic</x:v>
      </x:c>
      <x:c r="R40" s="293" t="str">
        <x:v>Signed PMP error — FNR/FPR by diagnostic</x:v>
      </x:c>
      <x:c r="S40" s="293" t="str">
        <x:v>Signed PMP error — FNR/FPR by diagnostic</x:v>
      </x:c>
      <x:c r="T40" s="293" t="str">
        <x:v>Signed PMP error — FNR/FPR by diagnostic</x:v>
      </x:c>
      <x:c r="U40" s="293" t="str">
        <x:v>Signed PMP error — FNR/FPR by diagnostic</x:v>
      </x:c>
      <x:c r="V40" s="293" t="str">
        <x:v>Signed PMP error — FNR/FPR by diagnostic</x:v>
      </x:c>
      <x:c r="W40" s="293" t="str">
        <x:v>Signed PMP error — FNR/FPR by diagnostic</x:v>
      </x:c>
      <x:c r="X40" s="294" t="str">
        <x:v>Signed PMP error — FNR/FPR by diagnostic</x:v>
      </x:c>
    </x:row>
    <x:row r="56" ht="19" customHeight="1">
      <x:c r="A56" s="251" t="str">
        <x:v>●  M1 (5 parameters)</x:v>
      </x:c>
      <x:c r="B56" s="251" t="str">
        <x:v>●  M1 (5 parameters)</x:v>
      </x:c>
      <x:c r="C56" s="251" t="str">
        <x:v>●  M1 (5 parameters)</x:v>
      </x:c>
      <x:c r="D56" s="251" t="str">
        <x:v>●  M1 (5 parameters)</x:v>
      </x:c>
      <x:c r="E56" s="251" t="str">
        <x:v>●  M1 (5 parameters)</x:v>
      </x:c>
      <x:c r="F56" s="251" t="str">
        <x:v>●  M1 (5 parameters)</x:v>
      </x:c>
      <x:c r="G56" s="254" t="str">
        <x:v>●  M3 (7 parameters)</x:v>
      </x:c>
      <x:c r="H56" s="254" t="str">
        <x:v>●  M3 (7 parameters)</x:v>
      </x:c>
      <x:c r="I56" s="254" t="str">
        <x:v>●  M3 (7 parameters)</x:v>
      </x:c>
      <x:c r="J56" s="254" t="str">
        <x:v>●  M3 (7 parameters)</x:v>
      </x:c>
      <x:c r="K56" s="254" t="str">
        <x:v>●  M3 (7 parameters)</x:v>
      </x:c>
      <x:c r="L56" s="254" t="str">
        <x:v>●  M3 (7 parameters)</x:v>
      </x:c>
      <x:c r="M56" s="263" t="str">
        <x:v>━━  FNR (solid)</x:v>
      </x:c>
      <x:c r="N56" s="263" t="str">
        <x:v>━━  FNR (solid)</x:v>
      </x:c>
      <x:c r="O56" s="263" t="str">
        <x:v>━━  FNR (solid)</x:v>
      </x:c>
      <x:c r="P56" s="263" t="str">
        <x:v>━━  FNR (solid)</x:v>
      </x:c>
      <x:c r="Q56" s="263" t="str">
        <x:v>━━  FNR (solid)</x:v>
      </x:c>
      <x:c r="R56" s="263" t="str">
        <x:v>━━  FNR (solid)</x:v>
      </x:c>
      <x:c r="S56" s="263" t="str">
        <x:v>┄┄  FPR (dashed)</x:v>
      </x:c>
      <x:c r="T56" s="263" t="str">
        <x:v>┄┄  FPR (dashed)</x:v>
      </x:c>
      <x:c r="U56" s="263" t="str">
        <x:v>┄┄  FPR (dashed)</x:v>
      </x:c>
      <x:c r="V56" s="263" t="str">
        <x:v>┄┄  FPR (dashed)</x:v>
      </x:c>
      <x:c r="W56" s="263" t="str">
        <x:v>┄┄  FPR (dashed)</x:v>
      </x:c>
      <x:c r="X56" s="263" t="str">
        <x:v>┄┄  FPR (dashed)</x:v>
      </x:c>
    </x:row>
    <x:row r="59" ht="23" customHeight="1">
      <x:c r="A59" s="292" t="str">
        <x:v>Signed PMP error — AUC by diagnostic</x:v>
      </x:c>
      <x:c r="B59" s="293" t="str">
        <x:v>Signed PMP error — AUC by diagnostic</x:v>
      </x:c>
      <x:c r="C59" s="293" t="str">
        <x:v>Signed PMP error — AUC by diagnostic</x:v>
      </x:c>
      <x:c r="D59" s="293" t="str">
        <x:v>Signed PMP error — AUC by diagnostic</x:v>
      </x:c>
      <x:c r="E59" s="293" t="str">
        <x:v>Signed PMP error — AUC by diagnostic</x:v>
      </x:c>
      <x:c r="F59" s="293" t="str">
        <x:v>Signed PMP error — AUC by diagnostic</x:v>
      </x:c>
      <x:c r="G59" s="293" t="str">
        <x:v>Signed PMP error — AUC by diagnostic</x:v>
      </x:c>
      <x:c r="H59" s="293" t="str">
        <x:v>Signed PMP error — AUC by diagnostic</x:v>
      </x:c>
      <x:c r="I59" s="293" t="str">
        <x:v>Signed PMP error — AUC by diagnostic</x:v>
      </x:c>
      <x:c r="J59" s="293" t="str">
        <x:v>Signed PMP error — AUC by diagnostic</x:v>
      </x:c>
      <x:c r="K59" s="293" t="str">
        <x:v>Signed PMP error — AUC by diagnostic</x:v>
      </x:c>
      <x:c r="L59" s="293" t="str">
        <x:v>Signed PMP error — AUC by diagnostic</x:v>
      </x:c>
      <x:c r="M59" s="293" t="str">
        <x:v>Signed PMP error — AUC by diagnostic</x:v>
      </x:c>
      <x:c r="N59" s="293" t="str">
        <x:v>Signed PMP error — AUC by diagnostic</x:v>
      </x:c>
      <x:c r="O59" s="293" t="str">
        <x:v>Signed PMP error — AUC by diagnostic</x:v>
      </x:c>
      <x:c r="P59" s="293" t="str">
        <x:v>Signed PMP error — AUC by diagnostic</x:v>
      </x:c>
      <x:c r="Q59" s="293" t="str">
        <x:v>Signed PMP error — AUC by diagnostic</x:v>
      </x:c>
      <x:c r="R59" s="293" t="str">
        <x:v>Signed PMP error — AUC by diagnostic</x:v>
      </x:c>
      <x:c r="S59" s="293" t="str">
        <x:v>Signed PMP error — AUC by diagnostic</x:v>
      </x:c>
      <x:c r="T59" s="293" t="str">
        <x:v>Signed PMP error — AUC by diagnostic</x:v>
      </x:c>
      <x:c r="U59" s="293" t="str">
        <x:v>Signed PMP error — AUC by diagnostic</x:v>
      </x:c>
      <x:c r="V59" s="293" t="str">
        <x:v>Signed PMP error — AUC by diagnostic</x:v>
      </x:c>
      <x:c r="W59" s="293" t="str">
        <x:v>Signed PMP error — AUC by diagnostic</x:v>
      </x:c>
      <x:c r="X59" s="294" t="str">
        <x:v>Signed PMP error — AUC by diagnostic</x:v>
      </x:c>
    </x:row>
    <x:row r="75" ht="19" customHeight="1">
      <x:c r="G75" s="251" t="str">
        <x:v>●  M1 (5 parameters)</x:v>
      </x:c>
      <x:c r="H75" s="251" t="str">
        <x:v>●  M1 (5 parameters)</x:v>
      </x:c>
      <x:c r="I75" s="251" t="str">
        <x:v>●  M1 (5 parameters)</x:v>
      </x:c>
      <x:c r="J75" s="251" t="str">
        <x:v>●  M1 (5 parameters)</x:v>
      </x:c>
      <x:c r="K75" s="251" t="str">
        <x:v>●  M1 (5 parameters)</x:v>
      </x:c>
      <x:c r="L75" s="251" t="str">
        <x:v>●  M1 (5 parameters)</x:v>
      </x:c>
      <x:c r="M75" s="254" t="str">
        <x:v>●  M3 (7 parameters)</x:v>
      </x:c>
      <x:c r="N75" s="254" t="str">
        <x:v>●  M3 (7 parameters)</x:v>
      </x:c>
      <x:c r="O75" s="254" t="str">
        <x:v>●  M3 (7 parameters)</x:v>
      </x:c>
      <x:c r="P75" s="254" t="str">
        <x:v>●  M3 (7 parameters)</x:v>
      </x:c>
      <x:c r="Q75" s="254" t="str">
        <x:v>●  M3 (7 parameters)</x:v>
      </x:c>
      <x:c r="R75" s="254" t="str">
        <x:v>●  M3 (7 parameters)</x:v>
      </x:c>
    </x:row>
    <x:row r="78" ht="23" customHeight="1">
      <x:c r="A78" s="292" t="str">
        <x:v>Posterior MMD — FNR/FPR by diagnostic</x:v>
      </x:c>
      <x:c r="B78" s="293" t="str">
        <x:v>Posterior MMD — FNR/FPR by diagnostic</x:v>
      </x:c>
      <x:c r="C78" s="293" t="str">
        <x:v>Posterior MMD — FNR/FPR by diagnostic</x:v>
      </x:c>
      <x:c r="D78" s="293" t="str">
        <x:v>Posterior MMD — FNR/FPR by diagnostic</x:v>
      </x:c>
      <x:c r="E78" s="293" t="str">
        <x:v>Posterior MMD — FNR/FPR by diagnostic</x:v>
      </x:c>
      <x:c r="F78" s="293" t="str">
        <x:v>Posterior MMD — FNR/FPR by diagnostic</x:v>
      </x:c>
      <x:c r="G78" s="293" t="str">
        <x:v>Posterior MMD — FNR/FPR by diagnostic</x:v>
      </x:c>
      <x:c r="H78" s="293" t="str">
        <x:v>Posterior MMD — FNR/FPR by diagnostic</x:v>
      </x:c>
      <x:c r="I78" s="293" t="str">
        <x:v>Posterior MMD — FNR/FPR by diagnostic</x:v>
      </x:c>
      <x:c r="J78" s="293" t="str">
        <x:v>Posterior MMD — FNR/FPR by diagnostic</x:v>
      </x:c>
      <x:c r="K78" s="293" t="str">
        <x:v>Posterior MMD — FNR/FPR by diagnostic</x:v>
      </x:c>
      <x:c r="L78" s="293" t="str">
        <x:v>Posterior MMD — FNR/FPR by diagnostic</x:v>
      </x:c>
      <x:c r="M78" s="293" t="str">
        <x:v>Posterior MMD — FNR/FPR by diagnostic</x:v>
      </x:c>
      <x:c r="N78" s="293" t="str">
        <x:v>Posterior MMD — FNR/FPR by diagnostic</x:v>
      </x:c>
      <x:c r="O78" s="293" t="str">
        <x:v>Posterior MMD — FNR/FPR by diagnostic</x:v>
      </x:c>
      <x:c r="P78" s="293" t="str">
        <x:v>Posterior MMD — FNR/FPR by diagnostic</x:v>
      </x:c>
      <x:c r="Q78" s="293" t="str">
        <x:v>Posterior MMD — FNR/FPR by diagnostic</x:v>
      </x:c>
      <x:c r="R78" s="293" t="str">
        <x:v>Posterior MMD — FNR/FPR by diagnostic</x:v>
      </x:c>
      <x:c r="S78" s="293" t="str">
        <x:v>Posterior MMD — FNR/FPR by diagnostic</x:v>
      </x:c>
      <x:c r="T78" s="293" t="str">
        <x:v>Posterior MMD — FNR/FPR by diagnostic</x:v>
      </x:c>
      <x:c r="U78" s="293" t="str">
        <x:v>Posterior MMD — FNR/FPR by diagnostic</x:v>
      </x:c>
      <x:c r="V78" s="293" t="str">
        <x:v>Posterior MMD — FNR/FPR by diagnostic</x:v>
      </x:c>
      <x:c r="W78" s="293" t="str">
        <x:v>Posterior MMD — FNR/FPR by diagnostic</x:v>
      </x:c>
      <x:c r="X78" s="294" t="str">
        <x:v>Posterior MMD — FNR/FPR by diagnostic</x:v>
      </x:c>
    </x:row>
    <x:row r="94" ht="19" customHeight="1">
      <x:c r="A94" s="251" t="str">
        <x:v>●  M1 (5 parameters)</x:v>
      </x:c>
      <x:c r="B94" s="251" t="str">
        <x:v>●  M1 (5 parameters)</x:v>
      </x:c>
      <x:c r="C94" s="251" t="str">
        <x:v>●  M1 (5 parameters)</x:v>
      </x:c>
      <x:c r="D94" s="251" t="str">
        <x:v>●  M1 (5 parameters)</x:v>
      </x:c>
      <x:c r="E94" s="251" t="str">
        <x:v>●  M1 (5 parameters)</x:v>
      </x:c>
      <x:c r="F94" s="251" t="str">
        <x:v>●  M1 (5 parameters)</x:v>
      </x:c>
      <x:c r="G94" s="254" t="str">
        <x:v>●  M3 (7 parameters)</x:v>
      </x:c>
      <x:c r="H94" s="254" t="str">
        <x:v>●  M3 (7 parameters)</x:v>
      </x:c>
      <x:c r="I94" s="254" t="str">
        <x:v>●  M3 (7 parameters)</x:v>
      </x:c>
      <x:c r="J94" s="254" t="str">
        <x:v>●  M3 (7 parameters)</x:v>
      </x:c>
      <x:c r="K94" s="254" t="str">
        <x:v>●  M3 (7 parameters)</x:v>
      </x:c>
      <x:c r="L94" s="254" t="str">
        <x:v>●  M3 (7 parameters)</x:v>
      </x:c>
      <x:c r="M94" s="263" t="str">
        <x:v>━━  FNR (solid)</x:v>
      </x:c>
      <x:c r="N94" s="263" t="str">
        <x:v>━━  FNR (solid)</x:v>
      </x:c>
      <x:c r="O94" s="263" t="str">
        <x:v>━━  FNR (solid)</x:v>
      </x:c>
      <x:c r="P94" s="263" t="str">
        <x:v>━━  FNR (solid)</x:v>
      </x:c>
      <x:c r="Q94" s="263" t="str">
        <x:v>━━  FNR (solid)</x:v>
      </x:c>
      <x:c r="R94" s="263" t="str">
        <x:v>━━  FNR (solid)</x:v>
      </x:c>
      <x:c r="S94" s="263" t="str">
        <x:v>┄┄  FPR (dashed)</x:v>
      </x:c>
      <x:c r="T94" s="263" t="str">
        <x:v>┄┄  FPR (dashed)</x:v>
      </x:c>
      <x:c r="U94" s="263" t="str">
        <x:v>┄┄  FPR (dashed)</x:v>
      </x:c>
      <x:c r="V94" s="263" t="str">
        <x:v>┄┄  FPR (dashed)</x:v>
      </x:c>
      <x:c r="W94" s="263" t="str">
        <x:v>┄┄  FPR (dashed)</x:v>
      </x:c>
      <x:c r="X94" s="263" t="str">
        <x:v>┄┄  FPR (dashed)</x:v>
      </x:c>
    </x:row>
    <x:row r="97" ht="23" customHeight="1">
      <x:c r="A97" s="292" t="str">
        <x:v>Posterior MMD — AUC by diagnostic</x:v>
      </x:c>
      <x:c r="B97" s="293" t="str">
        <x:v>Posterior MMD — AUC by diagnostic</x:v>
      </x:c>
      <x:c r="C97" s="293" t="str">
        <x:v>Posterior MMD — AUC by diagnostic</x:v>
      </x:c>
      <x:c r="D97" s="293" t="str">
        <x:v>Posterior MMD — AUC by diagnostic</x:v>
      </x:c>
      <x:c r="E97" s="293" t="str">
        <x:v>Posterior MMD — AUC by diagnostic</x:v>
      </x:c>
      <x:c r="F97" s="293" t="str">
        <x:v>Posterior MMD — AUC by diagnostic</x:v>
      </x:c>
      <x:c r="G97" s="293" t="str">
        <x:v>Posterior MMD — AUC by diagnostic</x:v>
      </x:c>
      <x:c r="H97" s="293" t="str">
        <x:v>Posterior MMD — AUC by diagnostic</x:v>
      </x:c>
      <x:c r="I97" s="293" t="str">
        <x:v>Posterior MMD — AUC by diagnostic</x:v>
      </x:c>
      <x:c r="J97" s="293" t="str">
        <x:v>Posterior MMD — AUC by diagnostic</x:v>
      </x:c>
      <x:c r="K97" s="293" t="str">
        <x:v>Posterior MMD — AUC by diagnostic</x:v>
      </x:c>
      <x:c r="L97" s="293" t="str">
        <x:v>Posterior MMD — AUC by diagnostic</x:v>
      </x:c>
      <x:c r="M97" s="293" t="str">
        <x:v>Posterior MMD — AUC by diagnostic</x:v>
      </x:c>
      <x:c r="N97" s="293" t="str">
        <x:v>Posterior MMD — AUC by diagnostic</x:v>
      </x:c>
      <x:c r="O97" s="293" t="str">
        <x:v>Posterior MMD — AUC by diagnostic</x:v>
      </x:c>
      <x:c r="P97" s="293" t="str">
        <x:v>Posterior MMD — AUC by diagnostic</x:v>
      </x:c>
      <x:c r="Q97" s="293" t="str">
        <x:v>Posterior MMD — AUC by diagnostic</x:v>
      </x:c>
      <x:c r="R97" s="293" t="str">
        <x:v>Posterior MMD — AUC by diagnostic</x:v>
      </x:c>
      <x:c r="S97" s="293" t="str">
        <x:v>Posterior MMD — AUC by diagnostic</x:v>
      </x:c>
      <x:c r="T97" s="293" t="str">
        <x:v>Posterior MMD — AUC by diagnostic</x:v>
      </x:c>
      <x:c r="U97" s="293" t="str">
        <x:v>Posterior MMD — AUC by diagnostic</x:v>
      </x:c>
      <x:c r="V97" s="293" t="str">
        <x:v>Posterior MMD — AUC by diagnostic</x:v>
      </x:c>
      <x:c r="W97" s="293" t="str">
        <x:v>Posterior MMD — AUC by diagnostic</x:v>
      </x:c>
      <x:c r="X97" s="294" t="str">
        <x:v>Posterior MMD — AUC by diagnostic</x:v>
      </x:c>
    </x:row>
    <x:row r="113" ht="19" customHeight="1">
      <x:c r="G113" s="251" t="str">
        <x:v>●  M1 (5 parameters)</x:v>
      </x:c>
      <x:c r="H113" s="251" t="str">
        <x:v>●  M1 (5 parameters)</x:v>
      </x:c>
      <x:c r="I113" s="251" t="str">
        <x:v>●  M1 (5 parameters)</x:v>
      </x:c>
      <x:c r="J113" s="251" t="str">
        <x:v>●  M1 (5 parameters)</x:v>
      </x:c>
      <x:c r="K113" s="251" t="str">
        <x:v>●  M1 (5 parameters)</x:v>
      </x:c>
      <x:c r="L113" s="251" t="str">
        <x:v>●  M1 (5 parameters)</x:v>
      </x:c>
      <x:c r="M113" s="254" t="str">
        <x:v>●  M3 (7 parameters)</x:v>
      </x:c>
      <x:c r="N113" s="254" t="str">
        <x:v>●  M3 (7 parameters)</x:v>
      </x:c>
      <x:c r="O113" s="254" t="str">
        <x:v>●  M3 (7 parameters)</x:v>
      </x:c>
      <x:c r="P113" s="254" t="str">
        <x:v>●  M3 (7 parameters)</x:v>
      </x:c>
      <x:c r="Q113" s="254" t="str">
        <x:v>●  M3 (7 parameters)</x:v>
      </x:c>
      <x:c r="R113" s="254" t="str">
        <x:v>●  M3 (7 parameters)</x:v>
      </x:c>
    </x:row>
  </x:sheetData>
  <x:mergeCells>
    <x:mergeCell ref="A1:X1"/>
    <x:mergeCell ref="A2:X2"/>
    <x:mergeCell ref="A18:F18"/>
    <x:mergeCell ref="G18:L18"/>
    <x:mergeCell ref="M18:R18"/>
    <x:mergeCell ref="S18:X18"/>
    <x:mergeCell ref="A21:X21"/>
    <x:mergeCell ref="G37:L37"/>
    <x:mergeCell ref="M37:R37"/>
    <x:mergeCell ref="A40:X40"/>
    <x:mergeCell ref="A56:F56"/>
    <x:mergeCell ref="G56:L56"/>
    <x:mergeCell ref="M56:R56"/>
    <x:mergeCell ref="S56:X56"/>
    <x:mergeCell ref="A59:X59"/>
    <x:mergeCell ref="G75:L75"/>
    <x:mergeCell ref="M75:R75"/>
    <x:mergeCell ref="A78:X78"/>
    <x:mergeCell ref="A94:F94"/>
    <x:mergeCell ref="G94:L94"/>
    <x:mergeCell ref="M94:R94"/>
    <x:mergeCell ref="S94:X94"/>
    <x:mergeCell ref="A97:X97"/>
    <x:mergeCell ref="G113:L113"/>
    <x:mergeCell ref="M113:R113"/>
  </x:mergeCells>
  <x:pageMargins left="0.7" right="0.7" top="0.75" bottom="0.75" header="0.3" footer="0.3"/>
  <x:drawing xmlns:r="http://schemas.openxmlformats.org/officeDocument/2006/relationships" r:id="R8fbeda6144bc4a33"/>
</x:worksheet>
</file>