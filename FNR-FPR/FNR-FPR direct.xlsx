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a8701f68b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 rates" sheetId="1" r:id="Raf2149b289a9462b"/>
    <x:sheet xmlns:r="http://schemas.openxmlformats.org/officeDocument/2006/relationships" name="Calibration" sheetId="2" r:id="Ra2e47adcbd444ac3"/>
    <x:sheet xmlns:r="http://schemas.openxmlformats.org/officeDocument/2006/relationships" name="Method" sheetId="3" r:id="Rffb797d03e68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39131ddfc49e6" /><Relationship Type="http://schemas.openxmlformats.org/officeDocument/2006/relationships/theme" Target="/xl/theme/theme1.xml" Id="Rbf50777618584798" /><Relationship Type="http://schemas.openxmlformats.org/officeDocument/2006/relationships/sharedStrings" Target="/xl/sharedStrings.xml" Id="R6f7fc54d793b4a34" /><Relationship Type="http://schemas.openxmlformats.org/officeDocument/2006/relationships/worksheet" Target="/xl/worksheets/sheet1.xml" Id="Raf2149b289a9462b" /><Relationship Type="http://schemas.openxmlformats.org/officeDocument/2006/relationships/worksheet" Target="/xl/worksheets/sheet2.xml" Id="Ra2e47adcbd444ac3" /><Relationship Type="http://schemas.openxmlformats.org/officeDocument/2006/relationships/worksheet" Target="/xl/worksheets/sheet3.xml" Id="Rffb797d03e68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6" t="str">
        <x:v>Direct PMP error detection</x:v>
      </x:c>
    </x:row>
    <x:row r="2" ht="25" customHeight="1">
      <x:c r="A2" t="str">
        <x:v>100 benchmark datasets per generating model; 136 observed datasets (17 empirical, 119 simulated)</x:v>
      </x:c>
    </x:row>
    <x:row r="4" ht="24" customHeight="1">
      <x:c r="A4" s="7" t="str">
        <x:v>Loss</x:v>
      </x:c>
      <x:c r="B4" s="8" t="str">
        <x:v>Source group</x:v>
      </x:c>
      <x:c r="C4" s="8" t="str">
        <x:v>Diagnostic</x:v>
      </x:c>
      <x:c r="D4" s="8" t="str">
        <x:v>High error</x:v>
      </x:c>
      <x:c r="E4" s="8" t="str">
        <x:v>TP</x:v>
      </x:c>
      <x:c r="F4" s="8" t="str">
        <x:v>FP</x:v>
      </x:c>
      <x:c r="G4" s="8" t="str">
        <x:v>FN</x:v>
      </x:c>
      <x:c r="H4" s="8" t="str">
        <x:v>TN</x:v>
      </x:c>
      <x:c r="I4" s="8" t="str">
        <x:v>N</x:v>
      </x:c>
      <x:c r="J4" s="8" t="str">
        <x:v>FNR</x:v>
      </x:c>
      <x:c r="K4" s="8" t="str">
        <x:v>FPR</x:v>
      </x:c>
      <x:c r="L4" s="8" t="str">
        <x:v>F1</x:v>
      </x:c>
      <x:c r="M4" s="8" t="str">
        <x:v>ROC-AUC</x:v>
      </x:c>
      <x:c r="N4" s="9" t="str">
        <x:v>Score cutoff</x:v>
      </x:c>
    </x:row>
    <x:row r="5">
      <x:c r="A5" s="10" t="str">
        <x:v>cross_entropy</x:v>
      </x:c>
      <x:c r="B5" s="11" t="str">
        <x:v>all</x:v>
      </x:c>
      <x:c r="C5" s="11" t="str">
        <x:v>l2</x:v>
      </x:c>
      <x:c r="D5" s="11" t="n">
        <x:v>47</x:v>
      </x:c>
      <x:c r="E5" s="11" t="n">
        <x:v>7</x:v>
      </x:c>
      <x:c r="F5" s="11" t="n">
        <x:v>10</x:v>
      </x:c>
      <x:c r="G5" s="11" t="n">
        <x:v>40</x:v>
      </x:c>
      <x:c r="H5" s="11" t="n">
        <x:v>79</x:v>
      </x:c>
      <x:c r="I5" s="11" t="n">
        <x:v>136</x:v>
      </x:c>
      <x:c r="J5" s="12" t="n">
        <x:f>IF(E5+G5=0,NA(),G5/(E5+G5))</x:f>
        <x:v>0.851063829787234</x:v>
      </x:c>
      <x:c r="K5" s="12" t="n">
        <x:f>IF(F5+H5=0,NA(),F5/(F5+H5))</x:f>
        <x:v>0.11235955056179775</x:v>
      </x:c>
      <x:c r="L5" s="12" t="n">
        <x:f>IF(2*E5+F5+G5=0,NA(),2*E5/(2*E5+F5+G5))</x:f>
        <x:v>0.21875</x:v>
      </x:c>
      <x:c r="M5" s="12" t="n">
        <x:v>0.46832416925651443</x:v>
      </x:c>
      <x:c r="N5" s="13" t="n">
        <x:v>1</x:v>
      </x:c>
    </x:row>
    <x:row r="6">
      <x:c r="A6" s="10" t="str">
        <x:v>cross_entropy</x:v>
      </x:c>
      <x:c r="B6" s="11" t="str">
        <x:v>empirical</x:v>
      </x:c>
      <x:c r="C6" s="11" t="str">
        <x:v>l2</x:v>
      </x:c>
      <x:c r="D6" s="11" t="n">
        <x:v>15</x:v>
      </x:c>
      <x:c r="E6" s="11" t="n">
        <x:v>5</x:v>
      </x:c>
      <x:c r="F6" s="11" t="n">
        <x:v>1</x:v>
      </x:c>
      <x:c r="G6" s="11" t="n">
        <x:v>10</x:v>
      </x:c>
      <x:c r="H6" s="11" t="n">
        <x:v>1</x:v>
      </x:c>
      <x:c r="I6" s="11" t="n">
        <x:v>17</x:v>
      </x:c>
      <x:c r="J6" s="12" t="n">
        <x:f>IF(E6+G6=0,NA(),G6/(E6+G6))</x:f>
        <x:v>0.6666666666666666</x:v>
      </x:c>
      <x:c r="K6" s="12" t="n">
        <x:f>IF(F6+H6=0,NA(),F6/(F6+H6))</x:f>
        <x:v>0.5</x:v>
      </x:c>
      <x:c r="L6" s="12" t="n">
        <x:f>IF(2*E6+F6+G6=0,NA(),2*E6/(2*E6+F6+G6))</x:f>
        <x:v>0.47619047619047616</x:v>
      </x:c>
      <x:c r="M6" s="12" t="n">
        <x:v>0.4</x:v>
      </x:c>
      <x:c r="N6" s="13" t="n">
        <x:v>1</x:v>
      </x:c>
    </x:row>
    <x:row r="7">
      <x:c r="A7" s="10" t="str">
        <x:v>cross_entropy</x:v>
      </x:c>
      <x:c r="B7" s="11" t="str">
        <x:v>simulated</x:v>
      </x:c>
      <x:c r="C7" s="11" t="str">
        <x:v>l2</x:v>
      </x:c>
      <x:c r="D7" s="11" t="n">
        <x:v>32</x:v>
      </x:c>
      <x:c r="E7" s="11" t="n">
        <x:v>2</x:v>
      </x:c>
      <x:c r="F7" s="11" t="n">
        <x:v>9</x:v>
      </x:c>
      <x:c r="G7" s="11" t="n">
        <x:v>30</x:v>
      </x:c>
      <x:c r="H7" s="11" t="n">
        <x:v>78</x:v>
      </x:c>
      <x:c r="I7" s="11" t="n">
        <x:v>119</x:v>
      </x:c>
      <x:c r="J7" s="12" t="n">
        <x:f>IF(E7+G7=0,NA(),G7/(E7+G7))</x:f>
        <x:v>0.9375</x:v>
      </x:c>
      <x:c r="K7" s="12" t="n">
        <x:f>IF(F7+H7=0,NA(),F7/(F7+H7))</x:f>
        <x:v>0.10344827586206896</x:v>
      </x:c>
      <x:c r="L7" s="12" t="n">
        <x:f>IF(2*E7+F7+G7=0,NA(),2*E7/(2*E7+F7+G7))</x:f>
        <x:v>0.09302325581395349</x:v>
      </x:c>
      <x:c r="M7" s="12" t="n">
        <x:v>0.3448275862068966</x:v>
      </x:c>
      <x:c r="N7" s="13" t="n">
        <x:v>1</x:v>
      </x:c>
    </x:row>
    <x:row r="8">
      <x:c r="A8" s="10" t="str">
        <x:v>cross_entropy</x:v>
      </x:c>
      <x:c r="B8" s="11" t="str">
        <x:v>all</x:v>
      </x:c>
      <x:c r="C8" s="11" t="str">
        <x:v>linf</x:v>
      </x:c>
      <x:c r="D8" s="11" t="n">
        <x:v>47</x:v>
      </x:c>
      <x:c r="E8" s="11" t="n">
        <x:v>7</x:v>
      </x:c>
      <x:c r="F8" s="11" t="n">
        <x:v>8</x:v>
      </x:c>
      <x:c r="G8" s="11" t="n">
        <x:v>40</x:v>
      </x:c>
      <x:c r="H8" s="11" t="n">
        <x:v>81</x:v>
      </x:c>
      <x:c r="I8" s="11" t="n">
        <x:v>136</x:v>
      </x:c>
      <x:c r="J8" s="12" t="n">
        <x:f>IF(E8+G8=0,NA(),G8/(E8+G8))</x:f>
        <x:v>0.851063829787234</x:v>
      </x:c>
      <x:c r="K8" s="12" t="n">
        <x:f>IF(F8+H8=0,NA(),F8/(F8+H8))</x:f>
        <x:v>0.0898876404494382</x:v>
      </x:c>
      <x:c r="L8" s="12" t="n">
        <x:f>IF(2*E8+F8+G8=0,NA(),2*E8/(2*E8+F8+G8))</x:f>
        <x:v>0.22580645161290322</x:v>
      </x:c>
      <x:c r="M8" s="12" t="n">
        <x:v>0.44872101362658384</x:v>
      </x:c>
      <x:c r="N8" s="13" t="n">
        <x:v>1</x:v>
      </x:c>
    </x:row>
    <x:row r="9">
      <x:c r="A9" s="10" t="str">
        <x:v>cross_entropy</x:v>
      </x:c>
      <x:c r="B9" s="11" t="str">
        <x:v>empirical</x:v>
      </x:c>
      <x:c r="C9" s="11" t="str">
        <x:v>linf</x:v>
      </x:c>
      <x:c r="D9" s="11" t="n">
        <x:v>15</x:v>
      </x:c>
      <x:c r="E9" s="11" t="n">
        <x:v>5</x:v>
      </x:c>
      <x:c r="F9" s="11" t="n">
        <x:v>0</x:v>
      </x:c>
      <x:c r="G9" s="11" t="n">
        <x:v>10</x:v>
      </x:c>
      <x:c r="H9" s="11" t="n">
        <x:v>2</x:v>
      </x:c>
      <x:c r="I9" s="11" t="n">
        <x:v>17</x:v>
      </x:c>
      <x:c r="J9" s="12" t="n">
        <x:f>IF(E9+G9=0,NA(),G9/(E9+G9))</x:f>
        <x:v>0.6666666666666666</x:v>
      </x:c>
      <x:c r="K9" s="12" t="n">
        <x:f>IF(F9+H9=0,NA(),F9/(F9+H9))</x:f>
        <x:v>0</x:v>
      </x:c>
      <x:c r="L9" s="12" t="n">
        <x:f>IF(2*E9+F9+G9=0,NA(),2*E9/(2*E9+F9+G9))</x:f>
        <x:v>0.5</x:v>
      </x:c>
      <x:c r="M9" s="12" t="n">
        <x:v>0.4</x:v>
      </x:c>
      <x:c r="N9" s="13" t="n">
        <x:v>1</x:v>
      </x:c>
    </x:row>
    <x:row r="10">
      <x:c r="A10" s="10" t="str">
        <x:v>cross_entropy</x:v>
      </x:c>
      <x:c r="B10" s="11" t="str">
        <x:v>simulated</x:v>
      </x:c>
      <x:c r="C10" s="11" t="str">
        <x:v>linf</x:v>
      </x:c>
      <x:c r="D10" s="11" t="n">
        <x:v>32</x:v>
      </x:c>
      <x:c r="E10" s="11" t="n">
        <x:v>2</x:v>
      </x:c>
      <x:c r="F10" s="11" t="n">
        <x:v>8</x:v>
      </x:c>
      <x:c r="G10" s="11" t="n">
        <x:v>30</x:v>
      </x:c>
      <x:c r="H10" s="11" t="n">
        <x:v>79</x:v>
      </x:c>
      <x:c r="I10" s="11" t="n">
        <x:v>119</x:v>
      </x:c>
      <x:c r="J10" s="12" t="n">
        <x:f>IF(E10+G10=0,NA(),G10/(E10+G10))</x:f>
        <x:v>0.9375</x:v>
      </x:c>
      <x:c r="K10" s="12" t="n">
        <x:f>IF(F10+H10=0,NA(),F10/(F10+H10))</x:f>
        <x:v>0.09195402298850575</x:v>
      </x:c>
      <x:c r="L10" s="12" t="n">
        <x:f>IF(2*E10+F10+G10=0,NA(),2*E10/(2*E10+F10+G10))</x:f>
        <x:v>0.09523809523809523</x:v>
      </x:c>
      <x:c r="M10" s="12" t="n">
        <x:v>0.32938218390804597</x:v>
      </x:c>
      <x:c r="N10" s="13" t="n">
        <x:v>1</x:v>
      </x:c>
    </x:row>
    <x:row r="11">
      <x:c r="A11" s="10" t="str">
        <x:v>cross_entropy</x:v>
      </x:c>
      <x:c r="B11" s="11" t="str">
        <x:v>all</x:v>
      </x:c>
      <x:c r="C11" s="11" t="str">
        <x:v>density</x:v>
      </x:c>
      <x:c r="D11" s="11" t="n">
        <x:v>47</x:v>
      </x:c>
      <x:c r="E11" s="11" t="n">
        <x:v>17</x:v>
      </x:c>
      <x:c r="F11" s="11" t="n">
        <x:v>17</x:v>
      </x:c>
      <x:c r="G11" s="11" t="n">
        <x:v>30</x:v>
      </x:c>
      <x:c r="H11" s="11" t="n">
        <x:v>72</x:v>
      </x:c>
      <x:c r="I11" s="11" t="n">
        <x:v>136</x:v>
      </x:c>
      <x:c r="J11" s="12" t="n">
        <x:f>IF(E11+G11=0,NA(),G11/(E11+G11))</x:f>
        <x:v>0.6382978723404256</x:v>
      </x:c>
      <x:c r="K11" s="12" t="n">
        <x:f>IF(F11+H11=0,NA(),F11/(F11+H11))</x:f>
        <x:v>0.19101123595505617</x:v>
      </x:c>
      <x:c r="L11" s="12" t="n">
        <x:f>IF(2*E11+F11+G11=0,NA(),2*E11/(2*E11+F11+G11))</x:f>
        <x:v>0.41975308641975306</x:v>
      </x:c>
      <x:c r="M11" s="12" t="n">
        <x:v>0.614869710733923</x:v>
      </x:c>
      <x:c r="N11" s="13" t="n">
        <x:v>1</x:v>
      </x:c>
    </x:row>
    <x:row r="12">
      <x:c r="A12" s="10" t="str">
        <x:v>cross_entropy</x:v>
      </x:c>
      <x:c r="B12" s="11" t="str">
        <x:v>empirical</x:v>
      </x:c>
      <x:c r="C12" s="11" t="str">
        <x:v>density</x:v>
      </x:c>
      <x:c r="D12" s="11" t="n">
        <x:v>15</x:v>
      </x:c>
      <x:c r="E12" s="11" t="n">
        <x:v>7</x:v>
      </x:c>
      <x:c r="F12" s="11" t="n">
        <x:v>2</x:v>
      </x:c>
      <x:c r="G12" s="11" t="n">
        <x:v>8</x:v>
      </x:c>
      <x:c r="H12" s="11" t="n">
        <x:v>0</x:v>
      </x:c>
      <x:c r="I12" s="11" t="n">
        <x:v>17</x:v>
      </x:c>
      <x:c r="J12" s="12" t="n">
        <x:f>IF(E12+G12=0,NA(),G12/(E12+G12))</x:f>
        <x:v>0.5333333333333333</x:v>
      </x:c>
      <x:c r="K12" s="12" t="n">
        <x:f>IF(F12+H12=0,NA(),F12/(F12+H12))</x:f>
        <x:v>1</x:v>
      </x:c>
      <x:c r="L12" s="12" t="n">
        <x:f>IF(2*E12+F12+G12=0,NA(),2*E12/(2*E12+F12+G12))</x:f>
        <x:v>0.5833333333333334</x:v>
      </x:c>
      <x:c r="M12" s="12" t="n">
        <x:v>0.3333333333333333</x:v>
      </x:c>
      <x:c r="N12" s="13" t="n">
        <x:v>1</x:v>
      </x:c>
    </x:row>
    <x:row r="13">
      <x:c r="A13" s="10" t="str">
        <x:v>cross_entropy</x:v>
      </x:c>
      <x:c r="B13" s="11" t="str">
        <x:v>simulated</x:v>
      </x:c>
      <x:c r="C13" s="11" t="str">
        <x:v>density</x:v>
      </x:c>
      <x:c r="D13" s="11" t="n">
        <x:v>32</x:v>
      </x:c>
      <x:c r="E13" s="11" t="n">
        <x:v>10</x:v>
      </x:c>
      <x:c r="F13" s="11" t="n">
        <x:v>15</x:v>
      </x:c>
      <x:c r="G13" s="11" t="n">
        <x:v>22</x:v>
      </x:c>
      <x:c r="H13" s="11" t="n">
        <x:v>72</x:v>
      </x:c>
      <x:c r="I13" s="11" t="n">
        <x:v>119</x:v>
      </x:c>
      <x:c r="J13" s="12" t="n">
        <x:f>IF(E13+G13=0,NA(),G13/(E13+G13))</x:f>
        <x:v>0.6875</x:v>
      </x:c>
      <x:c r="K13" s="12" t="n">
        <x:f>IF(F13+H13=0,NA(),F13/(F13+H13))</x:f>
        <x:v>0.1724137931034483</x:v>
      </x:c>
      <x:c r="L13" s="12" t="n">
        <x:f>IF(2*E13+F13+G13=0,NA(),2*E13/(2*E13+F13+G13))</x:f>
        <x:v>0.3508771929824561</x:v>
      </x:c>
      <x:c r="M13" s="12" t="n">
        <x:v>0.5226293103448275</x:v>
      </x:c>
      <x:c r="N13" s="13" t="n">
        <x:v>1</x:v>
      </x:c>
    </x:row>
    <x:row r="14">
      <x:c r="A14" s="10" t="str">
        <x:v>cross_entropy</x:v>
      </x:c>
      <x:c r="B14" s="11" t="str">
        <x:v>all</x:v>
      </x:c>
      <x:c r="C14" s="11" t="str">
        <x:v>mmd</x:v>
      </x:c>
      <x:c r="D14" s="11" t="n">
        <x:v>47</x:v>
      </x:c>
      <x:c r="E14" s="11" t="n">
        <x:v>0</x:v>
      </x:c>
      <x:c r="F14" s="11" t="n">
        <x:v>9</x:v>
      </x:c>
      <x:c r="G14" s="11" t="n">
        <x:v>47</x:v>
      </x:c>
      <x:c r="H14" s="11" t="n">
        <x:v>80</x:v>
      </x:c>
      <x:c r="I14" s="11" t="n">
        <x:v>136</x:v>
      </x:c>
      <x:c r="J14" s="12" t="n">
        <x:f>IF(E14+G14=0,NA(),G14/(E14+G14))</x:f>
        <x:v>1</x:v>
      </x:c>
      <x:c r="K14" s="12" t="n">
        <x:f>IF(F14+H14=0,NA(),F14/(F14+H14))</x:f>
        <x:v>0.10112359550561797</x:v>
      </x:c>
      <x:c r="L14" s="12" t="n">
        <x:f>IF(2*E14+F14+G14=0,NA(),2*E14/(2*E14+F14+G14))</x:f>
        <x:v>0</x:v>
      </x:c>
      <x:c r="M14" s="12" t="n">
        <x:v>0.2689457327277074</x:v>
      </x:c>
      <x:c r="N14" s="13" t="n">
        <x:v>1</x:v>
      </x:c>
    </x:row>
    <x:row r="15">
      <x:c r="A15" s="10" t="str">
        <x:v>cross_entropy</x:v>
      </x:c>
      <x:c r="B15" s="11" t="str">
        <x:v>empirical</x:v>
      </x:c>
      <x:c r="C15" s="11" t="str">
        <x:v>mmd</x:v>
      </x:c>
      <x:c r="D15" s="11" t="n">
        <x:v>15</x:v>
      </x:c>
      <x:c r="E15" s="11" t="n">
        <x:v>0</x:v>
      </x:c>
      <x:c r="F15" s="11" t="n">
        <x:v>0</x:v>
      </x:c>
      <x:c r="G15" s="11" t="n">
        <x:v>15</x:v>
      </x:c>
      <x:c r="H15" s="11" t="n">
        <x:v>2</x:v>
      </x:c>
      <x:c r="I15" s="11" t="n">
        <x:v>17</x:v>
      </x:c>
      <x:c r="J15" s="12" t="n">
        <x:f>IF(E15+G15=0,NA(),G15/(E15+G15))</x:f>
        <x:v>1</x:v>
      </x:c>
      <x:c r="K15" s="12" t="n">
        <x:f>IF(F15+H15=0,NA(),F15/(F15+H15))</x:f>
        <x:v>0</x:v>
      </x:c>
      <x:c r="L15" s="12" t="n">
        <x:f>IF(2*E15+F15+G15=0,NA(),2*E15/(2*E15+F15+G15))</x:f>
        <x:v>0</x:v>
      </x:c>
      <x:c r="M15" s="12" t="n">
        <x:v>0.8</x:v>
      </x:c>
      <x:c r="N15" s="13" t="n">
        <x:v>1</x:v>
      </x:c>
    </x:row>
    <x:row r="16">
      <x:c r="A16" s="10" t="str">
        <x:v>cross_entropy</x:v>
      </x:c>
      <x:c r="B16" s="11" t="str">
        <x:v>simulated</x:v>
      </x:c>
      <x:c r="C16" s="11" t="str">
        <x:v>mmd</x:v>
      </x:c>
      <x:c r="D16" s="11" t="n">
        <x:v>32</x:v>
      </x:c>
      <x:c r="E16" s="11" t="n">
        <x:v>0</x:v>
      </x:c>
      <x:c r="F16" s="11" t="n">
        <x:v>9</x:v>
      </x:c>
      <x:c r="G16" s="11" t="n">
        <x:v>32</x:v>
      </x:c>
      <x:c r="H16" s="11" t="n">
        <x:v>78</x:v>
      </x:c>
      <x:c r="I16" s="11" t="n">
        <x:v>119</x:v>
      </x:c>
      <x:c r="J16" s="12" t="n">
        <x:f>IF(E16+G16=0,NA(),G16/(E16+G16))</x:f>
        <x:v>1</x:v>
      </x:c>
      <x:c r="K16" s="12" t="n">
        <x:f>IF(F16+H16=0,NA(),F16/(F16+H16))</x:f>
        <x:v>0.10344827586206896</x:v>
      </x:c>
      <x:c r="L16" s="12" t="n">
        <x:f>IF(2*E16+F16+G16=0,NA(),2*E16/(2*E16+F16+G16))</x:f>
        <x:v>0</x:v>
      </x:c>
      <x:c r="M16" s="12" t="n">
        <x:v>0.22772988505747127</x:v>
      </x:c>
      <x:c r="N16" s="13" t="n">
        <x:v>1</x:v>
      </x:c>
    </x:row>
    <x:row r="17">
      <x:c r="A17" s="10" t="str">
        <x:v>exponential</x:v>
      </x:c>
      <x:c r="B17" s="11" t="str">
        <x:v>all</x:v>
      </x:c>
      <x:c r="C17" s="11" t="str">
        <x:v>l2</x:v>
      </x:c>
      <x:c r="D17" s="11" t="n">
        <x:v>50</x:v>
      </x:c>
      <x:c r="E17" s="11" t="n">
        <x:v>1</x:v>
      </x:c>
      <x:c r="F17" s="11" t="n">
        <x:v>6</x:v>
      </x:c>
      <x:c r="G17" s="11" t="n">
        <x:v>49</x:v>
      </x:c>
      <x:c r="H17" s="11" t="n">
        <x:v>80</x:v>
      </x:c>
      <x:c r="I17" s="11" t="n">
        <x:v>136</x:v>
      </x:c>
      <x:c r="J17" s="12" t="n">
        <x:f>IF(E17+G17=0,NA(),G17/(E17+G17))</x:f>
        <x:v>0.98</x:v>
      </x:c>
      <x:c r="K17" s="12" t="n">
        <x:f>IF(F17+H17=0,NA(),F17/(F17+H17))</x:f>
        <x:v>0.06976744186046512</x:v>
      </x:c>
      <x:c r="L17" s="12" t="n">
        <x:f>IF(2*E17+F17+G17=0,NA(),2*E17/(2*E17+F17+G17))</x:f>
        <x:v>0.03508771929824561</x:v>
      </x:c>
      <x:c r="M17" s="12" t="n">
        <x:v>0.37</x:v>
      </x:c>
      <x:c r="N17" s="13" t="n">
        <x:v>1</x:v>
      </x:c>
    </x:row>
    <x:row r="18">
      <x:c r="A18" s="10" t="str">
        <x:v>exponential</x:v>
      </x:c>
      <x:c r="B18" s="11" t="str">
        <x:v>empirical</x:v>
      </x:c>
      <x:c r="C18" s="11" t="str">
        <x:v>l2</x:v>
      </x:c>
      <x:c r="D18" s="11" t="n">
        <x:v>15</x:v>
      </x:c>
      <x:c r="E18" s="11" t="n">
        <x:v>0</x:v>
      </x:c>
      <x:c r="F18" s="11" t="n">
        <x:v>0</x:v>
      </x:c>
      <x:c r="G18" s="11" t="n">
        <x:v>15</x:v>
      </x:c>
      <x:c r="H18" s="11" t="n">
        <x:v>2</x:v>
      </x:c>
      <x:c r="I18" s="11" t="n">
        <x:v>17</x:v>
      </x:c>
      <x:c r="J18" s="12" t="n">
        <x:f>IF(E18+G18=0,NA(),G18/(E18+G18))</x:f>
        <x:v>1</x:v>
      </x:c>
      <x:c r="K18" s="12" t="n">
        <x:f>IF(F18+H18=0,NA(),F18/(F18+H18))</x:f>
        <x:v>0</x:v>
      </x:c>
      <x:c r="L18" s="12" t="n">
        <x:f>IF(2*E18+F18+G18=0,NA(),2*E18/(2*E18+F18+G18))</x:f>
        <x:v>0</x:v>
      </x:c>
      <x:c r="M18" s="12" t="n">
        <x:v>0.26666666666666666</x:v>
      </x:c>
      <x:c r="N18" s="13" t="n">
        <x:v>1</x:v>
      </x:c>
    </x:row>
    <x:row r="19">
      <x:c r="A19" s="10" t="str">
        <x:v>exponential</x:v>
      </x:c>
      <x:c r="B19" s="11" t="str">
        <x:v>simulated</x:v>
      </x:c>
      <x:c r="C19" s="11" t="str">
        <x:v>l2</x:v>
      </x:c>
      <x:c r="D19" s="11" t="n">
        <x:v>35</x:v>
      </x:c>
      <x:c r="E19" s="11" t="n">
        <x:v>1</x:v>
      </x:c>
      <x:c r="F19" s="11" t="n">
        <x:v>6</x:v>
      </x:c>
      <x:c r="G19" s="11" t="n">
        <x:v>34</x:v>
      </x:c>
      <x:c r="H19" s="11" t="n">
        <x:v>78</x:v>
      </x:c>
      <x:c r="I19" s="11" t="n">
        <x:v>119</x:v>
      </x:c>
      <x:c r="J19" s="12" t="n">
        <x:f>IF(E19+G19=0,NA(),G19/(E19+G19))</x:f>
        <x:v>0.9714285714285714</x:v>
      </x:c>
      <x:c r="K19" s="12" t="n">
        <x:f>IF(F19+H19=0,NA(),F19/(F19+H19))</x:f>
        <x:v>0.07142857142857142</x:v>
      </x:c>
      <x:c r="L19" s="12" t="n">
        <x:f>IF(2*E19+F19+G19=0,NA(),2*E19/(2*E19+F19+G19))</x:f>
        <x:v>0.047619047619047616</x:v>
      </x:c>
      <x:c r="M19" s="12" t="n">
        <x:v>0.35272108843537414</x:v>
      </x:c>
      <x:c r="N19" s="13" t="n">
        <x:v>1</x:v>
      </x:c>
    </x:row>
    <x:row r="20">
      <x:c r="A20" s="10" t="str">
        <x:v>exponential</x:v>
      </x:c>
      <x:c r="B20" s="11" t="str">
        <x:v>all</x:v>
      </x:c>
      <x:c r="C20" s="11" t="str">
        <x:v>linf</x:v>
      </x:c>
      <x:c r="D20" s="11" t="n">
        <x:v>50</x:v>
      </x:c>
      <x:c r="E20" s="11" t="n">
        <x:v>2</x:v>
      </x:c>
      <x:c r="F20" s="11" t="n">
        <x:v>5</x:v>
      </x:c>
      <x:c r="G20" s="11" t="n">
        <x:v>48</x:v>
      </x:c>
      <x:c r="H20" s="11" t="n">
        <x:v>81</x:v>
      </x:c>
      <x:c r="I20" s="11" t="n">
        <x:v>136</x:v>
      </x:c>
      <x:c r="J20" s="12" t="n">
        <x:f>IF(E20+G20=0,NA(),G20/(E20+G20))</x:f>
        <x:v>0.96</x:v>
      </x:c>
      <x:c r="K20" s="12" t="n">
        <x:f>IF(F20+H20=0,NA(),F20/(F20+H20))</x:f>
        <x:v>0.05813953488372093</x:v>
      </x:c>
      <x:c r="L20" s="12" t="n">
        <x:f>IF(2*E20+F20+G20=0,NA(),2*E20/(2*E20+F20+G20))</x:f>
        <x:v>0.07017543859649122</x:v>
      </x:c>
      <x:c r="M20" s="12" t="n">
        <x:v>0.4041860465116279</x:v>
      </x:c>
      <x:c r="N20" s="13" t="n">
        <x:v>1</x:v>
      </x:c>
    </x:row>
    <x:row r="21">
      <x:c r="A21" s="10" t="str">
        <x:v>exponential</x:v>
      </x:c>
      <x:c r="B21" s="11" t="str">
        <x:v>empirical</x:v>
      </x:c>
      <x:c r="C21" s="11" t="str">
        <x:v>linf</x:v>
      </x:c>
      <x:c r="D21" s="11" t="n">
        <x:v>15</x:v>
      </x:c>
      <x:c r="E21" s="11" t="n">
        <x:v>0</x:v>
      </x:c>
      <x:c r="F21" s="11" t="n">
        <x:v>0</x:v>
      </x:c>
      <x:c r="G21" s="11" t="n">
        <x:v>15</x:v>
      </x:c>
      <x:c r="H21" s="11" t="n">
        <x:v>2</x:v>
      </x:c>
      <x:c r="I21" s="11" t="n">
        <x:v>17</x:v>
      </x:c>
      <x:c r="J21" s="12" t="n">
        <x:f>IF(E21+G21=0,NA(),G21/(E21+G21))</x:f>
        <x:v>1</x:v>
      </x:c>
      <x:c r="K21" s="12" t="n">
        <x:f>IF(F21+H21=0,NA(),F21/(F21+H21))</x:f>
        <x:v>0</x:v>
      </x:c>
      <x:c r="L21" s="12" t="n">
        <x:f>IF(2*E21+F21+G21=0,NA(),2*E21/(2*E21+F21+G21))</x:f>
        <x:v>0</x:v>
      </x:c>
      <x:c r="M21" s="12" t="n">
        <x:v>0.5</x:v>
      </x:c>
      <x:c r="N21" s="13" t="n">
        <x:v>1</x:v>
      </x:c>
    </x:row>
    <x:row r="22">
      <x:c r="A22" s="10" t="str">
        <x:v>exponential</x:v>
      </x:c>
      <x:c r="B22" s="11" t="str">
        <x:v>simulated</x:v>
      </x:c>
      <x:c r="C22" s="11" t="str">
        <x:v>linf</x:v>
      </x:c>
      <x:c r="D22" s="11" t="n">
        <x:v>35</x:v>
      </x:c>
      <x:c r="E22" s="11" t="n">
        <x:v>2</x:v>
      </x:c>
      <x:c r="F22" s="11" t="n">
        <x:v>5</x:v>
      </x:c>
      <x:c r="G22" s="11" t="n">
        <x:v>33</x:v>
      </x:c>
      <x:c r="H22" s="11" t="n">
        <x:v>79</x:v>
      </x:c>
      <x:c r="I22" s="11" t="n">
        <x:v>119</x:v>
      </x:c>
      <x:c r="J22" s="12" t="n">
        <x:f>IF(E22+G22=0,NA(),G22/(E22+G22))</x:f>
        <x:v>0.9428571428571428</x:v>
      </x:c>
      <x:c r="K22" s="12" t="n">
        <x:f>IF(F22+H22=0,NA(),F22/(F22+H22))</x:f>
        <x:v>0.05952380952380952</x:v>
      </x:c>
      <x:c r="L22" s="12" t="n">
        <x:f>IF(2*E22+F22+G22=0,NA(),2*E22/(2*E22+F22+G22))</x:f>
        <x:v>0.09523809523809523</x:v>
      </x:c>
      <x:c r="M22" s="12" t="n">
        <x:v>0.4</x:v>
      </x:c>
      <x:c r="N22" s="13" t="n">
        <x:v>1</x:v>
      </x:c>
    </x:row>
    <x:row r="23">
      <x:c r="A23" s="10" t="str">
        <x:v>exponential</x:v>
      </x:c>
      <x:c r="B23" s="11" t="str">
        <x:v>all</x:v>
      </x:c>
      <x:c r="C23" s="11" t="str">
        <x:v>density</x:v>
      </x:c>
      <x:c r="D23" s="11" t="n">
        <x:v>50</x:v>
      </x:c>
      <x:c r="E23" s="11" t="n">
        <x:v>20</x:v>
      </x:c>
      <x:c r="F23" s="11" t="n">
        <x:v>15</x:v>
      </x:c>
      <x:c r="G23" s="11" t="n">
        <x:v>30</x:v>
      </x:c>
      <x:c r="H23" s="11" t="n">
        <x:v>71</x:v>
      </x:c>
      <x:c r="I23" s="11" t="n">
        <x:v>136</x:v>
      </x:c>
      <x:c r="J23" s="12" t="n">
        <x:f>IF(E23+G23=0,NA(),G23/(E23+G23))</x:f>
        <x:v>0.6</x:v>
      </x:c>
      <x:c r="K23" s="12" t="n">
        <x:f>IF(F23+H23=0,NA(),F23/(F23+H23))</x:f>
        <x:v>0.1744186046511628</x:v>
      </x:c>
      <x:c r="L23" s="12" t="n">
        <x:f>IF(2*E23+F23+G23=0,NA(),2*E23/(2*E23+F23+G23))</x:f>
        <x:v>0.47058823529411764</x:v>
      </x:c>
      <x:c r="M23" s="12" t="n">
        <x:v>0.6430232558139535</x:v>
      </x:c>
      <x:c r="N23" s="13" t="n">
        <x:v>1</x:v>
      </x:c>
    </x:row>
    <x:row r="24">
      <x:c r="A24" s="10" t="str">
        <x:v>exponential</x:v>
      </x:c>
      <x:c r="B24" s="11" t="str">
        <x:v>empirical</x:v>
      </x:c>
      <x:c r="C24" s="11" t="str">
        <x:v>density</x:v>
      </x:c>
      <x:c r="D24" s="11" t="n">
        <x:v>15</x:v>
      </x:c>
      <x:c r="E24" s="11" t="n">
        <x:v>11</x:v>
      </x:c>
      <x:c r="F24" s="11" t="n">
        <x:v>0</x:v>
      </x:c>
      <x:c r="G24" s="11" t="n">
        <x:v>4</x:v>
      </x:c>
      <x:c r="H24" s="11" t="n">
        <x:v>2</x:v>
      </x:c>
      <x:c r="I24" s="11" t="n">
        <x:v>17</x:v>
      </x:c>
      <x:c r="J24" s="12" t="n">
        <x:f>IF(E24+G24=0,NA(),G24/(E24+G24))</x:f>
        <x:v>0.26666666666666666</x:v>
      </x:c>
      <x:c r="K24" s="12" t="n">
        <x:f>IF(F24+H24=0,NA(),F24/(F24+H24))</x:f>
        <x:v>0</x:v>
      </x:c>
      <x:c r="L24" s="12" t="n">
        <x:f>IF(2*E24+F24+G24=0,NA(),2*E24/(2*E24+F24+G24))</x:f>
        <x:v>0.8461538461538461</x:v>
      </x:c>
      <x:c r="M24" s="12" t="n">
        <x:v>0.7666666666666666</x:v>
      </x:c>
      <x:c r="N24" s="13" t="n">
        <x:v>1</x:v>
      </x:c>
    </x:row>
    <x:row r="25">
      <x:c r="A25" s="10" t="str">
        <x:v>exponential</x:v>
      </x:c>
      <x:c r="B25" s="11" t="str">
        <x:v>simulated</x:v>
      </x:c>
      <x:c r="C25" s="11" t="str">
        <x:v>density</x:v>
      </x:c>
      <x:c r="D25" s="11" t="n">
        <x:v>35</x:v>
      </x:c>
      <x:c r="E25" s="11" t="n">
        <x:v>9</x:v>
      </x:c>
      <x:c r="F25" s="11" t="n">
        <x:v>15</x:v>
      </x:c>
      <x:c r="G25" s="11" t="n">
        <x:v>26</x:v>
      </x:c>
      <x:c r="H25" s="11" t="n">
        <x:v>69</x:v>
      </x:c>
      <x:c r="I25" s="11" t="n">
        <x:v>119</x:v>
      </x:c>
      <x:c r="J25" s="12" t="n">
        <x:f>IF(E25+G25=0,NA(),G25/(E25+G25))</x:f>
        <x:v>0.7428571428571429</x:v>
      </x:c>
      <x:c r="K25" s="12" t="n">
        <x:f>IF(F25+H25=0,NA(),F25/(F25+H25))</x:f>
        <x:v>0.17857142857142858</x:v>
      </x:c>
      <x:c r="L25" s="12" t="n">
        <x:f>IF(2*E25+F25+G25=0,NA(),2*E25/(2*E25+F25+G25))</x:f>
        <x:v>0.3050847457627119</x:v>
      </x:c>
      <x:c r="M25" s="12" t="n">
        <x:v>0.5493197278911565</x:v>
      </x:c>
      <x:c r="N25" s="13" t="n">
        <x:v>1</x:v>
      </x:c>
    </x:row>
    <x:row r="26">
      <x:c r="A26" s="10" t="str">
        <x:v>exponential</x:v>
      </x:c>
      <x:c r="B26" s="11" t="str">
        <x:v>all</x:v>
      </x:c>
      <x:c r="C26" s="11" t="str">
        <x:v>mmd</x:v>
      </x:c>
      <x:c r="D26" s="11" t="n">
        <x:v>50</x:v>
      </x:c>
      <x:c r="E26" s="11" t="n">
        <x:v>0</x:v>
      </x:c>
      <x:c r="F26" s="11" t="n">
        <x:v>10</x:v>
      </x:c>
      <x:c r="G26" s="11" t="n">
        <x:v>50</x:v>
      </x:c>
      <x:c r="H26" s="11" t="n">
        <x:v>76</x:v>
      </x:c>
      <x:c r="I26" s="11" t="n">
        <x:v>136</x:v>
      </x:c>
      <x:c r="J26" s="12" t="n">
        <x:f>IF(E26+G26=0,NA(),G26/(E26+G26))</x:f>
        <x:v>1</x:v>
      </x:c>
      <x:c r="K26" s="12" t="n">
        <x:f>IF(F26+H26=0,NA(),F26/(F26+H26))</x:f>
        <x:v>0.11627906976744186</x:v>
      </x:c>
      <x:c r="L26" s="12" t="n">
        <x:f>IF(2*E26+F26+G26=0,NA(),2*E26/(2*E26+F26+G26))</x:f>
        <x:v>0</x:v>
      </x:c>
      <x:c r="M26" s="12" t="n">
        <x:v>0.23651162790697677</x:v>
      </x:c>
      <x:c r="N26" s="13" t="n">
        <x:v>1</x:v>
      </x:c>
    </x:row>
    <x:row r="27">
      <x:c r="A27" s="10" t="str">
        <x:v>exponential</x:v>
      </x:c>
      <x:c r="B27" s="11" t="str">
        <x:v>empirical</x:v>
      </x:c>
      <x:c r="C27" s="11" t="str">
        <x:v>mmd</x:v>
      </x:c>
      <x:c r="D27" s="11" t="n">
        <x:v>15</x:v>
      </x:c>
      <x:c r="E27" s="11" t="n">
        <x:v>0</x:v>
      </x:c>
      <x:c r="F27" s="11" t="n">
        <x:v>0</x:v>
      </x:c>
      <x:c r="G27" s="11" t="n">
        <x:v>15</x:v>
      </x:c>
      <x:c r="H27" s="11" t="n">
        <x:v>2</x:v>
      </x:c>
      <x:c r="I27" s="11" t="n">
        <x:v>17</x:v>
      </x:c>
      <x:c r="J27" s="12" t="n">
        <x:f>IF(E27+G27=0,NA(),G27/(E27+G27))</x:f>
        <x:v>1</x:v>
      </x:c>
      <x:c r="K27" s="12" t="n">
        <x:f>IF(F27+H27=0,NA(),F27/(F27+H27))</x:f>
        <x:v>0</x:v>
      </x:c>
      <x:c r="L27" s="12" t="n">
        <x:f>IF(2*E27+F27+G27=0,NA(),2*E27/(2*E27+F27+G27))</x:f>
        <x:v>0</x:v>
      </x:c>
      <x:c r="M27" s="12" t="n">
        <x:v>0.3</x:v>
      </x:c>
      <x:c r="N27" s="13" t="n">
        <x:v>1</x:v>
      </x:c>
    </x:row>
    <x:row r="28">
      <x:c r="A28" s="10" t="str">
        <x:v>exponential</x:v>
      </x:c>
      <x:c r="B28" s="11" t="str">
        <x:v>simulated</x:v>
      </x:c>
      <x:c r="C28" s="11" t="str">
        <x:v>mmd</x:v>
      </x:c>
      <x:c r="D28" s="11" t="n">
        <x:v>35</x:v>
      </x:c>
      <x:c r="E28" s="11" t="n">
        <x:v>0</x:v>
      </x:c>
      <x:c r="F28" s="11" t="n">
        <x:v>10</x:v>
      </x:c>
      <x:c r="G28" s="11" t="n">
        <x:v>35</x:v>
      </x:c>
      <x:c r="H28" s="11" t="n">
        <x:v>74</x:v>
      </x:c>
      <x:c r="I28" s="11" t="n">
        <x:v>119</x:v>
      </x:c>
      <x:c r="J28" s="12" t="n">
        <x:f>IF(E28+G28=0,NA(),G28/(E28+G28))</x:f>
        <x:v>1</x:v>
      </x:c>
      <x:c r="K28" s="12" t="n">
        <x:f>IF(F28+H28=0,NA(),F28/(F28+H28))</x:f>
        <x:v>0.11904761904761904</x:v>
      </x:c>
      <x:c r="L28" s="12" t="n">
        <x:f>IF(2*E28+F28+G28=0,NA(),2*E28/(2*E28+F28+G28))</x:f>
        <x:v>0</x:v>
      </x:c>
      <x:c r="M28" s="12" t="n">
        <x:v>0.1772108843537415</x:v>
      </x:c>
      <x:c r="N28" s="13" t="n">
        <x:v>1</x:v>
      </x:c>
    </x:row>
    <x:row r="29">
      <x:c r="A29" s="10" t="str">
        <x:v>logistic</x:v>
      </x:c>
      <x:c r="B29" s="11" t="str">
        <x:v>all</x:v>
      </x:c>
      <x:c r="C29" s="11" t="str">
        <x:v>l2</x:v>
      </x:c>
      <x:c r="D29" s="11" t="n">
        <x:v>50</x:v>
      </x:c>
      <x:c r="E29" s="11" t="n">
        <x:v>5</x:v>
      </x:c>
      <x:c r="F29" s="11" t="n">
        <x:v>6</x:v>
      </x:c>
      <x:c r="G29" s="11" t="n">
        <x:v>45</x:v>
      </x:c>
      <x:c r="H29" s="11" t="n">
        <x:v>80</x:v>
      </x:c>
      <x:c r="I29" s="11" t="n">
        <x:v>136</x:v>
      </x:c>
      <x:c r="J29" s="12" t="n">
        <x:f>IF(E29+G29=0,NA(),G29/(E29+G29))</x:f>
        <x:v>0.9</x:v>
      </x:c>
      <x:c r="K29" s="12" t="n">
        <x:f>IF(F29+H29=0,NA(),F29/(F29+H29))</x:f>
        <x:v>0.06976744186046512</x:v>
      </x:c>
      <x:c r="L29" s="12" t="n">
        <x:f>IF(2*E29+F29+G29=0,NA(),2*E29/(2*E29+F29+G29))</x:f>
        <x:v>0.16393442622950818</x:v>
      </x:c>
      <x:c r="M29" s="12" t="n">
        <x:v>0.4418604651162791</x:v>
      </x:c>
      <x:c r="N29" s="13" t="n">
        <x:v>1</x:v>
      </x:c>
    </x:row>
    <x:row r="30">
      <x:c r="A30" s="10" t="str">
        <x:v>logistic</x:v>
      </x:c>
      <x:c r="B30" s="11" t="str">
        <x:v>empirical</x:v>
      </x:c>
      <x:c r="C30" s="11" t="str">
        <x:v>l2</x:v>
      </x:c>
      <x:c r="D30" s="11" t="n">
        <x:v>15</x:v>
      </x:c>
      <x:c r="E30" s="11" t="n">
        <x:v>4</x:v>
      </x:c>
      <x:c r="F30" s="11" t="n">
        <x:v>1</x:v>
      </x:c>
      <x:c r="G30" s="11" t="n">
        <x:v>11</x:v>
      </x:c>
      <x:c r="H30" s="11" t="n">
        <x:v>1</x:v>
      </x:c>
      <x:c r="I30" s="11" t="n">
        <x:v>17</x:v>
      </x:c>
      <x:c r="J30" s="12" t="n">
        <x:f>IF(E30+G30=0,NA(),G30/(E30+G30))</x:f>
        <x:v>0.7333333333333333</x:v>
      </x:c>
      <x:c r="K30" s="12" t="n">
        <x:f>IF(F30+H30=0,NA(),F30/(F30+H30))</x:f>
        <x:v>0.5</x:v>
      </x:c>
      <x:c r="L30" s="12" t="n">
        <x:f>IF(2*E30+F30+G30=0,NA(),2*E30/(2*E30+F30+G30))</x:f>
        <x:v>0.4</x:v>
      </x:c>
      <x:c r="M30" s="12" t="n">
        <x:v>0.4666666666666667</x:v>
      </x:c>
      <x:c r="N30" s="13" t="n">
        <x:v>1</x:v>
      </x:c>
    </x:row>
    <x:row r="31">
      <x:c r="A31" s="10" t="str">
        <x:v>logistic</x:v>
      </x:c>
      <x:c r="B31" s="11" t="str">
        <x:v>simulated</x:v>
      </x:c>
      <x:c r="C31" s="11" t="str">
        <x:v>l2</x:v>
      </x:c>
      <x:c r="D31" s="11" t="n">
        <x:v>35</x:v>
      </x:c>
      <x:c r="E31" s="11" t="n">
        <x:v>1</x:v>
      </x:c>
      <x:c r="F31" s="11" t="n">
        <x:v>5</x:v>
      </x:c>
      <x:c r="G31" s="11" t="n">
        <x:v>34</x:v>
      </x:c>
      <x:c r="H31" s="11" t="n">
        <x:v>79</x:v>
      </x:c>
      <x:c r="I31" s="11" t="n">
        <x:v>119</x:v>
      </x:c>
      <x:c r="J31" s="12" t="n">
        <x:f>IF(E31+G31=0,NA(),G31/(E31+G31))</x:f>
        <x:v>0.9714285714285714</x:v>
      </x:c>
      <x:c r="K31" s="12" t="n">
        <x:f>IF(F31+H31=0,NA(),F31/(F31+H31))</x:f>
        <x:v>0.05952380952380952</x:v>
      </x:c>
      <x:c r="L31" s="12" t="n">
        <x:f>IF(2*E31+F31+G31=0,NA(),2*E31/(2*E31+F31+G31))</x:f>
        <x:v>0.04878048780487805</x:v>
      </x:c>
      <x:c r="M31" s="12" t="n">
        <x:v>0.3282312925170068</x:v>
      </x:c>
      <x:c r="N31" s="13" t="n">
        <x:v>1</x:v>
      </x:c>
    </x:row>
    <x:row r="32">
      <x:c r="A32" s="10" t="str">
        <x:v>logistic</x:v>
      </x:c>
      <x:c r="B32" s="11" t="str">
        <x:v>all</x:v>
      </x:c>
      <x:c r="C32" s="11" t="str">
        <x:v>linf</x:v>
      </x:c>
      <x:c r="D32" s="11" t="n">
        <x:v>50</x:v>
      </x:c>
      <x:c r="E32" s="11" t="n">
        <x:v>5</x:v>
      </x:c>
      <x:c r="F32" s="11" t="n">
        <x:v>4</x:v>
      </x:c>
      <x:c r="G32" s="11" t="n">
        <x:v>45</x:v>
      </x:c>
      <x:c r="H32" s="11" t="n">
        <x:v>82</x:v>
      </x:c>
      <x:c r="I32" s="11" t="n">
        <x:v>136</x:v>
      </x:c>
      <x:c r="J32" s="12" t="n">
        <x:f>IF(E32+G32=0,NA(),G32/(E32+G32))</x:f>
        <x:v>0.9</x:v>
      </x:c>
      <x:c r="K32" s="12" t="n">
        <x:f>IF(F32+H32=0,NA(),F32/(F32+H32))</x:f>
        <x:v>0.046511627906976744</x:v>
      </x:c>
      <x:c r="L32" s="12" t="n">
        <x:f>IF(2*E32+F32+G32=0,NA(),2*E32/(2*E32+F32+G32))</x:f>
        <x:v>0.1694915254237288</x:v>
      </x:c>
      <x:c r="M32" s="12" t="n">
        <x:v>0.46279069767441866</x:v>
      </x:c>
      <x:c r="N32" s="13" t="n">
        <x:v>1</x:v>
      </x:c>
    </x:row>
    <x:row r="33">
      <x:c r="A33" s="10" t="str">
        <x:v>logistic</x:v>
      </x:c>
      <x:c r="B33" s="11" t="str">
        <x:v>empirical</x:v>
      </x:c>
      <x:c r="C33" s="11" t="str">
        <x:v>linf</x:v>
      </x:c>
      <x:c r="D33" s="11" t="n">
        <x:v>15</x:v>
      </x:c>
      <x:c r="E33" s="11" t="n">
        <x:v>3</x:v>
      </x:c>
      <x:c r="F33" s="11" t="n">
        <x:v>0</x:v>
      </x:c>
      <x:c r="G33" s="11" t="n">
        <x:v>12</x:v>
      </x:c>
      <x:c r="H33" s="11" t="n">
        <x:v>2</x:v>
      </x:c>
      <x:c r="I33" s="11" t="n">
        <x:v>17</x:v>
      </x:c>
      <x:c r="J33" s="12" t="n">
        <x:f>IF(E33+G33=0,NA(),G33/(E33+G33))</x:f>
        <x:v>0.8</x:v>
      </x:c>
      <x:c r="K33" s="12" t="n">
        <x:f>IF(F33+H33=0,NA(),F33/(F33+H33))</x:f>
        <x:v>0</x:v>
      </x:c>
      <x:c r="L33" s="12" t="n">
        <x:f>IF(2*E33+F33+G33=0,NA(),2*E33/(2*E33+F33+G33))</x:f>
        <x:v>0.3333333333333333</x:v>
      </x:c>
      <x:c r="M33" s="12" t="n">
        <x:v>0.5666666666666667</x:v>
      </x:c>
      <x:c r="N33" s="13" t="n">
        <x:v>1</x:v>
      </x:c>
    </x:row>
    <x:row r="34">
      <x:c r="A34" s="10" t="str">
        <x:v>logistic</x:v>
      </x:c>
      <x:c r="B34" s="11" t="str">
        <x:v>simulated</x:v>
      </x:c>
      <x:c r="C34" s="11" t="str">
        <x:v>linf</x:v>
      </x:c>
      <x:c r="D34" s="11" t="n">
        <x:v>35</x:v>
      </x:c>
      <x:c r="E34" s="11" t="n">
        <x:v>2</x:v>
      </x:c>
      <x:c r="F34" s="11" t="n">
        <x:v>4</x:v>
      </x:c>
      <x:c r="G34" s="11" t="n">
        <x:v>33</x:v>
      </x:c>
      <x:c r="H34" s="11" t="n">
        <x:v>80</x:v>
      </x:c>
      <x:c r="I34" s="11" t="n">
        <x:v>119</x:v>
      </x:c>
      <x:c r="J34" s="12" t="n">
        <x:f>IF(E34+G34=0,NA(),G34/(E34+G34))</x:f>
        <x:v>0.9428571428571428</x:v>
      </x:c>
      <x:c r="K34" s="12" t="n">
        <x:f>IF(F34+H34=0,NA(),F34/(F34+H34))</x:f>
        <x:v>0.047619047619047616</x:v>
      </x:c>
      <x:c r="L34" s="12" t="n">
        <x:f>IF(2*E34+F34+G34=0,NA(),2*E34/(2*E34+F34+G34))</x:f>
        <x:v>0.0975609756097561</x:v>
      </x:c>
      <x:c r="M34" s="12" t="n">
        <x:v>0.3666666666666667</x:v>
      </x:c>
      <x:c r="N34" s="13" t="n">
        <x:v>1</x:v>
      </x:c>
    </x:row>
    <x:row r="35">
      <x:c r="A35" s="10" t="str">
        <x:v>logistic</x:v>
      </x:c>
      <x:c r="B35" s="11" t="str">
        <x:v>all</x:v>
      </x:c>
      <x:c r="C35" s="11" t="str">
        <x:v>density</x:v>
      </x:c>
      <x:c r="D35" s="11" t="n">
        <x:v>50</x:v>
      </x:c>
      <x:c r="E35" s="11" t="n">
        <x:v>23</x:v>
      </x:c>
      <x:c r="F35" s="11" t="n">
        <x:v>13</x:v>
      </x:c>
      <x:c r="G35" s="11" t="n">
        <x:v>27</x:v>
      </x:c>
      <x:c r="H35" s="11" t="n">
        <x:v>73</x:v>
      </x:c>
      <x:c r="I35" s="11" t="n">
        <x:v>136</x:v>
      </x:c>
      <x:c r="J35" s="12" t="n">
        <x:f>IF(E35+G35=0,NA(),G35/(E35+G35))</x:f>
        <x:v>0.54</x:v>
      </x:c>
      <x:c r="K35" s="12" t="n">
        <x:f>IF(F35+H35=0,NA(),F35/(F35+H35))</x:f>
        <x:v>0.1511627906976744</x:v>
      </x:c>
      <x:c r="L35" s="12" t="n">
        <x:f>IF(2*E35+F35+G35=0,NA(),2*E35/(2*E35+F35+G35))</x:f>
        <x:v>0.5348837209302325</x:v>
      </x:c>
      <x:c r="M35" s="12" t="n">
        <x:v>0.6625581395348838</x:v>
      </x:c>
      <x:c r="N35" s="13" t="n">
        <x:v>1</x:v>
      </x:c>
    </x:row>
    <x:row r="36">
      <x:c r="A36" s="10" t="str">
        <x:v>logistic</x:v>
      </x:c>
      <x:c r="B36" s="11" t="str">
        <x:v>empirical</x:v>
      </x:c>
      <x:c r="C36" s="11" t="str">
        <x:v>density</x:v>
      </x:c>
      <x:c r="D36" s="11" t="n">
        <x:v>15</x:v>
      </x:c>
      <x:c r="E36" s="11" t="n">
        <x:v>11</x:v>
      </x:c>
      <x:c r="F36" s="11" t="n">
        <x:v>0</x:v>
      </x:c>
      <x:c r="G36" s="11" t="n">
        <x:v>4</x:v>
      </x:c>
      <x:c r="H36" s="11" t="n">
        <x:v>2</x:v>
      </x:c>
      <x:c r="I36" s="11" t="n">
        <x:v>17</x:v>
      </x:c>
      <x:c r="J36" s="12" t="n">
        <x:f>IF(E36+G36=0,NA(),G36/(E36+G36))</x:f>
        <x:v>0.26666666666666666</x:v>
      </x:c>
      <x:c r="K36" s="12" t="n">
        <x:f>IF(F36+H36=0,NA(),F36/(F36+H36))</x:f>
        <x:v>0</x:v>
      </x:c>
      <x:c r="L36" s="12" t="n">
        <x:f>IF(2*E36+F36+G36=0,NA(),2*E36/(2*E36+F36+G36))</x:f>
        <x:v>0.8461538461538461</x:v>
      </x:c>
      <x:c r="M36" s="12" t="n">
        <x:v>1</x:v>
      </x:c>
      <x:c r="N36" s="13" t="n">
        <x:v>1</x:v>
      </x:c>
    </x:row>
    <x:row r="37">
      <x:c r="A37" s="10" t="str">
        <x:v>logistic</x:v>
      </x:c>
      <x:c r="B37" s="11" t="str">
        <x:v>simulated</x:v>
      </x:c>
      <x:c r="C37" s="11" t="str">
        <x:v>density</x:v>
      </x:c>
      <x:c r="D37" s="11" t="n">
        <x:v>35</x:v>
      </x:c>
      <x:c r="E37" s="11" t="n">
        <x:v>12</x:v>
      </x:c>
      <x:c r="F37" s="11" t="n">
        <x:v>13</x:v>
      </x:c>
      <x:c r="G37" s="11" t="n">
        <x:v>23</x:v>
      </x:c>
      <x:c r="H37" s="11" t="n">
        <x:v>71</x:v>
      </x:c>
      <x:c r="I37" s="11" t="n">
        <x:v>119</x:v>
      </x:c>
      <x:c r="J37" s="12" t="n">
        <x:f>IF(E37+G37=0,NA(),G37/(E37+G37))</x:f>
        <x:v>0.6571428571428571</x:v>
      </x:c>
      <x:c r="K37" s="12" t="n">
        <x:f>IF(F37+H37=0,NA(),F37/(F37+H37))</x:f>
        <x:v>0.15476190476190477</x:v>
      </x:c>
      <x:c r="L37" s="12" t="n">
        <x:f>IF(2*E37+F37+G37=0,NA(),2*E37/(2*E37+F37+G37))</x:f>
        <x:v>0.4</x:v>
      </x:c>
      <x:c r="M37" s="12" t="n">
        <x:v>0.5642857142857143</x:v>
      </x:c>
      <x:c r="N37" s="13" t="n">
        <x:v>1</x:v>
      </x:c>
    </x:row>
    <x:row r="38">
      <x:c r="A38" s="10" t="str">
        <x:v>logistic</x:v>
      </x:c>
      <x:c r="B38" s="11" t="str">
        <x:v>all</x:v>
      </x:c>
      <x:c r="C38" s="11" t="str">
        <x:v>mmd</x:v>
      </x:c>
      <x:c r="D38" s="11" t="n">
        <x:v>50</x:v>
      </x:c>
      <x:c r="E38" s="11" t="n">
        <x:v>0</x:v>
      </x:c>
      <x:c r="F38" s="11" t="n">
        <x:v>6</x:v>
      </x:c>
      <x:c r="G38" s="11" t="n">
        <x:v>50</x:v>
      </x:c>
      <x:c r="H38" s="11" t="n">
        <x:v>80</x:v>
      </x:c>
      <x:c r="I38" s="11" t="n">
        <x:v>136</x:v>
      </x:c>
      <x:c r="J38" s="12" t="n">
        <x:f>IF(E38+G38=0,NA(),G38/(E38+G38))</x:f>
        <x:v>1</x:v>
      </x:c>
      <x:c r="K38" s="12" t="n">
        <x:f>IF(F38+H38=0,NA(),F38/(F38+H38))</x:f>
        <x:v>0.06976744186046512</x:v>
      </x:c>
      <x:c r="L38" s="12" t="n">
        <x:f>IF(2*E38+F38+G38=0,NA(),2*E38/(2*E38+F38+G38))</x:f>
        <x:v>0</x:v>
      </x:c>
      <x:c r="M38" s="12" t="n">
        <x:v>0.2795348837209302</x:v>
      </x:c>
      <x:c r="N38" s="13" t="n">
        <x:v>1</x:v>
      </x:c>
    </x:row>
    <x:row r="39">
      <x:c r="A39" s="10" t="str">
        <x:v>logistic</x:v>
      </x:c>
      <x:c r="B39" s="11" t="str">
        <x:v>empirical</x:v>
      </x:c>
      <x:c r="C39" s="11" t="str">
        <x:v>mmd</x:v>
      </x:c>
      <x:c r="D39" s="11" t="n">
        <x:v>15</x:v>
      </x:c>
      <x:c r="E39" s="11" t="n">
        <x:v>0</x:v>
      </x:c>
      <x:c r="F39" s="11" t="n">
        <x:v>0</x:v>
      </x:c>
      <x:c r="G39" s="11" t="n">
        <x:v>15</x:v>
      </x:c>
      <x:c r="H39" s="11" t="n">
        <x:v>2</x:v>
      </x:c>
      <x:c r="I39" s="11" t="n">
        <x:v>17</x:v>
      </x:c>
      <x:c r="J39" s="12" t="n">
        <x:f>IF(E39+G39=0,NA(),G39/(E39+G39))</x:f>
        <x:v>1</x:v>
      </x:c>
      <x:c r="K39" s="12" t="n">
        <x:f>IF(F39+H39=0,NA(),F39/(F39+H39))</x:f>
        <x:v>0</x:v>
      </x:c>
      <x:c r="L39" s="12" t="n">
        <x:f>IF(2*E39+F39+G39=0,NA(),2*E39/(2*E39+F39+G39))</x:f>
        <x:v>0</x:v>
      </x:c>
      <x:c r="M39" s="12" t="n">
        <x:v>0.5666666666666667</x:v>
      </x:c>
      <x:c r="N39" s="13" t="n">
        <x:v>1</x:v>
      </x:c>
    </x:row>
    <x:row r="40">
      <x:c r="A40" s="14" t="str">
        <x:v>logistic</x:v>
      </x:c>
      <x:c r="B40" s="15" t="str">
        <x:v>simulated</x:v>
      </x:c>
      <x:c r="C40" s="15" t="str">
        <x:v>mmd</x:v>
      </x:c>
      <x:c r="D40" s="15" t="n">
        <x:v>35</x:v>
      </x:c>
      <x:c r="E40" s="15" t="n">
        <x:v>0</x:v>
      </x:c>
      <x:c r="F40" s="15" t="n">
        <x:v>6</x:v>
      </x:c>
      <x:c r="G40" s="15" t="n">
        <x:v>35</x:v>
      </x:c>
      <x:c r="H40" s="15" t="n">
        <x:v>78</x:v>
      </x:c>
      <x:c r="I40" s="15" t="n">
        <x:v>119</x:v>
      </x:c>
      <x:c r="J40" s="16" t="n">
        <x:f>IF(E40+G40=0,NA(),G40/(E40+G40))</x:f>
        <x:v>1</x:v>
      </x:c>
      <x:c r="K40" s="16" t="n">
        <x:f>IF(F40+H40=0,NA(),F40/(F40+H40))</x:f>
        <x:v>0.07142857142857142</x:v>
      </x:c>
      <x:c r="L40" s="16" t="n">
        <x:f>IF(2*E40+F40+G40=0,NA(),2*E40/(2*E40+F40+G40))</x:f>
        <x:v>0</x:v>
      </x:c>
      <x:c r="M40" s="16" t="n">
        <x:v>0.18333333333333335</x:v>
      </x:c>
      <x:c r="N40" s="17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18" hidden="0" customWidth="1"/>
    <x:col min="4" max="4" width="18" hidden="0" customWidth="1"/>
    <x:col min="5" max="5" width="19" hidden="0" customWidth="1"/>
  </x:cols>
  <x:sheetData>
    <x:row r="1">
      <x:c r="A1" s="6" t="str">
        <x:v>Direct PMP signed error thresholds</x:v>
      </x:c>
    </x:row>
    <x:row r="2">
      <x:c r="A2" t="str">
        <x:v>Each loss uses one direct network. Candidate-specific bounds pool 100 datasets from each of M0–M3.</x:v>
      </x:c>
    </x:row>
    <x:row r="4" ht="24" customHeight="1">
      <x:c r="A4" s="3" t="str">
        <x:v>Loss</x:v>
      </x:c>
      <x:c r="B4" s="3" t="str">
        <x:v>Candidate model</x:v>
      </x:c>
      <x:c r="C4" s="3" t="str">
        <x:v>Lower q05</x:v>
      </x:c>
      <x:c r="D4" s="3" t="str">
        <x:v>Upper q95</x:v>
      </x:c>
      <x:c r="E4" s="3" t="str">
        <x:v>Component errors</x:v>
      </x:c>
    </x:row>
    <x:row r="5">
      <x:c r="A5" t="str">
        <x:v>cross_entropy</x:v>
      </x:c>
      <x:c r="B5" t="str">
        <x:v>m0</x:v>
      </x:c>
      <x:c r="C5" s="18" t="n">
        <x:v>-0.0440606935444722</x:v>
      </x:c>
      <x:c r="D5" s="18" t="n">
        <x:v>0.0462618809199131</x:v>
      </x:c>
      <x:c r="E5" t="n">
        <x:v>400</x:v>
      </x:c>
    </x:row>
    <x:row r="6">
      <x:c r="A6" t="str">
        <x:v>cross_entropy</x:v>
      </x:c>
      <x:c r="B6" t="str">
        <x:v>m1</x:v>
      </x:c>
      <x:c r="C6" s="18" t="n">
        <x:v>-0.022597658575929</x:v>
      </x:c>
      <x:c r="D6" s="18" t="n">
        <x:v>0.0257722242079585</x:v>
      </x:c>
      <x:c r="E6" t="n">
        <x:v>400</x:v>
      </x:c>
    </x:row>
    <x:row r="7">
      <x:c r="A7" t="str">
        <x:v>cross_entropy</x:v>
      </x:c>
      <x:c r="B7" t="str">
        <x:v>m2</x:v>
      </x:c>
      <x:c r="C7" s="18" t="n">
        <x:v>-0.044660615906674</x:v>
      </x:c>
      <x:c r="D7" s="18" t="n">
        <x:v>0.0247129523512285</x:v>
      </x:c>
      <x:c r="E7" t="n">
        <x:v>400</x:v>
      </x:c>
    </x:row>
    <x:row r="8">
      <x:c r="A8" t="str">
        <x:v>cross_entropy</x:v>
      </x:c>
      <x:c r="B8" t="str">
        <x:v>m3</x:v>
      </x:c>
      <x:c r="C8" s="18" t="n">
        <x:v>-0.0121861536932606</x:v>
      </x:c>
      <x:c r="D8" s="18" t="n">
        <x:v>0.0139344289219471</x:v>
      </x:c>
      <x:c r="E8" t="n">
        <x:v>400</x:v>
      </x:c>
    </x:row>
    <x:row r="9">
      <x:c r="A9" t="str">
        <x:v>exponential</x:v>
      </x:c>
      <x:c r="B9" t="str">
        <x:v>m0</x:v>
      </x:c>
      <x:c r="C9" s="18" t="n">
        <x:v>-0.0443742296619111</x:v>
      </x:c>
      <x:c r="D9" s="18" t="n">
        <x:v>0.0390039843964348</x:v>
      </x:c>
      <x:c r="E9" t="n">
        <x:v>400</x:v>
      </x:c>
    </x:row>
    <x:row r="10">
      <x:c r="A10" t="str">
        <x:v>exponential</x:v>
      </x:c>
      <x:c r="B10" t="str">
        <x:v>m1</x:v>
      </x:c>
      <x:c r="C10" s="18" t="n">
        <x:v>-0.0221022589870582</x:v>
      </x:c>
      <x:c r="D10" s="18" t="n">
        <x:v>0.0264497872808482</x:v>
      </x:c>
      <x:c r="E10" t="n">
        <x:v>400</x:v>
      </x:c>
    </x:row>
    <x:row r="11">
      <x:c r="A11" t="str">
        <x:v>exponential</x:v>
      </x:c>
      <x:c r="B11" t="str">
        <x:v>m2</x:v>
      </x:c>
      <x:c r="C11" s="18" t="n">
        <x:v>-0.0320515026631093</x:v>
      </x:c>
      <x:c r="D11" s="18" t="n">
        <x:v>0.0415402870945472</x:v>
      </x:c>
      <x:c r="E11" t="n">
        <x:v>400</x:v>
      </x:c>
    </x:row>
    <x:row r="12">
      <x:c r="A12" t="str">
        <x:v>exponential</x:v>
      </x:c>
      <x:c r="B12" t="str">
        <x:v>m3</x:v>
      </x:c>
      <x:c r="C12" s="18" t="n">
        <x:v>-0.0126163131731848</x:v>
      </x:c>
      <x:c r="D12" s="18" t="n">
        <x:v>0.0195178257059829</x:v>
      </x:c>
      <x:c r="E12" t="n">
        <x:v>400</x:v>
      </x:c>
    </x:row>
    <x:row r="13">
      <x:c r="A13" t="str">
        <x:v>logistic</x:v>
      </x:c>
      <x:c r="B13" t="str">
        <x:v>m0</x:v>
      </x:c>
      <x:c r="C13" s="18" t="n">
        <x:v>-0.0334561434779013</x:v>
      </x:c>
      <x:c r="D13" s="18" t="n">
        <x:v>0.030680376681785</x:v>
      </x:c>
      <x:c r="E13" t="n">
        <x:v>400</x:v>
      </x:c>
    </x:row>
    <x:row r="14">
      <x:c r="A14" t="str">
        <x:v>logistic</x:v>
      </x:c>
      <x:c r="B14" t="str">
        <x:v>m1</x:v>
      </x:c>
      <x:c r="C14" s="18" t="n">
        <x:v>-0.0164819209369216</x:v>
      </x:c>
      <x:c r="D14" s="18" t="n">
        <x:v>0.0298460252766736</x:v>
      </x:c>
      <x:c r="E14" t="n">
        <x:v>400</x:v>
      </x:c>
    </x:row>
    <x:row r="15">
      <x:c r="A15" t="str">
        <x:v>logistic</x:v>
      </x:c>
      <x:c r="B15" t="str">
        <x:v>m2</x:v>
      </x:c>
      <x:c r="C15" s="18" t="n">
        <x:v>-0.0267550327027036</x:v>
      </x:c>
      <x:c r="D15" s="18" t="n">
        <x:v>0.0397241691579849</x:v>
      </x:c>
      <x:c r="E15" t="n">
        <x:v>400</x:v>
      </x:c>
    </x:row>
    <x:row r="16">
      <x:c r="A16" t="str">
        <x:v>logistic</x:v>
      </x:c>
      <x:c r="B16" t="str">
        <x:v>m3</x:v>
      </x:c>
      <x:c r="C16" s="18" t="n">
        <x:v>-0.0215666071785139</x:v>
      </x:c>
      <x:c r="D16" s="18" t="n">
        <x:v>0.015107939995632</x:v>
      </x:c>
      <x:c r="E16" t="n">
        <x:v>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5" hidden="0" customWidth="1"/>
  </x:cols>
  <x:sheetData>
    <x:row r="1">
      <x:c r="A1" s="6" t="str">
        <x:v>Classification method</x:v>
      </x:c>
    </x:row>
    <x:row r="3" ht="24" customHeight="1">
      <x:c r="A3" s="3" t="str">
        <x:v>Item</x:v>
      </x:c>
      <x:c r="B3" s="3" t="str">
        <x:v>Definition</x:v>
      </x:c>
    </x:row>
    <x:row r="4" ht="25" customHeight="1">
      <x:c r="A4" t="str">
        <x:v>Error label</x:v>
      </x:c>
      <x:c r="B4" t="str">
        <x:v>Positive if any candidate PMP signed error is below its q05 or above its q95 bound.</x:v>
      </x:c>
    </x:row>
    <x:row r="5" ht="25" customHeight="1">
      <x:c r="A5" t="str">
        <x:v>Predicted label</x:v>
      </x:c>
      <x:c r="B5" t="str">
        <x:v>Positive if the direct diagnostic score rho is greater than 1.</x:v>
      </x:c>
    </x:row>
    <x:row r="6" ht="25" customHeight="1">
      <x:c r="A6" t="str">
        <x:v>FNR</x:v>
      </x:c>
      <x:c r="B6" t="str">
        <x:v>FN / (FN + TP); unavailable if there are no actual positives.</x:v>
      </x:c>
    </x:row>
    <x:row r="7" ht="25" customHeight="1">
      <x:c r="A7" t="str">
        <x:v>FPR</x:v>
      </x:c>
      <x:c r="B7" t="str">
        <x:v>FP / (FP + TN); unavailable if there are no actual negatives.</x:v>
      </x:c>
    </x:row>
    <x:row r="8" ht="25" customHeight="1">
      <x:c r="A8" t="str">
        <x:v>F1</x:v>
      </x:c>
      <x:c r="B8" t="str">
        <x:v>2 TP / (2 TP + FP + FN).</x:v>
      </x:c>
    </x:row>
    <x:row r="9" ht="25" customHeight="1">
      <x:c r="A9" t="str">
        <x:v>ROC-AUC</x:v>
      </x:c>
      <x:c r="B9" t="str">
        <x:v>ROC-AUC of the continuous rho score and the error label.</x:v>
      </x:c>
    </x:row>
    <x:row r="10" ht="25" customHeight="1">
      <x:c r="A10" t="str">
        <x:v>Source groups</x:v>
      </x:c>
      <x:c r="B10" t="str">
        <x:v>Empirical: 17 observed datasets. Simulated: 119 observed datasets. All: 136.</x:v>
      </x:c>
    </x:row>
    <x:row r="11" ht="25" customHeight="1">
      <x:c r="A11" t="str">
        <x:v>Calibration</x:v>
      </x:c>
      <x:c r="B11" t="str">
        <x:v>Each direct loss has four candidate PMP bounds from 400 component errors per candidate.</x:v>
      </x:c>
    </x:row>
  </x:sheetData>
  <x:pageMargins left="0.7" right="0.7" top="0.75" bottom="0.75" header="0.3" footer="0.3"/>
</x:worksheet>
</file>